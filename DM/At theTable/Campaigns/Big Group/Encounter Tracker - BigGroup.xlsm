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lambert/Google Drive/HOB/DnD Stuff/DM/Campaigns/Big Group/"/>
    </mc:Choice>
  </mc:AlternateContent>
  <bookViews>
    <workbookView xWindow="0" yWindow="0" windowWidth="38400" windowHeight="24000" tabRatio="797"/>
  </bookViews>
  <sheets>
    <sheet name="Tracker" sheetId="1" r:id="rId1"/>
    <sheet name="EncounterBuilder" sheetId="9" r:id="rId2"/>
    <sheet name="PartyInfo" sheetId="2" r:id="rId3"/>
    <sheet name="RandomEncounterTables" sheetId="7" r:id="rId4"/>
    <sheet name="GeneralEncounterTables" sheetId="4" r:id="rId5"/>
    <sheet name="CreatureInfo" sheetId="3" r:id="rId6"/>
    <sheet name="EncounterList" sheetId="5" r:id="rId7"/>
  </sheets>
  <definedNames>
    <definedName name="__Anonymous_Sheet_DB__1" localSheetId="1">EncounterBuilder!#REF!</definedName>
    <definedName name="__Anonymous_Sheet_DB__1">Tracker!$Z$11:$AE$31</definedName>
    <definedName name="_ChallengeRatings">GeneralEncounterTables!$G$3:$G$36</definedName>
    <definedName name="_CharacterLevels">GeneralEncounterTables!$A$3:$A$22</definedName>
    <definedName name="_CharacterNames">PartyInfo!$A$3:$A$7</definedName>
    <definedName name="_CreatureNames">CreatureInfo!$A:$A</definedName>
    <definedName name="_Creatures">CreatureInfo!$A:$L</definedName>
    <definedName name="_EncounterDifficulties">GeneralEncounterTables!$B$2:$E$2</definedName>
    <definedName name="_EncounterDifficultyTable">GeneralEncounterTables!$A$2:$E$22</definedName>
    <definedName name="_Encounters">EncounterList!$A:$X</definedName>
    <definedName name="_xlnm._FilterDatabase" localSheetId="5" hidden="1">CreatureInfo!$A$1:$M$524</definedName>
    <definedName name="_xlnm._FilterDatabase" localSheetId="1">NA()</definedName>
    <definedName name="_xlnm._FilterDatabase" localSheetId="0">NA()</definedName>
    <definedName name="_FilterDatabase_1">CreatureInfo!$A$1:$L$460</definedName>
    <definedName name="_ReferenceBooks">GeneralEncounterTables!$M$3:$M$6</definedName>
    <definedName name="_xpByCR">GeneralEncounterTables!$G$3:$H$36</definedName>
    <definedName name="_xpMultipliers">GeneralEncounterTables!$J$2:$K$22</definedName>
    <definedName name="CurrentBuilderEnc">EncounterBuilder!$A$2:$X$2</definedName>
    <definedName name="Excel_BuiltIn__FilterDatabase" localSheetId="1">EncounterBuilder!#REF!</definedName>
    <definedName name="Excel_BuiltIn__FilterDatabase" localSheetId="6">EncounterList!$A$2:$X$64</definedName>
    <definedName name="Excel_BuiltIn__FilterDatabase" localSheetId="4">GeneralEncounterTables!$G$2:$H$36</definedName>
    <definedName name="Excel_BuiltIn__FilterDatabase" localSheetId="2">PartyInfo!$A$2:$F$7</definedName>
    <definedName name="Excel_BuiltIn__FilterDatabase" localSheetId="0">Tracker!$Z$11:$AE$39</definedName>
    <definedName name="Table2" localSheetId="1">EncounterBuilder!#REF!</definedName>
    <definedName name="Table2">Tracker!$Z$11:$AE$39</definedName>
    <definedName name="tblChallengeXp">GeneralEncounterTables!$G$2:$H$36</definedName>
    <definedName name="tblCreatures">CreatureInfo!$A$1:$L$460</definedName>
    <definedName name="tblEncounters">EncounterList!$A$2:$X$64</definedName>
    <definedName name="tblPartyInfo">PartyInfo!$A$2:$F$7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5" l="1"/>
  <c r="B12" i="1"/>
  <c r="C12" i="1"/>
  <c r="D12" i="1"/>
  <c r="C3" i="5"/>
  <c r="B13" i="1"/>
  <c r="C13" i="1"/>
  <c r="D13" i="1"/>
  <c r="D3" i="5"/>
  <c r="B14" i="1"/>
  <c r="C14" i="1"/>
  <c r="D14" i="1"/>
  <c r="E3" i="5"/>
  <c r="B15" i="1"/>
  <c r="C15" i="1"/>
  <c r="D15" i="1"/>
  <c r="X12" i="1"/>
  <c r="V12" i="1"/>
  <c r="W12" i="1"/>
  <c r="E12" i="1"/>
  <c r="X13" i="1"/>
  <c r="V13" i="1"/>
  <c r="W13" i="1"/>
  <c r="E13" i="1"/>
  <c r="X14" i="1"/>
  <c r="V14" i="1"/>
  <c r="W14" i="1"/>
  <c r="E14" i="1"/>
  <c r="X15" i="1"/>
  <c r="V15" i="1"/>
  <c r="W15" i="1"/>
  <c r="E15" i="1"/>
  <c r="F3" i="5"/>
  <c r="B16" i="1"/>
  <c r="C16" i="1"/>
  <c r="D16" i="1"/>
  <c r="X16" i="1"/>
  <c r="V16" i="1"/>
  <c r="W16" i="1"/>
  <c r="E16" i="1"/>
  <c r="G3" i="5"/>
  <c r="B17" i="1"/>
  <c r="C17" i="1"/>
  <c r="D17" i="1"/>
  <c r="X17" i="1"/>
  <c r="V17" i="1"/>
  <c r="W17" i="1"/>
  <c r="E17" i="1"/>
  <c r="H3" i="5"/>
  <c r="B18" i="1"/>
  <c r="C18" i="1"/>
  <c r="D18" i="1"/>
  <c r="X18" i="1"/>
  <c r="V18" i="1"/>
  <c r="W18" i="1"/>
  <c r="E18" i="1"/>
  <c r="I3" i="5"/>
  <c r="B19" i="1"/>
  <c r="C19" i="1"/>
  <c r="D19" i="1"/>
  <c r="X19" i="1"/>
  <c r="V19" i="1"/>
  <c r="W19" i="1"/>
  <c r="E19" i="1"/>
  <c r="J3" i="5"/>
  <c r="B20" i="1"/>
  <c r="C20" i="1"/>
  <c r="D20" i="1"/>
  <c r="X20" i="1"/>
  <c r="V20" i="1"/>
  <c r="W20" i="1"/>
  <c r="E20" i="1"/>
  <c r="K3" i="5"/>
  <c r="B21" i="1"/>
  <c r="C21" i="1"/>
  <c r="D21" i="1"/>
  <c r="X21" i="1"/>
  <c r="V21" i="1"/>
  <c r="W21" i="1"/>
  <c r="E21" i="1"/>
  <c r="L3" i="5"/>
  <c r="B22" i="1"/>
  <c r="C22" i="1"/>
  <c r="D22" i="1"/>
  <c r="X22" i="1"/>
  <c r="V22" i="1"/>
  <c r="W22" i="1"/>
  <c r="E22" i="1"/>
  <c r="M3" i="5"/>
  <c r="B23" i="1"/>
  <c r="C23" i="1"/>
  <c r="D23" i="1"/>
  <c r="X23" i="1"/>
  <c r="V23" i="1"/>
  <c r="W23" i="1"/>
  <c r="E23" i="1"/>
  <c r="N3" i="5"/>
  <c r="B24" i="1"/>
  <c r="C24" i="1"/>
  <c r="D24" i="1"/>
  <c r="X24" i="1"/>
  <c r="V24" i="1"/>
  <c r="W24" i="1"/>
  <c r="E24" i="1"/>
  <c r="O3" i="5"/>
  <c r="B25" i="1"/>
  <c r="C25" i="1"/>
  <c r="D25" i="1"/>
  <c r="X25" i="1"/>
  <c r="V25" i="1"/>
  <c r="W25" i="1"/>
  <c r="E25" i="1"/>
  <c r="C13" i="9"/>
  <c r="C14" i="9"/>
  <c r="D14" i="9"/>
  <c r="E14" i="9"/>
  <c r="F14" i="9"/>
  <c r="G14" i="9"/>
  <c r="C15" i="9"/>
  <c r="D15" i="9"/>
  <c r="E15" i="9"/>
  <c r="F15" i="9"/>
  <c r="G15" i="9"/>
  <c r="C16" i="9"/>
  <c r="D16" i="9"/>
  <c r="E16" i="9"/>
  <c r="F16" i="9"/>
  <c r="G16" i="9"/>
  <c r="C17" i="9"/>
  <c r="D17" i="9"/>
  <c r="E17" i="9"/>
  <c r="F17" i="9"/>
  <c r="G17" i="9"/>
  <c r="C18" i="9"/>
  <c r="D18" i="9"/>
  <c r="E18" i="9"/>
  <c r="F18" i="9"/>
  <c r="G18" i="9"/>
  <c r="C19" i="9"/>
  <c r="D19" i="9"/>
  <c r="E19" i="9"/>
  <c r="F19" i="9"/>
  <c r="G19" i="9"/>
  <c r="C20" i="9"/>
  <c r="D20" i="9"/>
  <c r="E20" i="9"/>
  <c r="F20" i="9"/>
  <c r="G20" i="9"/>
  <c r="C21" i="9"/>
  <c r="D21" i="9"/>
  <c r="E21" i="9"/>
  <c r="F21" i="9"/>
  <c r="G21" i="9"/>
  <c r="C22" i="9"/>
  <c r="D22" i="9"/>
  <c r="E22" i="9"/>
  <c r="F22" i="9"/>
  <c r="G22" i="9"/>
  <c r="C23" i="9"/>
  <c r="D23" i="9"/>
  <c r="E23" i="9"/>
  <c r="F23" i="9"/>
  <c r="G23" i="9"/>
  <c r="C24" i="9"/>
  <c r="D24" i="9"/>
  <c r="E24" i="9"/>
  <c r="F24" i="9"/>
  <c r="G24" i="9"/>
  <c r="C25" i="9"/>
  <c r="D25" i="9"/>
  <c r="E25" i="9"/>
  <c r="F25" i="9"/>
  <c r="G25" i="9"/>
  <c r="C26" i="9"/>
  <c r="D26" i="9"/>
  <c r="E26" i="9"/>
  <c r="F26" i="9"/>
  <c r="G26" i="9"/>
  <c r="C27" i="9"/>
  <c r="D27" i="9"/>
  <c r="E27" i="9"/>
  <c r="F27" i="9"/>
  <c r="G27" i="9"/>
  <c r="C28" i="9"/>
  <c r="D28" i="9"/>
  <c r="E28" i="9"/>
  <c r="F28" i="9"/>
  <c r="G28" i="9"/>
  <c r="P3" i="5"/>
  <c r="B26" i="1"/>
  <c r="C26" i="1"/>
  <c r="D26" i="1"/>
  <c r="Q3" i="5"/>
  <c r="B27" i="1"/>
  <c r="C27" i="1"/>
  <c r="D27" i="1"/>
  <c r="R3" i="5"/>
  <c r="B28" i="1"/>
  <c r="C28" i="1"/>
  <c r="D28" i="1"/>
  <c r="S3" i="5"/>
  <c r="B29" i="1"/>
  <c r="C29" i="1"/>
  <c r="D29" i="1"/>
  <c r="T3" i="5"/>
  <c r="B30" i="1"/>
  <c r="D30" i="1"/>
  <c r="U3" i="5"/>
  <c r="B31" i="1"/>
  <c r="D31" i="1"/>
  <c r="V3" i="5"/>
  <c r="B32" i="1"/>
  <c r="D32" i="1"/>
  <c r="W3" i="5"/>
  <c r="B33" i="1"/>
  <c r="D33" i="1"/>
  <c r="X3" i="5"/>
  <c r="B34" i="1"/>
  <c r="D34" i="1"/>
  <c r="C30" i="1"/>
  <c r="C31" i="1"/>
  <c r="C32" i="1"/>
  <c r="C33" i="1"/>
  <c r="C34" i="1"/>
  <c r="H12" i="1"/>
  <c r="A107" i="7"/>
  <c r="A108" i="7"/>
  <c r="A109" i="7"/>
  <c r="A110" i="7"/>
  <c r="A111" i="7"/>
  <c r="A112" i="7"/>
  <c r="A113" i="7"/>
  <c r="A114" i="7"/>
  <c r="A115" i="7"/>
  <c r="A89" i="7"/>
  <c r="A90" i="7"/>
  <c r="A91" i="7"/>
  <c r="A92" i="7"/>
  <c r="A93" i="7"/>
  <c r="A94" i="7"/>
  <c r="A95" i="7"/>
  <c r="A96" i="7"/>
  <c r="A97" i="7"/>
  <c r="J10" i="7"/>
  <c r="J9" i="7"/>
  <c r="J8" i="7"/>
  <c r="N9" i="7"/>
  <c r="A71" i="7"/>
  <c r="A72" i="7"/>
  <c r="A73" i="7"/>
  <c r="A74" i="7"/>
  <c r="A75" i="7"/>
  <c r="A76" i="7"/>
  <c r="A77" i="7"/>
  <c r="A78" i="7"/>
  <c r="A79" i="7"/>
  <c r="C3" i="2"/>
  <c r="C4" i="2"/>
  <c r="C5" i="2"/>
  <c r="C6" i="2"/>
  <c r="C7" i="2"/>
  <c r="J3" i="2"/>
  <c r="D1" i="2"/>
  <c r="D3" i="2"/>
  <c r="D4" i="2"/>
  <c r="D5" i="2"/>
  <c r="D6" i="2"/>
  <c r="D7" i="2"/>
  <c r="J4" i="2"/>
  <c r="E1" i="2"/>
  <c r="E5" i="2"/>
  <c r="E3" i="2"/>
  <c r="E4" i="2"/>
  <c r="E6" i="2"/>
  <c r="E7" i="2"/>
  <c r="F1" i="2"/>
  <c r="F5" i="2"/>
  <c r="F3" i="2"/>
  <c r="F6" i="2"/>
  <c r="F7" i="2"/>
  <c r="N1" i="7"/>
  <c r="N2" i="7"/>
  <c r="C1" i="5"/>
  <c r="D1" i="5"/>
  <c r="A13" i="1"/>
  <c r="A14" i="1"/>
  <c r="A15" i="1"/>
  <c r="E1" i="5"/>
  <c r="T12" i="1"/>
  <c r="U12" i="1"/>
  <c r="F12" i="1"/>
  <c r="J7" i="7"/>
  <c r="A57" i="7"/>
  <c r="A58" i="7"/>
  <c r="A59" i="7"/>
  <c r="A60" i="7"/>
  <c r="A61" i="7"/>
  <c r="A62" i="7"/>
  <c r="A63" i="7"/>
  <c r="A64" i="7"/>
  <c r="A65" i="7"/>
  <c r="I322" i="3"/>
  <c r="I181" i="3"/>
  <c r="I442" i="3"/>
  <c r="I70" i="3"/>
  <c r="I344" i="3"/>
  <c r="I255" i="3"/>
  <c r="I396" i="3"/>
  <c r="I316" i="3"/>
  <c r="I399" i="3"/>
  <c r="I296" i="3"/>
  <c r="I47" i="3"/>
  <c r="I426" i="3"/>
  <c r="I237" i="3"/>
  <c r="I201" i="3"/>
  <c r="I392" i="3"/>
  <c r="I348" i="3"/>
  <c r="H13" i="1"/>
  <c r="I166" i="3"/>
  <c r="I449" i="3"/>
  <c r="I373" i="3"/>
  <c r="I450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3" i="3"/>
  <c r="I452" i="3"/>
  <c r="I451" i="3"/>
  <c r="I448" i="3"/>
  <c r="I447" i="3"/>
  <c r="I446" i="3"/>
  <c r="I445" i="3"/>
  <c r="I444" i="3"/>
  <c r="I443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7" i="3"/>
  <c r="I480" i="3"/>
  <c r="I394" i="3"/>
  <c r="I393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479" i="3"/>
  <c r="I358" i="3"/>
  <c r="I357" i="3"/>
  <c r="I356" i="3"/>
  <c r="I355" i="3"/>
  <c r="I354" i="3"/>
  <c r="I353" i="3"/>
  <c r="I352" i="3"/>
  <c r="I351" i="3"/>
  <c r="I350" i="3"/>
  <c r="I349" i="3"/>
  <c r="I347" i="3"/>
  <c r="I346" i="3"/>
  <c r="I345" i="3"/>
  <c r="I343" i="3"/>
  <c r="I342" i="3"/>
  <c r="I341" i="3"/>
  <c r="I340" i="3"/>
  <c r="I339" i="3"/>
  <c r="I338" i="3"/>
  <c r="I337" i="3"/>
  <c r="I336" i="3"/>
  <c r="I334" i="3"/>
  <c r="I333" i="3"/>
  <c r="I332" i="3"/>
  <c r="I331" i="3"/>
  <c r="I330" i="3"/>
  <c r="I329" i="3"/>
  <c r="I328" i="3"/>
  <c r="I327" i="3"/>
  <c r="I324" i="3"/>
  <c r="I321" i="3"/>
  <c r="I320" i="3"/>
  <c r="I319" i="3"/>
  <c r="I318" i="3"/>
  <c r="I317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2" i="3"/>
  <c r="I211" i="3"/>
  <c r="I210" i="3"/>
  <c r="I209" i="3"/>
  <c r="I208" i="3"/>
  <c r="I207" i="3"/>
  <c r="I206" i="3"/>
  <c r="I205" i="3"/>
  <c r="I204" i="3"/>
  <c r="I203" i="3"/>
  <c r="I202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472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6" i="3"/>
  <c r="I45" i="3"/>
  <c r="I44" i="3"/>
  <c r="I43" i="3"/>
  <c r="I42" i="3"/>
  <c r="I41" i="3"/>
  <c r="I40" i="3"/>
  <c r="I39" i="3"/>
  <c r="I38" i="3"/>
  <c r="I37" i="3"/>
  <c r="I36" i="3"/>
  <c r="I35" i="3"/>
  <c r="I213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398" i="3"/>
  <c r="F13" i="1"/>
  <c r="F14" i="1"/>
  <c r="J6" i="7"/>
  <c r="A43" i="7"/>
  <c r="A44" i="7"/>
  <c r="A45" i="7"/>
  <c r="A46" i="7"/>
  <c r="A47" i="7"/>
  <c r="A48" i="7"/>
  <c r="A49" i="7"/>
  <c r="A50" i="7"/>
  <c r="A51" i="7"/>
  <c r="J5" i="7"/>
  <c r="A31" i="7"/>
  <c r="A32" i="7"/>
  <c r="A33" i="7"/>
  <c r="A34" i="7"/>
  <c r="A35" i="7"/>
  <c r="A36" i="7"/>
  <c r="A37" i="7"/>
  <c r="A38" i="7"/>
  <c r="A39" i="7"/>
  <c r="B4" i="9"/>
  <c r="C29" i="9"/>
  <c r="D29" i="9"/>
  <c r="C30" i="9"/>
  <c r="C31" i="9"/>
  <c r="D31" i="9"/>
  <c r="C32" i="9"/>
  <c r="D32" i="9"/>
  <c r="C33" i="9"/>
  <c r="D33" i="9"/>
  <c r="C34" i="9"/>
  <c r="D34" i="9"/>
  <c r="C35" i="9"/>
  <c r="D35" i="9"/>
  <c r="E2" i="1"/>
  <c r="E13" i="9"/>
  <c r="F13" i="9"/>
  <c r="E29" i="9"/>
  <c r="F29" i="9"/>
  <c r="E30" i="9"/>
  <c r="F30" i="9"/>
  <c r="E31" i="9"/>
  <c r="F31" i="9"/>
  <c r="E32" i="9"/>
  <c r="F32" i="9"/>
  <c r="E33" i="9"/>
  <c r="F33" i="9"/>
  <c r="E34" i="9"/>
  <c r="F34" i="9"/>
  <c r="E35" i="9"/>
  <c r="F35" i="9"/>
  <c r="F5" i="9"/>
  <c r="F6" i="9"/>
  <c r="F9" i="9"/>
  <c r="B5" i="9"/>
  <c r="B6" i="9"/>
  <c r="B7" i="9"/>
  <c r="D5" i="9"/>
  <c r="D6" i="9"/>
  <c r="J5" i="2"/>
  <c r="F7" i="9"/>
  <c r="D7" i="9"/>
  <c r="F4" i="2"/>
  <c r="J6" i="2"/>
  <c r="F8" i="9"/>
  <c r="D8" i="9"/>
  <c r="D9" i="9"/>
  <c r="B8" i="9"/>
  <c r="A2" i="9"/>
  <c r="C1" i="9"/>
  <c r="C3" i="1"/>
  <c r="C6" i="1"/>
  <c r="C2" i="1"/>
  <c r="G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G29" i="9"/>
  <c r="D30" i="9"/>
  <c r="G30" i="9"/>
  <c r="G31" i="9"/>
  <c r="G32" i="9"/>
  <c r="G33" i="9"/>
  <c r="G34" i="9"/>
  <c r="G35" i="9"/>
  <c r="N3" i="7"/>
  <c r="AJ4" i="1"/>
  <c r="N4" i="7"/>
  <c r="N5" i="7"/>
  <c r="N6" i="7"/>
  <c r="N7" i="7"/>
  <c r="J4" i="7"/>
  <c r="J2" i="7"/>
  <c r="A3" i="7"/>
  <c r="A4" i="7"/>
  <c r="A5" i="7"/>
  <c r="A6" i="7"/>
  <c r="A7" i="7"/>
  <c r="I4" i="2"/>
  <c r="I5" i="2"/>
  <c r="A17" i="7"/>
  <c r="A18" i="7"/>
  <c r="A19" i="7"/>
  <c r="A20" i="7"/>
  <c r="A21" i="7"/>
  <c r="A22" i="7"/>
  <c r="A23" i="7"/>
  <c r="A24" i="7"/>
  <c r="A25" i="7"/>
  <c r="A26" i="7"/>
  <c r="A27" i="7"/>
  <c r="J3" i="7"/>
  <c r="A8" i="7"/>
  <c r="A9" i="7"/>
  <c r="A10" i="7"/>
  <c r="A11" i="7"/>
  <c r="A12" i="7"/>
  <c r="A13" i="7"/>
  <c r="B2" i="9"/>
  <c r="N8" i="7"/>
  <c r="D13" i="9"/>
  <c r="D1" i="9"/>
  <c r="B9" i="9"/>
  <c r="H14" i="1"/>
  <c r="T14" i="1"/>
  <c r="U14" i="1"/>
  <c r="T13" i="1"/>
  <c r="U13" i="1"/>
  <c r="A16" i="1"/>
  <c r="F1" i="5"/>
  <c r="AJ5" i="1"/>
  <c r="C2" i="9"/>
  <c r="N15" i="7"/>
  <c r="N11" i="7"/>
  <c r="C5" i="1"/>
  <c r="I7" i="2"/>
  <c r="C4" i="1"/>
  <c r="I6" i="2"/>
  <c r="G1" i="5"/>
  <c r="A17" i="1"/>
  <c r="E1" i="9"/>
  <c r="F16" i="1"/>
  <c r="F15" i="1"/>
  <c r="H1" i="5"/>
  <c r="A18" i="1"/>
  <c r="I1" i="5"/>
  <c r="A19" i="1"/>
  <c r="J1" i="5"/>
  <c r="A20" i="1"/>
  <c r="F17" i="1"/>
  <c r="F18" i="1"/>
  <c r="F19" i="1"/>
  <c r="F20" i="1"/>
  <c r="K1" i="5"/>
  <c r="A21" i="1"/>
  <c r="F21" i="1"/>
  <c r="L1" i="5"/>
  <c r="A22" i="1"/>
  <c r="F22" i="1"/>
  <c r="M1" i="5"/>
  <c r="A23" i="1"/>
  <c r="F23" i="1"/>
  <c r="N1" i="5"/>
  <c r="A24" i="1"/>
  <c r="F24" i="1"/>
  <c r="O1" i="5"/>
  <c r="A25" i="1"/>
  <c r="F25" i="1"/>
  <c r="P1" i="5"/>
  <c r="A26" i="1"/>
  <c r="X26" i="1"/>
  <c r="V26" i="1"/>
  <c r="W26" i="1"/>
  <c r="E26" i="1"/>
  <c r="F26" i="1"/>
  <c r="Q1" i="5"/>
  <c r="A27" i="1"/>
  <c r="X27" i="1"/>
  <c r="V27" i="1"/>
  <c r="W27" i="1"/>
  <c r="E27" i="1"/>
  <c r="F27" i="1"/>
  <c r="R1" i="5"/>
  <c r="A28" i="1"/>
  <c r="X28" i="1"/>
  <c r="V28" i="1"/>
  <c r="W28" i="1"/>
  <c r="E28" i="1"/>
  <c r="F28" i="1"/>
  <c r="S1" i="5"/>
  <c r="A29" i="1"/>
  <c r="X29" i="1"/>
  <c r="V29" i="1"/>
  <c r="W29" i="1"/>
  <c r="E29" i="1"/>
  <c r="F29" i="1"/>
  <c r="T1" i="5"/>
  <c r="A30" i="1"/>
  <c r="X30" i="1"/>
  <c r="E30" i="1"/>
  <c r="F30" i="1"/>
  <c r="U1" i="5"/>
  <c r="A31" i="1"/>
  <c r="X31" i="1"/>
  <c r="E31" i="1"/>
  <c r="F31" i="1"/>
  <c r="V1" i="5"/>
  <c r="X32" i="1"/>
  <c r="E32" i="1"/>
  <c r="F32" i="1"/>
  <c r="W1" i="5"/>
  <c r="X33" i="1"/>
  <c r="E33" i="1"/>
  <c r="F33" i="1"/>
  <c r="X1" i="5"/>
  <c r="X34" i="1"/>
  <c r="E34" i="1"/>
  <c r="F34" i="1"/>
  <c r="AC24" i="1"/>
  <c r="AC29" i="1"/>
  <c r="AC14" i="1"/>
  <c r="AC23" i="1"/>
  <c r="AC35" i="1"/>
  <c r="AC20" i="1"/>
  <c r="AC25" i="1"/>
  <c r="AC30" i="1"/>
  <c r="AC26" i="1"/>
  <c r="AC19" i="1"/>
  <c r="AC36" i="1"/>
  <c r="AC28" i="1"/>
  <c r="AC18" i="1"/>
  <c r="AC34" i="1"/>
  <c r="AC27" i="1"/>
  <c r="AC33" i="1"/>
  <c r="AC32" i="1"/>
  <c r="AC22" i="1"/>
  <c r="AC38" i="1"/>
  <c r="AC31" i="1"/>
  <c r="AC21" i="1"/>
  <c r="AC37" i="1"/>
  <c r="AC39" i="1"/>
  <c r="T15" i="1"/>
  <c r="U15" i="1"/>
  <c r="H15" i="1"/>
  <c r="D2" i="9"/>
  <c r="T16" i="1"/>
  <c r="U16" i="1"/>
  <c r="H16" i="1"/>
  <c r="F1" i="9"/>
  <c r="N13" i="7"/>
  <c r="N12" i="7"/>
  <c r="N14" i="7"/>
  <c r="E2" i="9"/>
  <c r="T17" i="1"/>
  <c r="U17" i="1"/>
  <c r="H17" i="1"/>
  <c r="G1" i="9"/>
  <c r="AK15" i="1"/>
  <c r="AK19" i="1"/>
  <c r="AK23" i="1"/>
  <c r="AK27" i="1"/>
  <c r="AK31" i="1"/>
  <c r="AK14" i="1"/>
  <c r="AK18" i="1"/>
  <c r="AK22" i="1"/>
  <c r="AK26" i="1"/>
  <c r="AK30" i="1"/>
  <c r="AK34" i="1"/>
  <c r="AK12" i="1"/>
  <c r="AK16" i="1"/>
  <c r="AK20" i="1"/>
  <c r="AK24" i="1"/>
  <c r="AK28" i="1"/>
  <c r="AK32" i="1"/>
  <c r="AK17" i="1"/>
  <c r="AK33" i="1"/>
  <c r="AK25" i="1"/>
  <c r="AK13" i="1"/>
  <c r="AK29" i="1"/>
  <c r="AK21" i="1"/>
  <c r="F2" i="9"/>
  <c r="T18" i="1"/>
  <c r="U18" i="1"/>
  <c r="H18" i="1"/>
  <c r="H1" i="9"/>
  <c r="G2" i="9"/>
  <c r="I1" i="9"/>
  <c r="H19" i="1"/>
  <c r="T19" i="1"/>
  <c r="U19" i="1"/>
  <c r="H2" i="9"/>
  <c r="J1" i="9"/>
  <c r="T20" i="1"/>
  <c r="U20" i="1"/>
  <c r="H20" i="1"/>
  <c r="I2" i="9"/>
  <c r="T21" i="1"/>
  <c r="U21" i="1"/>
  <c r="H21" i="1"/>
  <c r="K1" i="9"/>
  <c r="J2" i="9"/>
  <c r="L1" i="9"/>
  <c r="T22" i="1"/>
  <c r="U22" i="1"/>
  <c r="H22" i="1"/>
  <c r="K2" i="9"/>
  <c r="H23" i="1"/>
  <c r="T23" i="1"/>
  <c r="U23" i="1"/>
  <c r="M1" i="9"/>
  <c r="L2" i="9"/>
  <c r="T24" i="1"/>
  <c r="U24" i="1"/>
  <c r="H24" i="1"/>
  <c r="N1" i="9"/>
  <c r="M2" i="9"/>
  <c r="T25" i="1"/>
  <c r="U25" i="1"/>
  <c r="H25" i="1"/>
  <c r="O1" i="9"/>
  <c r="N2" i="9"/>
  <c r="T26" i="1"/>
  <c r="U26" i="1"/>
  <c r="H26" i="1"/>
  <c r="P1" i="9"/>
  <c r="O2" i="9"/>
  <c r="Q1" i="9"/>
  <c r="H27" i="1"/>
  <c r="T27" i="1"/>
  <c r="U27" i="1"/>
  <c r="P2" i="9"/>
  <c r="T28" i="1"/>
  <c r="U28" i="1"/>
  <c r="H28" i="1"/>
  <c r="R1" i="9"/>
  <c r="Q2" i="9"/>
  <c r="T29" i="1"/>
  <c r="U29" i="1"/>
  <c r="H29" i="1"/>
  <c r="S1" i="9"/>
  <c r="R2" i="9"/>
  <c r="T30" i="1"/>
  <c r="U30" i="1"/>
  <c r="H30" i="1"/>
  <c r="W30" i="1"/>
  <c r="V30" i="1"/>
  <c r="T1" i="9"/>
  <c r="S2" i="9"/>
  <c r="H31" i="1"/>
  <c r="T31" i="1"/>
  <c r="U31" i="1"/>
  <c r="V31" i="1"/>
  <c r="W31" i="1"/>
  <c r="U1" i="9"/>
  <c r="T2" i="9"/>
  <c r="T32" i="1"/>
  <c r="U32" i="1"/>
  <c r="H32" i="1"/>
  <c r="W32" i="1"/>
  <c r="V32" i="1"/>
  <c r="V1" i="9"/>
  <c r="U2" i="9"/>
  <c r="T34" i="1"/>
  <c r="U34" i="1"/>
  <c r="H34" i="1"/>
  <c r="W34" i="1"/>
  <c r="V34" i="1"/>
  <c r="T33" i="1"/>
  <c r="U33" i="1"/>
  <c r="H33" i="1"/>
  <c r="V33" i="1"/>
  <c r="W33" i="1"/>
  <c r="W1" i="9"/>
  <c r="V2" i="9"/>
  <c r="AC40" i="1"/>
  <c r="AC41" i="1"/>
  <c r="X1" i="9"/>
  <c r="E3" i="1"/>
  <c r="E4" i="1"/>
  <c r="X2" i="9"/>
  <c r="W2" i="9"/>
  <c r="E5" i="1"/>
  <c r="E7" i="1"/>
  <c r="A5" i="1"/>
  <c r="A4" i="1"/>
  <c r="A2" i="1"/>
  <c r="A3" i="1"/>
  <c r="A6" i="1"/>
  <c r="E6" i="1"/>
</calcChain>
</file>

<file path=xl/sharedStrings.xml><?xml version="1.0" encoding="utf-8"?>
<sst xmlns="http://schemas.openxmlformats.org/spreadsheetml/2006/main" count="4213" uniqueCount="941">
  <si>
    <t>Encounter Name</t>
  </si>
  <si>
    <t>Redbrand Ruffians</t>
  </si>
  <si>
    <t>Y</t>
  </si>
  <si>
    <t>PartySize</t>
  </si>
  <si>
    <t>NumberOfMonsters</t>
  </si>
  <si>
    <t>CreatureName</t>
  </si>
  <si>
    <t>ID</t>
  </si>
  <si>
    <t>UniqueName</t>
  </si>
  <si>
    <t>Current HP</t>
  </si>
  <si>
    <t>Notes</t>
  </si>
  <si>
    <t>Challenge Rating</t>
  </si>
  <si>
    <t>XP Value</t>
  </si>
  <si>
    <t>Starting HP</t>
  </si>
  <si>
    <t>Total Healing</t>
  </si>
  <si>
    <t>Total Damage</t>
  </si>
  <si>
    <t>Creature</t>
  </si>
  <si>
    <t>CharacterName</t>
  </si>
  <si>
    <t>CharacterLevel</t>
  </si>
  <si>
    <t>Easy</t>
  </si>
  <si>
    <t>Medium</t>
  </si>
  <si>
    <t>Hard</t>
  </si>
  <si>
    <t>Deadly</t>
  </si>
  <si>
    <t>MinXP</t>
  </si>
  <si>
    <t>MaxXP</t>
  </si>
  <si>
    <t>CreatureType</t>
  </si>
  <si>
    <t>CreatureSubtype</t>
  </si>
  <si>
    <t>CreatureSize</t>
  </si>
  <si>
    <t>HP</t>
  </si>
  <si>
    <t>Align</t>
  </si>
  <si>
    <t>Legendary?</t>
  </si>
  <si>
    <t>Lair?</t>
  </si>
  <si>
    <t>Aarakocra</t>
  </si>
  <si>
    <t>1/4</t>
  </si>
  <si>
    <t>Humanoid</t>
  </si>
  <si>
    <t>NG</t>
  </si>
  <si>
    <t>N</t>
  </si>
  <si>
    <t>Aboleth</t>
  </si>
  <si>
    <t>Aberration</t>
  </si>
  <si>
    <t>Large</t>
  </si>
  <si>
    <t>LE</t>
  </si>
  <si>
    <t>Celestial</t>
  </si>
  <si>
    <t>LG</t>
  </si>
  <si>
    <t>Construct</t>
  </si>
  <si>
    <t>Small</t>
  </si>
  <si>
    <t>Ankheg</t>
  </si>
  <si>
    <t>Monstrosity</t>
  </si>
  <si>
    <t>Ape</t>
  </si>
  <si>
    <t>1/2</t>
  </si>
  <si>
    <t>Beast</t>
  </si>
  <si>
    <t>Huge</t>
  </si>
  <si>
    <t>Awakened shrub</t>
  </si>
  <si>
    <t>Plant</t>
  </si>
  <si>
    <t>Awakened tree</t>
  </si>
  <si>
    <t>Axe beak</t>
  </si>
  <si>
    <t>Azer</t>
  </si>
  <si>
    <t>Elemental</t>
  </si>
  <si>
    <t>LN</t>
  </si>
  <si>
    <t>Baboon</t>
  </si>
  <si>
    <t>Badger</t>
  </si>
  <si>
    <t>Tiny</t>
  </si>
  <si>
    <t>Badger, giant</t>
  </si>
  <si>
    <t>Banshee</t>
  </si>
  <si>
    <t>Undead</t>
  </si>
  <si>
    <t>CE</t>
  </si>
  <si>
    <t>Basilisk</t>
  </si>
  <si>
    <t>Bat</t>
  </si>
  <si>
    <t>Bear, black</t>
  </si>
  <si>
    <t>Bear, brown</t>
  </si>
  <si>
    <t>Bear, polar</t>
  </si>
  <si>
    <t>Behir</t>
  </si>
  <si>
    <t>NE</t>
  </si>
  <si>
    <t>Beholder</t>
  </si>
  <si>
    <t>13 (14)</t>
  </si>
  <si>
    <t>Beholder, death tyrant</t>
  </si>
  <si>
    <t>14 (15)</t>
  </si>
  <si>
    <t>Beholder, spectator</t>
  </si>
  <si>
    <t>Blight, neede</t>
  </si>
  <si>
    <t>Blight, twig</t>
  </si>
  <si>
    <t>1/8</t>
  </si>
  <si>
    <t>Blight, vine</t>
  </si>
  <si>
    <t>Blink dog</t>
  </si>
  <si>
    <t>Fey</t>
  </si>
  <si>
    <t>Blood hawk</t>
  </si>
  <si>
    <t>Boar</t>
  </si>
  <si>
    <t>Boar, giant</t>
  </si>
  <si>
    <t>Bugbear</t>
  </si>
  <si>
    <t>Goblinoid</t>
  </si>
  <si>
    <t>Bugbear chief</t>
  </si>
  <si>
    <t>Bulette</t>
  </si>
  <si>
    <t>Bullywug</t>
  </si>
  <si>
    <t>Cambion</t>
  </si>
  <si>
    <t>Fiend</t>
  </si>
  <si>
    <t>E (any)</t>
  </si>
  <si>
    <t>Camel</t>
  </si>
  <si>
    <t>Carrion crawler</t>
  </si>
  <si>
    <t>Cat</t>
  </si>
  <si>
    <t>Centaur</t>
  </si>
  <si>
    <t>Chimera</t>
  </si>
  <si>
    <t>Chuul</t>
  </si>
  <si>
    <t>Cloaker</t>
  </si>
  <si>
    <t>CN</t>
  </si>
  <si>
    <t>Cockatrice</t>
  </si>
  <si>
    <t>Couatl</t>
  </si>
  <si>
    <t>Crab</t>
  </si>
  <si>
    <t>Crab, giant</t>
  </si>
  <si>
    <t>Crawling claw</t>
  </si>
  <si>
    <t>Crocodile</t>
  </si>
  <si>
    <t>Crocodile, giant</t>
  </si>
  <si>
    <t>Cyclops</t>
  </si>
  <si>
    <t>Giant</t>
  </si>
  <si>
    <t>Darkmantle</t>
  </si>
  <si>
    <t>Death dog</t>
  </si>
  <si>
    <t>Death Knight</t>
  </si>
  <si>
    <t>Deer</t>
  </si>
  <si>
    <t>Demilich</t>
  </si>
  <si>
    <t>18 (21)</t>
  </si>
  <si>
    <t>Demon</t>
  </si>
  <si>
    <t>Demon, quasit</t>
  </si>
  <si>
    <t>Shapechanger</t>
  </si>
  <si>
    <t>Demon, yochlol</t>
  </si>
  <si>
    <t>Devil, barbed</t>
  </si>
  <si>
    <t>Devil</t>
  </si>
  <si>
    <t>Devil, bearded</t>
  </si>
  <si>
    <t>Devil, bone</t>
  </si>
  <si>
    <t>Devil, chain</t>
  </si>
  <si>
    <t>Devil, erinyes</t>
  </si>
  <si>
    <t>Devil, horned</t>
  </si>
  <si>
    <t>Devil, ice</t>
  </si>
  <si>
    <t>Devil, imp</t>
  </si>
  <si>
    <t>Devil, lemure</t>
  </si>
  <si>
    <t>Devil, pit fiend</t>
  </si>
  <si>
    <t>Devil, spined</t>
  </si>
  <si>
    <t>Dinosaur, allosaurus</t>
  </si>
  <si>
    <t>Dinosaur, ankylosaurus</t>
  </si>
  <si>
    <t>Dinosaur, plesiosaurus</t>
  </si>
  <si>
    <t>Dinosaur, pteranodon</t>
  </si>
  <si>
    <t>Dinosaur, triceratops</t>
  </si>
  <si>
    <t>Dinosaur, tyrannosaurus rex</t>
  </si>
  <si>
    <t>Dire wolf</t>
  </si>
  <si>
    <t>Displacer beast</t>
  </si>
  <si>
    <t>Doppelganger</t>
  </si>
  <si>
    <t>Dracolich (template)</t>
  </si>
  <si>
    <t>Dracolich, blue, adult</t>
  </si>
  <si>
    <t>Dragon turtle</t>
  </si>
  <si>
    <t>Dragon</t>
  </si>
  <si>
    <t>Gargantuan</t>
  </si>
  <si>
    <t>Dragon, black, adult</t>
  </si>
  <si>
    <t>Dragon, black, ancient</t>
  </si>
  <si>
    <t>Dragon, black, wyrmling</t>
  </si>
  <si>
    <t>Dragon, black, young</t>
  </si>
  <si>
    <t>Dragon, blue, adult</t>
  </si>
  <si>
    <t>Dragon, blue, ancient</t>
  </si>
  <si>
    <t>Dragon, blue, wyrmling</t>
  </si>
  <si>
    <t>Dragon, blue, young</t>
  </si>
  <si>
    <t>Dragon, brass, adult</t>
  </si>
  <si>
    <t>CG</t>
  </si>
  <si>
    <t>Dragon, brass, ancient</t>
  </si>
  <si>
    <t>Dragon, brass, wyrmling</t>
  </si>
  <si>
    <t>Dragon, brass, young</t>
  </si>
  <si>
    <t>Dragon, bronze, adult</t>
  </si>
  <si>
    <t>Dragon, bronze, ancient</t>
  </si>
  <si>
    <t>Dragon, bronze, wyrmling</t>
  </si>
  <si>
    <t>Dragon, bronze, young</t>
  </si>
  <si>
    <t>Dragon, copper, adult</t>
  </si>
  <si>
    <t>Dragon, copper, ancient</t>
  </si>
  <si>
    <t>Dragon, copper, wyrmling</t>
  </si>
  <si>
    <t>Dragon, copper, young</t>
  </si>
  <si>
    <t>Dragon, gold, adult</t>
  </si>
  <si>
    <t>Dragon, gold, ancient</t>
  </si>
  <si>
    <t>Dragon, gold, wyrmling</t>
  </si>
  <si>
    <t>Dragon, gold, young</t>
  </si>
  <si>
    <t>Dragon, green, adult</t>
  </si>
  <si>
    <t>Dragon, green, ancient</t>
  </si>
  <si>
    <t>Dragon, green, wyrmling</t>
  </si>
  <si>
    <t>Dragon, green, young</t>
  </si>
  <si>
    <t>Dragon, red, adult</t>
  </si>
  <si>
    <t>Dragon, red, ancient</t>
  </si>
  <si>
    <t>Dragon, red, wyrmling</t>
  </si>
  <si>
    <t>Dragon, red, young</t>
  </si>
  <si>
    <t>Dragon, silver, adult</t>
  </si>
  <si>
    <t>Dragon, silver, ancient</t>
  </si>
  <si>
    <t>Dragon, silver, wyrmling</t>
  </si>
  <si>
    <t>Dragon, silver, young</t>
  </si>
  <si>
    <t>Dragon, white, adult</t>
  </si>
  <si>
    <t>Dragon, white, ancient</t>
  </si>
  <si>
    <t>Dragon, white, wyrmling</t>
  </si>
  <si>
    <t>Dragon, white, young</t>
  </si>
  <si>
    <t>Drider</t>
  </si>
  <si>
    <t>Dryad</t>
  </si>
  <si>
    <t>Duergar</t>
  </si>
  <si>
    <t>Dwarf</t>
  </si>
  <si>
    <t>Eagle</t>
  </si>
  <si>
    <t>Eagle, giant</t>
  </si>
  <si>
    <t>Elemental, air</t>
  </si>
  <si>
    <t>Elemental, earth</t>
  </si>
  <si>
    <t>Elemental, fire</t>
  </si>
  <si>
    <t>Elemental, water</t>
  </si>
  <si>
    <t>Elephant</t>
  </si>
  <si>
    <t>Elf, drow</t>
  </si>
  <si>
    <t>Elf</t>
  </si>
  <si>
    <t>Elf, drow, elite warrior</t>
  </si>
  <si>
    <t>Elf, drow, mage</t>
  </si>
  <si>
    <t>Elf, drow, priestess of Lolth</t>
  </si>
  <si>
    <t>Elk</t>
  </si>
  <si>
    <t>Elk, giant</t>
  </si>
  <si>
    <t>Empyrean</t>
  </si>
  <si>
    <t>Titan</t>
  </si>
  <si>
    <t>Ettercap</t>
  </si>
  <si>
    <t>Ettin</t>
  </si>
  <si>
    <t>Faerie Dragon</t>
  </si>
  <si>
    <t>1 (2)</t>
  </si>
  <si>
    <t>Fire beetle, giant</t>
  </si>
  <si>
    <t>Flameskull</t>
  </si>
  <si>
    <t>Flumph</t>
  </si>
  <si>
    <t>Fomorian</t>
  </si>
  <si>
    <t>Frog</t>
  </si>
  <si>
    <t>Frog, giant</t>
  </si>
  <si>
    <t>Fungi, gas spore</t>
  </si>
  <si>
    <t>Fungi, shrieker</t>
  </si>
  <si>
    <t>Fungi, violet</t>
  </si>
  <si>
    <t>Galeb duhr</t>
  </si>
  <si>
    <t>Gargoyle</t>
  </si>
  <si>
    <t>Genie, dao</t>
  </si>
  <si>
    <t>Genie, djinni</t>
  </si>
  <si>
    <t>Genie, efreeti</t>
  </si>
  <si>
    <t>Genie, marid</t>
  </si>
  <si>
    <t>Ghost</t>
  </si>
  <si>
    <t>any</t>
  </si>
  <si>
    <t>Ghoul</t>
  </si>
  <si>
    <t>Giant, cloud</t>
  </si>
  <si>
    <t>Giant, fire</t>
  </si>
  <si>
    <t>Giant, frost</t>
  </si>
  <si>
    <t>Giant, hill</t>
  </si>
  <si>
    <t>Giant, stone</t>
  </si>
  <si>
    <t>Giant, storm</t>
  </si>
  <si>
    <t>Gibbering mouther</t>
  </si>
  <si>
    <t>Gith, githyanki knight</t>
  </si>
  <si>
    <t>Gith</t>
  </si>
  <si>
    <t>Gith, githyanki warrior</t>
  </si>
  <si>
    <t>Gith, githzerai monk</t>
  </si>
  <si>
    <t>Gith, githzerai zerth</t>
  </si>
  <si>
    <t>Gnoll</t>
  </si>
  <si>
    <t>Gnoll, fang of Yeenoghu</t>
  </si>
  <si>
    <t>Gnoll, pack lord</t>
  </si>
  <si>
    <t>Gnome, deep (Svirfneblin)</t>
  </si>
  <si>
    <t>Gnome</t>
  </si>
  <si>
    <t>Goat</t>
  </si>
  <si>
    <t>Goat, giant</t>
  </si>
  <si>
    <t>Goblin</t>
  </si>
  <si>
    <t>Goblin, boss</t>
  </si>
  <si>
    <t>Golem, clay</t>
  </si>
  <si>
    <t>Golem, flesh</t>
  </si>
  <si>
    <t>Golem, iron</t>
  </si>
  <si>
    <t>Golem, stone</t>
  </si>
  <si>
    <t>Gorgon</t>
  </si>
  <si>
    <t>Grell</t>
  </si>
  <si>
    <t>Grick</t>
  </si>
  <si>
    <t>Grick, alpha</t>
  </si>
  <si>
    <t>Griffon</t>
  </si>
  <si>
    <t>Grimlock</t>
  </si>
  <si>
    <t>Grimlick</t>
  </si>
  <si>
    <t>Hag, green</t>
  </si>
  <si>
    <t>Hag, night</t>
  </si>
  <si>
    <t>Hag, sea</t>
  </si>
  <si>
    <t>Half-dragon (template)</t>
  </si>
  <si>
    <t>Half-red dragon veteran</t>
  </si>
  <si>
    <t>Human</t>
  </si>
  <si>
    <t>Harpy</t>
  </si>
  <si>
    <t>Hawk</t>
  </si>
  <si>
    <t>Hell hound</t>
  </si>
  <si>
    <t>Helmed horror</t>
  </si>
  <si>
    <t>Hippogriff</t>
  </si>
  <si>
    <t>Hobgoblin</t>
  </si>
  <si>
    <t>Hobgoblin, captain</t>
  </si>
  <si>
    <t>Hobgoblin, warlord</t>
  </si>
  <si>
    <t>Homunculus</t>
  </si>
  <si>
    <t>Hook horror</t>
  </si>
  <si>
    <t>Horse, draft</t>
  </si>
  <si>
    <t>Horse, riding</t>
  </si>
  <si>
    <t>Horse, war</t>
  </si>
  <si>
    <t>Hydra</t>
  </si>
  <si>
    <t>Hyena</t>
  </si>
  <si>
    <t>Hyena, giant</t>
  </si>
  <si>
    <t>Intellect devourer</t>
  </si>
  <si>
    <t>Invisible stalker</t>
  </si>
  <si>
    <t>Jackal</t>
  </si>
  <si>
    <t>Jackalwere</t>
  </si>
  <si>
    <t>Kenku</t>
  </si>
  <si>
    <t>Killer whale</t>
  </si>
  <si>
    <t>Kobold</t>
  </si>
  <si>
    <t>Kobold, winged (urd)</t>
  </si>
  <si>
    <t>Kraken</t>
  </si>
  <si>
    <t>Kuo-toa</t>
  </si>
  <si>
    <t>Kuo-toa, archpriest</t>
  </si>
  <si>
    <t>Kuo-toa, whip</t>
  </si>
  <si>
    <t>Lamia</t>
  </si>
  <si>
    <t>Lich</t>
  </si>
  <si>
    <t>Lion</t>
  </si>
  <si>
    <t>Lizard</t>
  </si>
  <si>
    <t>Lizard, giant</t>
  </si>
  <si>
    <t>Lizardfolk</t>
  </si>
  <si>
    <t>Lizardfolk, lizard king/queen</t>
  </si>
  <si>
    <t>Lizardfolk, shaman</t>
  </si>
  <si>
    <t>Magmin</t>
  </si>
  <si>
    <t>Mammoth</t>
  </si>
  <si>
    <t>Manticore</t>
  </si>
  <si>
    <t>Mastiff</t>
  </si>
  <si>
    <t>Medusa</t>
  </si>
  <si>
    <t>Mephit, dust</t>
  </si>
  <si>
    <t>Mephit, ice</t>
  </si>
  <si>
    <t>Mephit, magma</t>
  </si>
  <si>
    <t>Mephit, mud</t>
  </si>
  <si>
    <t>Mephit, smoke</t>
  </si>
  <si>
    <t>Mephit, steam</t>
  </si>
  <si>
    <t>Merfolk</t>
  </si>
  <si>
    <t>Merrow</t>
  </si>
  <si>
    <t>Mimic</t>
  </si>
  <si>
    <t>Mind flayer</t>
  </si>
  <si>
    <t>Mind flayer, arcanist</t>
  </si>
  <si>
    <t>Minotaur</t>
  </si>
  <si>
    <t>Modron, duodrone</t>
  </si>
  <si>
    <t>Modron, monodrone</t>
  </si>
  <si>
    <t>Modron, pentadrone</t>
  </si>
  <si>
    <t>Modron, quadrone</t>
  </si>
  <si>
    <t>Modron, tridrone</t>
  </si>
  <si>
    <t>Mule</t>
  </si>
  <si>
    <t>Mummy</t>
  </si>
  <si>
    <t>Mummy lord</t>
  </si>
  <si>
    <t>Myconid, adult</t>
  </si>
  <si>
    <t>Myconid, quaggoth spore servant</t>
  </si>
  <si>
    <t>Myconid, sovereign</t>
  </si>
  <si>
    <t>Myconid, spore servant (template)</t>
  </si>
  <si>
    <t>Myconid, sprout</t>
  </si>
  <si>
    <t>Naga, bone</t>
  </si>
  <si>
    <t>Naga, guardian</t>
  </si>
  <si>
    <t>Naga, spirit</t>
  </si>
  <si>
    <t>Nightmare</t>
  </si>
  <si>
    <t>Nothic</t>
  </si>
  <si>
    <t>NPC acolyte</t>
  </si>
  <si>
    <t>NPC archmage</t>
  </si>
  <si>
    <t>non-G</t>
  </si>
  <si>
    <t>non-L</t>
  </si>
  <si>
    <t>NPC berserker</t>
  </si>
  <si>
    <t>C (any)</t>
  </si>
  <si>
    <t>NPC commoner</t>
  </si>
  <si>
    <t>NPC cult fanatic</t>
  </si>
  <si>
    <t>NPC, Cultist</t>
  </si>
  <si>
    <t>NPC druid</t>
  </si>
  <si>
    <t>NPC gladiator</t>
  </si>
  <si>
    <t>NPC guard</t>
  </si>
  <si>
    <t>NPC knight</t>
  </si>
  <si>
    <t>NPC mage</t>
  </si>
  <si>
    <t>NPC noble</t>
  </si>
  <si>
    <t>NPC priest</t>
  </si>
  <si>
    <t>NPC scout</t>
  </si>
  <si>
    <t>NPC spy</t>
  </si>
  <si>
    <t>NPC thug</t>
  </si>
  <si>
    <t>NPC tribal warrior</t>
  </si>
  <si>
    <t>NPC veteran</t>
  </si>
  <si>
    <t>Octopus</t>
  </si>
  <si>
    <t>Octopus, giant</t>
  </si>
  <si>
    <t>Ogre</t>
  </si>
  <si>
    <t>Ogre, half- (ogrillon)</t>
  </si>
  <si>
    <t>Oni (ogre mage)</t>
  </si>
  <si>
    <t>Ooze, black pudding</t>
  </si>
  <si>
    <t>Ooze</t>
  </si>
  <si>
    <t>Ooze, gelatinous cube</t>
  </si>
  <si>
    <t>Ooze, gray</t>
  </si>
  <si>
    <t>Ooze, ochre jelly</t>
  </si>
  <si>
    <t>Unaligned</t>
  </si>
  <si>
    <t>Orc</t>
  </si>
  <si>
    <t>Otyugh</t>
  </si>
  <si>
    <t>Owl</t>
  </si>
  <si>
    <t>Owl, giant</t>
  </si>
  <si>
    <t>Owlbear</t>
  </si>
  <si>
    <t>Panther</t>
  </si>
  <si>
    <t>Pegasus</t>
  </si>
  <si>
    <t>Peryton</t>
  </si>
  <si>
    <t>Piercer</t>
  </si>
  <si>
    <t>Pony</t>
  </si>
  <si>
    <t>Pseudodragon</t>
  </si>
  <si>
    <t>Purple worm</t>
  </si>
  <si>
    <t>Quaggoth</t>
  </si>
  <si>
    <t>Quoggoth</t>
  </si>
  <si>
    <t>Quaggoth, thonot</t>
  </si>
  <si>
    <t>Quipper</t>
  </si>
  <si>
    <t>Rakshasa</t>
  </si>
  <si>
    <t>Rat</t>
  </si>
  <si>
    <t>Raven</t>
  </si>
  <si>
    <t>Remorhaz</t>
  </si>
  <si>
    <t>Remorhaz, young</t>
  </si>
  <si>
    <t>Revenant</t>
  </si>
  <si>
    <t>Rhinoceros</t>
  </si>
  <si>
    <t>Roc</t>
  </si>
  <si>
    <t>Roper</t>
  </si>
  <si>
    <t>Rust monster</t>
  </si>
  <si>
    <t>Saber-toothed tiger</t>
  </si>
  <si>
    <t>Sahuagin</t>
  </si>
  <si>
    <t>Sahuagin, baron</t>
  </si>
  <si>
    <t>Sahuagin, priestess</t>
  </si>
  <si>
    <t>Salamander</t>
  </si>
  <si>
    <t>Salamander, fire snake</t>
  </si>
  <si>
    <t>Satyr</t>
  </si>
  <si>
    <t>Scarecrow</t>
  </si>
  <si>
    <t>Scorpion</t>
  </si>
  <si>
    <t>Scorpion, giant</t>
  </si>
  <si>
    <t>Sea horse</t>
  </si>
  <si>
    <t>Sea horse, giant</t>
  </si>
  <si>
    <t>Shadow</t>
  </si>
  <si>
    <t>Shadow dragon (template)</t>
  </si>
  <si>
    <t>Shadow dragon, red, young</t>
  </si>
  <si>
    <t>Shambling mound</t>
  </si>
  <si>
    <t>Shark, giant</t>
  </si>
  <si>
    <t>Shark, hunter</t>
  </si>
  <si>
    <t>Shark, reef</t>
  </si>
  <si>
    <t>Shield guardian</t>
  </si>
  <si>
    <t>Skeleton</t>
  </si>
  <si>
    <t>Skeleton, minotaur</t>
  </si>
  <si>
    <t>Skeleton, warhorse</t>
  </si>
  <si>
    <t>Slaad, blue</t>
  </si>
  <si>
    <t>Slaad, death</t>
  </si>
  <si>
    <t>Slaad, gray</t>
  </si>
  <si>
    <t>Slaad, green</t>
  </si>
  <si>
    <t>Slaad, red</t>
  </si>
  <si>
    <t>Slaad, tadpole</t>
  </si>
  <si>
    <t>Snake, constrictor</t>
  </si>
  <si>
    <t>Snake, flying</t>
  </si>
  <si>
    <t>Snake, giant constrictor</t>
  </si>
  <si>
    <t>Snake, giant poisonous</t>
  </si>
  <si>
    <t>Snake, poisonous</t>
  </si>
  <si>
    <t>Specter</t>
  </si>
  <si>
    <t>Specter, poltergeist</t>
  </si>
  <si>
    <t>Sphinx, androsphinx</t>
  </si>
  <si>
    <t>Sphinx, gynosphinx</t>
  </si>
  <si>
    <t>Spider</t>
  </si>
  <si>
    <t>Spider, giant</t>
  </si>
  <si>
    <t>Sprite</t>
  </si>
  <si>
    <t>Stirge</t>
  </si>
  <si>
    <t>Succubus/incubus</t>
  </si>
  <si>
    <t>Swarm of bats</t>
  </si>
  <si>
    <t>Medium (Tiny)</t>
  </si>
  <si>
    <t>Swarm of insects</t>
  </si>
  <si>
    <t>Swarm of poisonous snakes</t>
  </si>
  <si>
    <t>Swarm of quippers</t>
  </si>
  <si>
    <t>Swarm of rats</t>
  </si>
  <si>
    <t>Swarm of ravens</t>
  </si>
  <si>
    <t>Tarrasque</t>
  </si>
  <si>
    <t>Thri-kreen</t>
  </si>
  <si>
    <t>Tiger</t>
  </si>
  <si>
    <t>Toad, giant</t>
  </si>
  <si>
    <t>Treant</t>
  </si>
  <si>
    <t>Troglodyte</t>
  </si>
  <si>
    <t>Troll</t>
  </si>
  <si>
    <t>Umber hulk</t>
  </si>
  <si>
    <t>Unicorn</t>
  </si>
  <si>
    <t>Vampire</t>
  </si>
  <si>
    <t>Y (regional only)</t>
  </si>
  <si>
    <t>Vampire spawn</t>
  </si>
  <si>
    <t>Vampire, spellcaster</t>
  </si>
  <si>
    <t>Vampire, warrior</t>
  </si>
  <si>
    <t>Vulture</t>
  </si>
  <si>
    <t>Vulture, giant</t>
  </si>
  <si>
    <t>Wasp, giant</t>
  </si>
  <si>
    <t>Water weird</t>
  </si>
  <si>
    <t>Weasel</t>
  </si>
  <si>
    <t>Weasel, giant</t>
  </si>
  <si>
    <t>Wight</t>
  </si>
  <si>
    <t>Will-o'-wisp</t>
  </si>
  <si>
    <t>Winter wolf</t>
  </si>
  <si>
    <t>Wolf</t>
  </si>
  <si>
    <t>Worg</t>
  </si>
  <si>
    <t>Wraith</t>
  </si>
  <si>
    <t>Wyvern</t>
  </si>
  <si>
    <t>Xorn</t>
  </si>
  <si>
    <t>Yeti</t>
  </si>
  <si>
    <t>Yeti, abominable</t>
  </si>
  <si>
    <t>Yuan-ti, abomination</t>
  </si>
  <si>
    <t>Yuan-ti</t>
  </si>
  <si>
    <t>Yuan-ti, malison</t>
  </si>
  <si>
    <t>Yuan-ti, pureblood</t>
  </si>
  <si>
    <t>Yugoloth, arcanaloth</t>
  </si>
  <si>
    <t>Yugoloth</t>
  </si>
  <si>
    <t>Yugoloth, mezzoloth</t>
  </si>
  <si>
    <t>Yugoloth, nycaloth</t>
  </si>
  <si>
    <t>Yugoloth, ultraloth</t>
  </si>
  <si>
    <t>Zombie</t>
  </si>
  <si>
    <t>Zombie, beholder</t>
  </si>
  <si>
    <t>Zombie, ogre</t>
  </si>
  <si>
    <t>Bridge</t>
  </si>
  <si>
    <t>Variable</t>
  </si>
  <si>
    <t>Redbrand Ruffian</t>
  </si>
  <si>
    <t>Evil Mage</t>
  </si>
  <si>
    <t>Sildar Hallwinter</t>
  </si>
  <si>
    <t>Klarg</t>
  </si>
  <si>
    <t>Ripper</t>
  </si>
  <si>
    <t>Droop</t>
  </si>
  <si>
    <t>Iarno "Glasstaff" Albrek</t>
  </si>
  <si>
    <t>Zombie, ash</t>
  </si>
  <si>
    <t>Orc, Brughor AxeBiter</t>
  </si>
  <si>
    <t>Goblin, Yegg</t>
  </si>
  <si>
    <t>Goblin, Lhupo</t>
  </si>
  <si>
    <t>Bugbear, King Grol</t>
  </si>
  <si>
    <t>Hobgoblin, Targor Bloodsword</t>
  </si>
  <si>
    <t>Mormesk the Wraith</t>
  </si>
  <si>
    <t>Nezznar the Black Spider</t>
  </si>
  <si>
    <t>Encounter Difficulty XP per Character</t>
  </si>
  <si>
    <t>Experience Points by Challenge Rating</t>
  </si>
  <si>
    <t>Encounter XP Multipliers</t>
  </si>
  <si>
    <t>Level</t>
  </si>
  <si>
    <t>Challenge</t>
  </si>
  <si>
    <t>XP</t>
  </si>
  <si>
    <t>Number of Monsters</t>
  </si>
  <si>
    <t>Reference Book</t>
  </si>
  <si>
    <t>Abbreviation</t>
  </si>
  <si>
    <t>Basic Rules</t>
  </si>
  <si>
    <t>BR</t>
  </si>
  <si>
    <t>Player's Handbook</t>
  </si>
  <si>
    <t>PHB</t>
  </si>
  <si>
    <t>Monster Manual</t>
  </si>
  <si>
    <t>MM</t>
  </si>
  <si>
    <t>Dungeon Master's Guide</t>
  </si>
  <si>
    <t>DMG</t>
  </si>
  <si>
    <t>EncounterName</t>
  </si>
  <si>
    <t>Creature1</t>
  </si>
  <si>
    <t>Creature2</t>
  </si>
  <si>
    <t>Creature3</t>
  </si>
  <si>
    <t>Creature4</t>
  </si>
  <si>
    <t>Creature5</t>
  </si>
  <si>
    <t>Creature6</t>
  </si>
  <si>
    <t>Creature7</t>
  </si>
  <si>
    <t>Creature8</t>
  </si>
  <si>
    <t>Creature9</t>
  </si>
  <si>
    <t>Creature10</t>
  </si>
  <si>
    <t>Creature11</t>
  </si>
  <si>
    <t>Creature12</t>
  </si>
  <si>
    <t>Creature13</t>
  </si>
  <si>
    <t>Creature14</t>
  </si>
  <si>
    <t>Creature15</t>
  </si>
  <si>
    <t>Creature16</t>
  </si>
  <si>
    <t>Creature17</t>
  </si>
  <si>
    <t>Creature18</t>
  </si>
  <si>
    <t>Creature19</t>
  </si>
  <si>
    <t>Creature20</t>
  </si>
  <si>
    <t>Creature21</t>
  </si>
  <si>
    <t>Creature22</t>
  </si>
  <si>
    <t>Creature23</t>
  </si>
  <si>
    <t>Goblin Ambush</t>
  </si>
  <si>
    <t>Cragmaw Hideout - Goblin Blind</t>
  </si>
  <si>
    <t>Cragmaw Hideout - Kennel</t>
  </si>
  <si>
    <t>Cragmaw Hideout - Overpass</t>
  </si>
  <si>
    <t>Cragmaw Hideout - Gobin Den</t>
  </si>
  <si>
    <t>Cragmaw Hideout - Twin Pools Cave</t>
  </si>
  <si>
    <t>Cragmaw Hideout - Klargs Cave</t>
  </si>
  <si>
    <t>Redbrand Hideout - Barracks</t>
  </si>
  <si>
    <t>Redbrand Hideout - Tresendar Crypt</t>
  </si>
  <si>
    <t>Redbrand Hideout - Slave Pens</t>
  </si>
  <si>
    <t>Redbrand Hideout - Crevasse</t>
  </si>
  <si>
    <t>Redbrand Hideout - Guard Barrack</t>
  </si>
  <si>
    <t>Redbrand Hideout - Common Room</t>
  </si>
  <si>
    <t>Redbrand Hideout - Glasstaffs Quarters</t>
  </si>
  <si>
    <t>Wilderness Encounter - Stirges</t>
  </si>
  <si>
    <t>Wandering Encounter - Ghouls</t>
  </si>
  <si>
    <t>Wandering Encounter - Gricks</t>
  </si>
  <si>
    <t>Wandering Encounter - Skeletons</t>
  </si>
  <si>
    <t>Wandering Encounter - Ogre</t>
  </si>
  <si>
    <t>Wandering Encounter - Goblins</t>
  </si>
  <si>
    <t>Wandering Encounter - Bugbears</t>
  </si>
  <si>
    <t>Wandering Encounter - Hobgoblins</t>
  </si>
  <si>
    <t>Wandering Encounter - Orcs</t>
  </si>
  <si>
    <t>Wandering Encounter - Wolves</t>
  </si>
  <si>
    <t>Wandering Encounter - Zombies</t>
  </si>
  <si>
    <t>Wandering Encounter - Jelly, Ochre</t>
  </si>
  <si>
    <t>Wandering Encounter - Owlbear</t>
  </si>
  <si>
    <t>The Spiders Web - Old Owl Well</t>
  </si>
  <si>
    <t>Ruins of Thundertree - Westernmost Cottage</t>
  </si>
  <si>
    <t>Ruins of Thundertree - Blighted Cottages</t>
  </si>
  <si>
    <t>Ruins of Thundertree - The Brown Horse</t>
  </si>
  <si>
    <t>Ruins of Thundertree - Blighted Farmhouse</t>
  </si>
  <si>
    <t>Ruins of Thundertree - Ruined Store</t>
  </si>
  <si>
    <t>Ruins of Thundertree - Dragons Tower</t>
  </si>
  <si>
    <t>Ruins of Thundertree - Old Smithy</t>
  </si>
  <si>
    <t>Ruins of Thundertree - Old Garrison</t>
  </si>
  <si>
    <t>Ruins of Thundertree - Weavers Cottage</t>
  </si>
  <si>
    <t>Ruins of Thundertree - Dragon Cultists</t>
  </si>
  <si>
    <t>The Spiders Web - Wyvern Tor</t>
  </si>
  <si>
    <t>Cragmaw Castle - Archer Post</t>
  </si>
  <si>
    <t>Cragmaw Castle - Ruined Barracks</t>
  </si>
  <si>
    <t>Cragmaw Castle - Hobgoblin Barracks</t>
  </si>
  <si>
    <t>Cragmaw Castle - Banquet Hall</t>
  </si>
  <si>
    <t>Cragmaw Castle - Dark Hall</t>
  </si>
  <si>
    <t>Cragmaw Castle - Goblin Shrine</t>
  </si>
  <si>
    <t>Cragmaw Castle - Guard Barracks</t>
  </si>
  <si>
    <t>Cragmaw Castle - Owlbear Tower</t>
  </si>
  <si>
    <t>Cragmaw Castle - Kings Quarters</t>
  </si>
  <si>
    <t>Cragmaw Castle - Returning War Band</t>
  </si>
  <si>
    <t>Wave Echo Cave - Mine Tunnels</t>
  </si>
  <si>
    <t>Wave Echo Cave - Old Entrance</t>
  </si>
  <si>
    <t>Wave Echo Cave - Old Guardroom</t>
  </si>
  <si>
    <t>Wave Echo Cave - South Barracks</t>
  </si>
  <si>
    <t>Wave Echo Cave - Great Cavern</t>
  </si>
  <si>
    <t>Wave Echo Cave - North Barracks</t>
  </si>
  <si>
    <t>Wave Echo Cave - Smelter Cavern</t>
  </si>
  <si>
    <t>Wave Echo Cave - Wizards Quarters</t>
  </si>
  <si>
    <t>Wave Echo Cave - Forge of Spells</t>
  </si>
  <si>
    <t>Wave Echo Cave - Collapsed Cavern</t>
  </si>
  <si>
    <t>Wave Echo Cave - Temple of Dumathoin</t>
  </si>
  <si>
    <t>Chest</t>
  </si>
  <si>
    <t>Object</t>
  </si>
  <si>
    <t>Redbrand Hideout - Glasstaffs Last Stand</t>
  </si>
  <si>
    <t>Custom</t>
  </si>
  <si>
    <t>Impossible</t>
  </si>
  <si>
    <t>Position</t>
  </si>
  <si>
    <t>D1</t>
  </si>
  <si>
    <t>D2</t>
  </si>
  <si>
    <t>D3</t>
  </si>
  <si>
    <t>D4</t>
  </si>
  <si>
    <t>D5</t>
  </si>
  <si>
    <t>H1</t>
  </si>
  <si>
    <t>H2</t>
  </si>
  <si>
    <t>H3</t>
  </si>
  <si>
    <t>H4</t>
  </si>
  <si>
    <t>H5</t>
  </si>
  <si>
    <t>DAMAGE</t>
  </si>
  <si>
    <t>HEALING</t>
  </si>
  <si>
    <t>My Notes</t>
  </si>
  <si>
    <t>Total of Monsters' XP</t>
  </si>
  <si>
    <t>Encounter Adjusted XP</t>
  </si>
  <si>
    <t>Multiplier</t>
  </si>
  <si>
    <t>Encounter Difficulty</t>
  </si>
  <si>
    <t>Difficulty</t>
  </si>
  <si>
    <t>Selected</t>
  </si>
  <si>
    <t>Custom Builder</t>
  </si>
  <si>
    <t>Status</t>
  </si>
  <si>
    <t>XP Awarded per PC</t>
  </si>
  <si>
    <t>Pos</t>
  </si>
  <si>
    <t>Turn Count</t>
  </si>
  <si>
    <t>Roll</t>
  </si>
  <si>
    <t>Ogre (1d1)</t>
  </si>
  <si>
    <t>Owlbear (1d1)</t>
  </si>
  <si>
    <t>Safe</t>
  </si>
  <si>
    <t>Light Danger</t>
  </si>
  <si>
    <t>Moderate Danger</t>
  </si>
  <si>
    <t>Heavy Danger</t>
  </si>
  <si>
    <t>Extreme Danger</t>
  </si>
  <si>
    <t>Certain Danger</t>
  </si>
  <si>
    <t>Danger Level</t>
  </si>
  <si>
    <t>Probability</t>
  </si>
  <si>
    <t>Hours Traveled</t>
  </si>
  <si>
    <t>Area</t>
  </si>
  <si>
    <t>1d12</t>
  </si>
  <si>
    <t>Sylvan Forest</t>
  </si>
  <si>
    <t>EncounterTableName</t>
  </si>
  <si>
    <t>Chance of Encounter</t>
  </si>
  <si>
    <t>1d100</t>
  </si>
  <si>
    <t>Encounter Happens?</t>
  </si>
  <si>
    <t>Roll2</t>
  </si>
  <si>
    <t>Roll1</t>
  </si>
  <si>
    <t>1d8</t>
  </si>
  <si>
    <t>EncounterRoll</t>
  </si>
  <si>
    <t>Roll1Result</t>
  </si>
  <si>
    <t>Roll2Result</t>
  </si>
  <si>
    <t>EncounterTable</t>
  </si>
  <si>
    <t>Neverwinter Plains Day</t>
  </si>
  <si>
    <t>Neverwinter Plains Night</t>
  </si>
  <si>
    <t>Encounter</t>
  </si>
  <si>
    <t>CreatureCountRoll</t>
  </si>
  <si>
    <t>CreatureCountBase</t>
  </si>
  <si>
    <t>CreatureCount</t>
  </si>
  <si>
    <t>CreatureCountNotation</t>
  </si>
  <si>
    <t>Stirge (1d8+2)</t>
  </si>
  <si>
    <t>Goblin (1d6+3)</t>
  </si>
  <si>
    <t>Hobgoblin (1d4+2)</t>
  </si>
  <si>
    <t>Orc (1d4+2)</t>
  </si>
  <si>
    <t>Wolf (1d4+2)</t>
  </si>
  <si>
    <t>Ghoul (1d4+1)</t>
  </si>
  <si>
    <t/>
  </si>
  <si>
    <t>Waterdeep</t>
  </si>
  <si>
    <t>1d10</t>
  </si>
  <si>
    <t>Kenku (1d6)</t>
  </si>
  <si>
    <t>Giant Centipede (1d6)</t>
  </si>
  <si>
    <t>Swarm of Insects (1d4+1)</t>
  </si>
  <si>
    <t>Swarm of Bats (1d8+2)</t>
  </si>
  <si>
    <t>Skeleton (1d6)</t>
  </si>
  <si>
    <t>Winded Kobold (1d6+3)</t>
  </si>
  <si>
    <t>Bandit (1d6+3)</t>
  </si>
  <si>
    <t>Undermountain</t>
  </si>
  <si>
    <t>Guard (1d6+2)</t>
  </si>
  <si>
    <t>Ghoul (1d4)</t>
  </si>
  <si>
    <t>Giant Rat (1d6+1)</t>
  </si>
  <si>
    <t>Crawling Claw (1d6+2)</t>
  </si>
  <si>
    <t>Flying Sword (1d4)</t>
  </si>
  <si>
    <t>Rust Monster (1d2)</t>
  </si>
  <si>
    <t>Ettercap (1d1)</t>
  </si>
  <si>
    <t>Wererat (1d4)</t>
  </si>
  <si>
    <t>unaligned</t>
  </si>
  <si>
    <t>Description</t>
  </si>
  <si>
    <t xml:space="preserve">A rust monster's body is covered in thick, lumpy armor, its long tail ends in a bony protrusion, and two feathery antennae sprout from its insectile head. </t>
  </si>
  <si>
    <t>Huge Rust Monster</t>
  </si>
  <si>
    <t>Sword of the Lady</t>
  </si>
  <si>
    <t>Oracle of the Moon</t>
  </si>
  <si>
    <t>G (any)</t>
  </si>
  <si>
    <t>Cohort of the Pact</t>
  </si>
  <si>
    <t>Xanathar's Shadow</t>
  </si>
  <si>
    <t>Xanathar's Eye</t>
  </si>
  <si>
    <t>Xanathar's Fist</t>
  </si>
  <si>
    <t>Initiative Mod</t>
  </si>
  <si>
    <t>Initiative Score</t>
  </si>
  <si>
    <t>Init Roll</t>
  </si>
  <si>
    <t>Wererat</t>
  </si>
  <si>
    <t>Mephit, mud (1d6)</t>
  </si>
  <si>
    <t>Flying Sword</t>
  </si>
  <si>
    <t>Animated Object</t>
  </si>
  <si>
    <t>Stat Block Link</t>
  </si>
  <si>
    <t>Initiative and Turn Tracker</t>
  </si>
  <si>
    <t>Random Encounters</t>
  </si>
  <si>
    <t>Manes</t>
  </si>
  <si>
    <t>Manes (1d6+1)</t>
  </si>
  <si>
    <t>Giant Rat</t>
  </si>
  <si>
    <t>Werebear</t>
  </si>
  <si>
    <t>Wereboar</t>
  </si>
  <si>
    <t>Weretiger</t>
  </si>
  <si>
    <t>Werewolf</t>
  </si>
  <si>
    <t>Bandit</t>
  </si>
  <si>
    <t>Bandit Captain</t>
  </si>
  <si>
    <t>Ghast</t>
  </si>
  <si>
    <t>Giant Centipede</t>
  </si>
  <si>
    <t>Deva</t>
  </si>
  <si>
    <t>Angel</t>
  </si>
  <si>
    <t>Planetar</t>
  </si>
  <si>
    <t>Solar</t>
  </si>
  <si>
    <t>Animated Armor</t>
  </si>
  <si>
    <t>Rug of Smothering</t>
  </si>
  <si>
    <t>Giant Ape</t>
  </si>
  <si>
    <t>One Week in Waterdeep - Stealing Selune's Grace</t>
  </si>
  <si>
    <t>The Sorcerer's Death - 4th Floor</t>
  </si>
  <si>
    <t>The Sorcerer's Death - 1st Floor</t>
  </si>
  <si>
    <t>Giant Spider</t>
  </si>
  <si>
    <t>Giant Wolf Spider</t>
  </si>
  <si>
    <t>Phase Spider</t>
  </si>
  <si>
    <t>The Sorcerer's Death - Ground Floor</t>
  </si>
  <si>
    <t>The Sorcerer's Death - 3rd Floor</t>
  </si>
  <si>
    <t>Giant Bat</t>
  </si>
  <si>
    <t>Swarm of Bats</t>
  </si>
  <si>
    <t>The Sorcerer's Death - 5th Floor</t>
  </si>
  <si>
    <t>Hezrou</t>
  </si>
  <si>
    <t>Shadow Demon</t>
  </si>
  <si>
    <t>Quasit</t>
  </si>
  <si>
    <t>Vrock</t>
  </si>
  <si>
    <t>Nalfeshnee</t>
  </si>
  <si>
    <t>Marilith</t>
  </si>
  <si>
    <t>Yochlol</t>
  </si>
  <si>
    <t>Glabrezu</t>
  </si>
  <si>
    <t>Goristro</t>
  </si>
  <si>
    <t>Dretch</t>
  </si>
  <si>
    <t>Chasme</t>
  </si>
  <si>
    <t>Barlgura</t>
  </si>
  <si>
    <t>Balor</t>
  </si>
  <si>
    <t>The Sorcerer's Death - 6th Floor</t>
  </si>
  <si>
    <t>21</t>
  </si>
  <si>
    <t>Monk Initiate</t>
  </si>
  <si>
    <t>any L</t>
  </si>
  <si>
    <t>Monk Master</t>
  </si>
  <si>
    <t>Assassin</t>
  </si>
  <si>
    <t>The Boxer - Round 1</t>
  </si>
  <si>
    <t>The Boxer - Round 2</t>
  </si>
  <si>
    <t>The Boxer - Round 3</t>
  </si>
  <si>
    <t>Barbarian Half Orc</t>
  </si>
  <si>
    <t>Half-Orc</t>
  </si>
  <si>
    <t>Any</t>
  </si>
  <si>
    <t>http://imgur.com/HIvPzSj</t>
  </si>
  <si>
    <t>http://dungeonsmaster.com/wp-content/uploads/dnd-next/dead-in-thay/dnd-next-half-orc-barbarian-6.pdf</t>
  </si>
  <si>
    <t>Killigan</t>
  </si>
  <si>
    <t>Naivara</t>
  </si>
  <si>
    <t>Wave Echo Cave</t>
  </si>
  <si>
    <t>Ochre Jelly (1d1)</t>
  </si>
  <si>
    <t>Ochre jelly</t>
  </si>
  <si>
    <t>Stirge (2d4)</t>
  </si>
  <si>
    <t>Grick (1d4)</t>
  </si>
  <si>
    <t>Bugbear (1d4)</t>
  </si>
  <si>
    <t>Zombie (1d6)</t>
  </si>
  <si>
    <t>Drake (2d4)</t>
  </si>
  <si>
    <t>Dire Rat (1d4)</t>
  </si>
  <si>
    <t>Ochre Jelly (1d4)</t>
  </si>
  <si>
    <t>Wight (1d4)</t>
  </si>
  <si>
    <t>Zombie (1d4)</t>
  </si>
  <si>
    <t>Kruthik (1d6)</t>
  </si>
  <si>
    <t>Hyena (1d6)</t>
  </si>
  <si>
    <t>Magma Claw (1d4)</t>
  </si>
  <si>
    <t>Kobold (1d6)</t>
  </si>
  <si>
    <t>Wererat (1d6)</t>
  </si>
  <si>
    <t>Dire Wolf (1d6)</t>
  </si>
  <si>
    <t>Fire Beetle (1d4)</t>
  </si>
  <si>
    <t>Ettercap (1d4)</t>
  </si>
  <si>
    <t>Giant Spider (1d6)</t>
  </si>
  <si>
    <t>1d16</t>
  </si>
  <si>
    <t>Spellgard_Shadowfell</t>
  </si>
  <si>
    <t>Spellgard_Feywild</t>
  </si>
  <si>
    <t>Spellgard_PrimeMaterial</t>
  </si>
  <si>
    <t>Boggle</t>
  </si>
  <si>
    <t>vg 128</t>
  </si>
  <si>
    <t>Darkling</t>
  </si>
  <si>
    <t>vg 134</t>
  </si>
  <si>
    <t>Quickling</t>
  </si>
  <si>
    <t>vg 187</t>
  </si>
  <si>
    <t>Darkling Elder</t>
  </si>
  <si>
    <t>Meenlock</t>
  </si>
  <si>
    <t>vg 170</t>
  </si>
  <si>
    <t>Redcap</t>
  </si>
  <si>
    <t>vg 188</t>
  </si>
  <si>
    <t>Yeth Hound</t>
  </si>
  <si>
    <t>vg 201</t>
  </si>
  <si>
    <t>Annis Hag</t>
  </si>
  <si>
    <t>vg 159</t>
  </si>
  <si>
    <t>Bheur Hag</t>
  </si>
  <si>
    <t>vg 160</t>
  </si>
  <si>
    <t>Korred</t>
  </si>
  <si>
    <t>vg 168</t>
  </si>
  <si>
    <t>http://www.aidedd.org/dnd/monstres.php?vo=Sea-Hag</t>
  </si>
  <si>
    <t>http://www.aidedd.org/dnd/monstres.php?vo=Green-Hag</t>
  </si>
  <si>
    <t>Shadow Mastiff</t>
  </si>
  <si>
    <t>Shadowfell</t>
  </si>
  <si>
    <t>vg 190</t>
  </si>
  <si>
    <t>Shadar-Kai</t>
  </si>
  <si>
    <t>Shadar-Kai Witch</t>
  </si>
  <si>
    <t>Feywild</t>
  </si>
  <si>
    <t>Barghest</t>
  </si>
  <si>
    <t>vg 123</t>
  </si>
  <si>
    <t>https://pbs.twimg.com/media/CQFqK8QUsAAKYVz.png</t>
  </si>
  <si>
    <t>https://i.pinimg.com/originals/df/a2/e3/dfa2e371250a5871dabf48ab06c133ec.png</t>
  </si>
  <si>
    <t>Chitine</t>
  </si>
  <si>
    <t>Girallon</t>
  </si>
  <si>
    <t>vg 152</t>
  </si>
  <si>
    <t>vg 131</t>
  </si>
  <si>
    <t>Leucrotta</t>
  </si>
  <si>
    <t>vg 169</t>
  </si>
  <si>
    <t>Vargouille</t>
  </si>
  <si>
    <t>vg 195</t>
  </si>
  <si>
    <t>Wood Woad</t>
  </si>
  <si>
    <t>vg 198</t>
  </si>
  <si>
    <t>Aurochs</t>
  </si>
  <si>
    <t>vg 207</t>
  </si>
  <si>
    <t>Orc Blade of Ilneval</t>
  </si>
  <si>
    <t>vg 183</t>
  </si>
  <si>
    <t>Orc Claw of Luthic</t>
  </si>
  <si>
    <t>Orc Hand of Yurtus</t>
  </si>
  <si>
    <t>vg 184</t>
  </si>
  <si>
    <t>Orc Nutured One of Yurtrus</t>
  </si>
  <si>
    <t>Stat Block Book Page</t>
  </si>
  <si>
    <t>Orc Red Fang of Shargaas</t>
  </si>
  <si>
    <t>vg 185</t>
  </si>
  <si>
    <t>Tanarukk</t>
  </si>
  <si>
    <t>vg 186</t>
  </si>
  <si>
    <t>Shadow Mastiff Alpha</t>
  </si>
  <si>
    <t>Shadar-Kai couple and their dogs</t>
  </si>
  <si>
    <t>Yeth Hound and Redcaps! Oh My!</t>
  </si>
  <si>
    <t>The Quicklings</t>
  </si>
  <si>
    <t>Maynard</t>
  </si>
  <si>
    <t>Riley</t>
  </si>
  <si>
    <t>Silmarwyn</t>
  </si>
  <si>
    <t>Grumash's Devoted at the Durano Camp</t>
  </si>
  <si>
    <t>Grumash the Devoted</t>
  </si>
  <si>
    <t>Grumash's Camp 1</t>
  </si>
  <si>
    <t>Grumash and her Bear</t>
  </si>
  <si>
    <t>The Tanarukk</t>
  </si>
  <si>
    <t>Grutok Flesh Ripper</t>
  </si>
  <si>
    <t>http://homebrewery.naturalcrit.com/share/rJZieeqjZz</t>
  </si>
  <si>
    <t>mm 246</t>
  </si>
  <si>
    <t>mm 247</t>
  </si>
  <si>
    <t>Orc Eye of Gruumsh</t>
  </si>
  <si>
    <t>Orc Orog</t>
  </si>
  <si>
    <t>Orc War chief</t>
  </si>
  <si>
    <t>https://www.dndbeyond.com/monsters/38081-ancient-chronomancer</t>
  </si>
  <si>
    <t>Ancient Chronomancer</t>
  </si>
  <si>
    <t>Allan Redhand</t>
  </si>
  <si>
    <t>https://www.dndbeyond.com/monsters/55854-allan-redhand</t>
  </si>
  <si>
    <t>https://www.dndbeyond.com/monsters/55669-the-dark-eyed-one</t>
  </si>
  <si>
    <t>The Dark-Eyed One</t>
  </si>
  <si>
    <t>Iron Defender</t>
  </si>
  <si>
    <t>https://www.dndbeyond.com/monsters/55660-iron-defender</t>
  </si>
  <si>
    <t>Iron Cobra</t>
  </si>
  <si>
    <t>https://www.dndbeyond.com/monsters/55658-iron-cobra</t>
  </si>
  <si>
    <t>https://www.dndbeyond.com/monsters/55853-harrak</t>
  </si>
  <si>
    <t>Harrak</t>
  </si>
  <si>
    <t>Farrak</t>
  </si>
  <si>
    <t>https://www.dndbeyond.com/monsters/55849-farrak</t>
  </si>
  <si>
    <t>https://www.dndbeyond.com/monsters/55668-devlin</t>
  </si>
  <si>
    <t>Devlin</t>
  </si>
  <si>
    <t>Arbalester</t>
  </si>
  <si>
    <t>https://www.dndbeyond.com/monsters/55665-arbalester</t>
  </si>
  <si>
    <t>https://www.dndbeyond.com/monsters/56613-netherese-helper-drone-i</t>
  </si>
  <si>
    <t>Netherese Helper Drone I</t>
  </si>
  <si>
    <t>Netherese Helper Drone II</t>
  </si>
  <si>
    <t>Netherese Helper Drone III</t>
  </si>
  <si>
    <t>Netherese Helper Drone IV</t>
  </si>
  <si>
    <t>Netherese Helper Drone V</t>
  </si>
  <si>
    <t>https://www.dndbeyond.com/monsters/56614-netherese-helper-drone-ii</t>
  </si>
  <si>
    <t>https://www.dndbeyond.com/monsters/56616-netherese-helper-drone-iii</t>
  </si>
  <si>
    <t>https://www.dndbeyond.com/monsters/56617-netherese-helper-drone-iv</t>
  </si>
  <si>
    <t>https://www.dndbeyond.com/monsters/56618-netherese-helper-drone-v</t>
  </si>
  <si>
    <t>Netherese Constructs II</t>
  </si>
  <si>
    <t>Netherese Constructs I</t>
  </si>
  <si>
    <t>http://homebrewery.naturalcrit.com/share/ByX1AolmXf</t>
  </si>
  <si>
    <t>Grutok is for the Children</t>
  </si>
  <si>
    <t>Clockwork Spy</t>
  </si>
  <si>
    <t>Clockwork Soldier</t>
  </si>
  <si>
    <t>Clockwork Brawler</t>
  </si>
  <si>
    <t>Clockwork Goliath</t>
  </si>
  <si>
    <t>Clockwork Mage</t>
  </si>
  <si>
    <t>Clockwork Dragon</t>
  </si>
  <si>
    <t>Defenders of the Netherese God-Cube</t>
  </si>
  <si>
    <t>Thalak's Trading Post</t>
  </si>
  <si>
    <t>Orc, Thalak Goldtooth</t>
  </si>
  <si>
    <t>https://www.dndbeyond.com/monsters/108637-thalak-goldtooth</t>
  </si>
  <si>
    <t>Netherese Clockworks</t>
  </si>
  <si>
    <t>Clockwork Mage, Weakened</t>
  </si>
  <si>
    <t>Netherese</t>
  </si>
  <si>
    <t>Free Company</t>
  </si>
  <si>
    <t>https://homebrewery.naturalcrit.com/share/H12s-01yX#p45</t>
  </si>
  <si>
    <t>https://homebrewery.naturalcrit.com/share/H12s-01yX#p46</t>
  </si>
  <si>
    <t>https://homebrewery.naturalcrit.com/share/H12s-01yX#p47</t>
  </si>
  <si>
    <t>https://homebrewery.naturalcrit.com/share/H12s-01yX#p48</t>
  </si>
  <si>
    <t>https://homebrewery.naturalcrit.com/share/H12s-01yX#p50</t>
  </si>
  <si>
    <t>https://homebrewery.naturalcrit.com/share/H12s-01yX#p51</t>
  </si>
  <si>
    <t>Orc Worg Master</t>
  </si>
  <si>
    <t>https://www.dndbeyond.com/monsters/112159-orc-blade-of-ilneval</t>
  </si>
  <si>
    <t>https://www.dndbeyond.com/monsters/112167-orc-worg-master</t>
  </si>
  <si>
    <t>Orc Marksman</t>
  </si>
  <si>
    <t>https://www.dndbeyond.com/monsters/34931-orc-marksman</t>
  </si>
  <si>
    <t>https://www.dndbeyond.com/monsters/orc</t>
  </si>
  <si>
    <t>https://www.dndbeyond.com/monsters/worg</t>
  </si>
  <si>
    <t>Orc - 1</t>
  </si>
  <si>
    <t>Orc - 2</t>
  </si>
  <si>
    <t>Thalak's Trading Post - Part 2</t>
  </si>
  <si>
    <t>Orc - 3</t>
  </si>
  <si>
    <t>Orc - 4</t>
  </si>
  <si>
    <t>Kalmuth's Training Grounds</t>
  </si>
  <si>
    <t>Orc, Kalmuth</t>
  </si>
  <si>
    <t>https://www.dndbeyond.com/monsters/197100-kalmuth</t>
  </si>
  <si>
    <t>Orc - 5</t>
  </si>
  <si>
    <t>Orc - 6</t>
  </si>
  <si>
    <t>Nala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</si>
</sst>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2" x14ac:knownFonts="1"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  <charset val="1"/>
    </font>
    <font>
      <b/>
      <sz val="10"/>
      <color indexed="9"/>
      <name val="Arial"/>
      <family val="2"/>
      <charset val="1"/>
    </font>
    <font>
      <b/>
      <sz val="10"/>
      <color indexed="8"/>
      <name val="Arial"/>
      <family val="2"/>
      <charset val="1"/>
    </font>
    <font>
      <b/>
      <sz val="10"/>
      <name val="Arial"/>
      <family val="2"/>
      <charset val="1"/>
    </font>
    <font>
      <sz val="10"/>
      <name val="Arial"/>
      <family val="2"/>
    </font>
    <font>
      <sz val="10"/>
      <color indexed="25"/>
      <name val="Arial"/>
      <family val="2"/>
      <charset val="1"/>
    </font>
    <font>
      <sz val="10"/>
      <color indexed="49"/>
      <name val="Arial"/>
      <family val="2"/>
      <charset val="1"/>
    </font>
    <font>
      <sz val="10"/>
      <color indexed="9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theme="9"/>
      <name val="Arial"/>
      <family val="2"/>
      <charset val="1"/>
    </font>
    <font>
      <b/>
      <sz val="10"/>
      <color theme="0"/>
      <name val="Arial"/>
      <family val="2"/>
      <charset val="1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color rgb="FF000000"/>
      <name val="Helvetica"/>
    </font>
    <font>
      <b/>
      <sz val="16"/>
      <color indexed="9"/>
      <name val="Arial"/>
      <family val="2"/>
      <charset val="1"/>
    </font>
    <font>
      <b/>
      <sz val="16"/>
      <color indexed="8"/>
      <name val="Arial"/>
      <family val="2"/>
      <charset val="1"/>
    </font>
    <font>
      <sz val="16"/>
      <color indexed="8"/>
      <name val="Arial"/>
      <family val="2"/>
      <charset val="1"/>
    </font>
    <font>
      <b/>
      <sz val="16"/>
      <color theme="0"/>
      <name val="Arial"/>
      <family val="2"/>
      <charset val="1"/>
    </font>
    <font>
      <sz val="10"/>
      <color rgb="FF000000"/>
      <name val="Arial"/>
      <family val="2"/>
    </font>
    <font>
      <sz val="16"/>
      <color rgb="FF333333"/>
      <name val="Open Sans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6"/>
        <bgColor indexed="9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82">
    <xf numFmtId="0" fontId="0" fillId="0" borderId="0"/>
    <xf numFmtId="0" fontId="2" fillId="0" borderId="0"/>
    <xf numFmtId="9" fontId="1" fillId="0" borderId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24">
    <xf numFmtId="0" fontId="0" fillId="0" borderId="0" xfId="0"/>
    <xf numFmtId="0" fontId="2" fillId="0" borderId="0" xfId="1" applyFont="1" applyAlignment="1"/>
    <xf numFmtId="0" fontId="2" fillId="0" borderId="0" xfId="1"/>
    <xf numFmtId="0" fontId="4" fillId="0" borderId="0" xfId="1" applyFont="1" applyAlignment="1">
      <alignment horizontal="right"/>
    </xf>
    <xf numFmtId="0" fontId="4" fillId="0" borderId="0" xfId="1" applyFont="1" applyAlignment="1">
      <alignment horizontal="center"/>
    </xf>
    <xf numFmtId="0" fontId="2" fillId="0" borderId="0" xfId="1" applyFont="1" applyAlignment="1">
      <alignment horizontal="right"/>
    </xf>
    <xf numFmtId="0" fontId="4" fillId="0" borderId="0" xfId="1" applyFont="1" applyAlignment="1">
      <alignment horizontal="right" indent="1"/>
    </xf>
    <xf numFmtId="0" fontId="2" fillId="0" borderId="0" xfId="1" applyFont="1" applyAlignment="1">
      <alignment horizontal="left" indent="1"/>
    </xf>
    <xf numFmtId="0" fontId="2" fillId="0" borderId="0" xfId="1" applyFont="1" applyAlignment="1">
      <alignment horizontal="left" indent="2"/>
    </xf>
    <xf numFmtId="0" fontId="2" fillId="0" borderId="0" xfId="1" applyNumberFormat="1" applyFont="1" applyAlignment="1">
      <alignment horizontal="left" indent="2"/>
    </xf>
    <xf numFmtId="0" fontId="5" fillId="0" borderId="0" xfId="1" applyFont="1" applyAlignment="1">
      <alignment wrapText="1"/>
    </xf>
    <xf numFmtId="0" fontId="2" fillId="0" borderId="0" xfId="1" applyFont="1" applyAlignment="1">
      <alignment wrapText="1"/>
    </xf>
    <xf numFmtId="0" fontId="6" fillId="0" borderId="0" xfId="0" applyFont="1" applyAlignment="1">
      <alignment horizontal="center"/>
    </xf>
    <xf numFmtId="3" fontId="4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3" fontId="5" fillId="0" borderId="0" xfId="1" applyNumberFormat="1" applyFont="1" applyAlignment="1">
      <alignment horizontal="center"/>
    </xf>
    <xf numFmtId="3" fontId="6" fillId="0" borderId="0" xfId="1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6" fillId="0" borderId="0" xfId="1" applyNumberFormat="1" applyFont="1" applyAlignment="1">
      <alignment horizontal="right"/>
    </xf>
    <xf numFmtId="0" fontId="3" fillId="2" borderId="0" xfId="1" applyFont="1" applyFill="1" applyAlignment="1"/>
    <xf numFmtId="0" fontId="9" fillId="2" borderId="0" xfId="1" applyFont="1" applyFill="1"/>
    <xf numFmtId="0" fontId="3" fillId="2" borderId="0" xfId="1" applyFont="1" applyFill="1" applyAlignment="1">
      <alignment horizontal="left"/>
    </xf>
    <xf numFmtId="3" fontId="3" fillId="2" borderId="0" xfId="1" applyNumberFormat="1" applyFont="1" applyFill="1" applyAlignment="1">
      <alignment horizontal="center"/>
    </xf>
    <xf numFmtId="0" fontId="9" fillId="2" borderId="0" xfId="1" applyFont="1" applyFill="1" applyAlignment="1">
      <alignment horizontal="center"/>
    </xf>
    <xf numFmtId="0" fontId="3" fillId="2" borderId="0" xfId="1" applyFont="1" applyFill="1" applyAlignment="1">
      <alignment horizontal="center"/>
    </xf>
    <xf numFmtId="49" fontId="6" fillId="0" borderId="0" xfId="1" applyNumberFormat="1" applyFont="1" applyFill="1" applyAlignment="1">
      <alignment horizontal="center"/>
    </xf>
    <xf numFmtId="3" fontId="6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1" applyFont="1" applyFill="1" applyBorder="1" applyAlignment="1">
      <alignment horizontal="right"/>
    </xf>
    <xf numFmtId="0" fontId="2" fillId="0" borderId="0" xfId="1" applyFont="1" applyAlignment="1">
      <alignment horizontal="center"/>
    </xf>
    <xf numFmtId="4" fontId="6" fillId="0" borderId="0" xfId="1" applyNumberFormat="1" applyFont="1" applyFill="1" applyBorder="1" applyAlignment="1">
      <alignment horizontal="right"/>
    </xf>
    <xf numFmtId="0" fontId="0" fillId="0" borderId="0" xfId="1" applyFont="1" applyFill="1" applyBorder="1" applyAlignment="1">
      <alignment horizontal="right"/>
    </xf>
    <xf numFmtId="3" fontId="0" fillId="0" borderId="0" xfId="1" applyNumberFormat="1" applyFont="1" applyAlignment="1">
      <alignment horizontal="right"/>
    </xf>
    <xf numFmtId="3" fontId="0" fillId="0" borderId="0" xfId="0" applyNumberFormat="1" applyFont="1" applyAlignment="1">
      <alignment horizontal="center"/>
    </xf>
    <xf numFmtId="0" fontId="6" fillId="0" borderId="0" xfId="1" applyFont="1" applyFill="1" applyBorder="1" applyAlignment="1">
      <alignment horizontal="center"/>
    </xf>
    <xf numFmtId="0" fontId="0" fillId="0" borderId="0" xfId="1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center" wrapText="1"/>
    </xf>
    <xf numFmtId="0" fontId="0" fillId="0" borderId="0" xfId="1" applyFont="1" applyFill="1" applyBorder="1" applyAlignment="1">
      <alignment horizontal="center"/>
    </xf>
    <xf numFmtId="0" fontId="7" fillId="0" borderId="0" xfId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1" quotePrefix="1" applyFont="1" applyFill="1" applyBorder="1" applyAlignment="1">
      <alignment horizontal="center"/>
    </xf>
    <xf numFmtId="0" fontId="4" fillId="0" borderId="0" xfId="1" applyFont="1" applyFill="1" applyAlignment="1">
      <alignment horizontal="right" indent="1"/>
    </xf>
    <xf numFmtId="0" fontId="3" fillId="0" borderId="0" xfId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7" fillId="0" borderId="0" xfId="1" applyFont="1" applyFill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0" fillId="0" borderId="0" xfId="1" applyFont="1" applyAlignment="1">
      <alignment horizontal="left" indent="1"/>
    </xf>
    <xf numFmtId="0" fontId="6" fillId="0" borderId="0" xfId="1" applyFont="1" applyFill="1" applyBorder="1"/>
    <xf numFmtId="0" fontId="5" fillId="0" borderId="0" xfId="0" applyFont="1" applyFill="1" applyBorder="1" applyAlignment="1">
      <alignment horizontal="center" wrapText="1"/>
    </xf>
    <xf numFmtId="0" fontId="6" fillId="0" borderId="0" xfId="1" applyFont="1" applyFill="1" applyBorder="1" applyAlignment="1">
      <alignment horizontal="left" indent="1"/>
    </xf>
    <xf numFmtId="0" fontId="6" fillId="0" borderId="0" xfId="1" applyFont="1" applyFill="1" applyBorder="1" applyAlignment="1"/>
    <xf numFmtId="0" fontId="12" fillId="0" borderId="0" xfId="1" applyFont="1" applyFill="1" applyBorder="1" applyAlignment="1">
      <alignment horizontal="center" wrapText="1"/>
    </xf>
    <xf numFmtId="0" fontId="12" fillId="0" borderId="0" xfId="1" applyFont="1" applyFill="1" applyBorder="1" applyAlignment="1">
      <alignment horizontal="left" wrapText="1"/>
    </xf>
    <xf numFmtId="0" fontId="2" fillId="0" borderId="0" xfId="1" applyAlignment="1">
      <alignment horizontal="right"/>
    </xf>
    <xf numFmtId="0" fontId="0" fillId="0" borderId="0" xfId="0" applyAlignment="1">
      <alignment horizontal="right"/>
    </xf>
    <xf numFmtId="9" fontId="1" fillId="0" borderId="0" xfId="2" applyAlignment="1">
      <alignment horizontal="right"/>
    </xf>
    <xf numFmtId="9" fontId="1" fillId="0" borderId="0" xfId="2" applyAlignment="1">
      <alignment horizontal="left"/>
    </xf>
    <xf numFmtId="0" fontId="0" fillId="0" borderId="0" xfId="0" applyNumberFormat="1"/>
    <xf numFmtId="3" fontId="0" fillId="5" borderId="5" xfId="1" applyNumberFormat="1" applyFont="1" applyFill="1" applyBorder="1" applyAlignment="1">
      <alignment horizontal="center"/>
    </xf>
    <xf numFmtId="3" fontId="0" fillId="6" borderId="5" xfId="1" applyNumberFormat="1" applyFont="1" applyFill="1" applyBorder="1" applyAlignment="1">
      <alignment horizontal="center"/>
    </xf>
    <xf numFmtId="3" fontId="0" fillId="5" borderId="7" xfId="1" applyNumberFormat="1" applyFont="1" applyFill="1" applyBorder="1" applyAlignment="1">
      <alignment horizontal="center"/>
    </xf>
    <xf numFmtId="3" fontId="2" fillId="5" borderId="6" xfId="1" applyNumberFormat="1" applyFont="1" applyFill="1" applyBorder="1" applyAlignment="1">
      <alignment horizontal="center"/>
    </xf>
    <xf numFmtId="0" fontId="5" fillId="0" borderId="0" xfId="1" applyNumberFormat="1" applyFont="1" applyFill="1" applyBorder="1" applyAlignment="1">
      <alignment horizontal="center" wrapText="1"/>
    </xf>
    <xf numFmtId="3" fontId="1" fillId="0" borderId="0" xfId="1" applyNumberFormat="1" applyFont="1" applyFill="1" applyBorder="1" applyAlignment="1">
      <alignment horizontal="center"/>
    </xf>
    <xf numFmtId="0" fontId="0" fillId="0" borderId="0" xfId="1" applyFont="1" applyAlignment="1">
      <alignment horizontal="right"/>
    </xf>
    <xf numFmtId="0" fontId="4" fillId="0" borderId="0" xfId="1" applyFont="1" applyFill="1" applyBorder="1" applyAlignment="1"/>
    <xf numFmtId="0" fontId="2" fillId="0" borderId="0" xfId="1" applyAlignment="1"/>
    <xf numFmtId="0" fontId="6" fillId="0" borderId="0" xfId="1" applyFont="1" applyAlignment="1"/>
    <xf numFmtId="0" fontId="6" fillId="0" borderId="0" xfId="0" applyFont="1" applyAlignment="1"/>
    <xf numFmtId="0" fontId="0" fillId="0" borderId="0" xfId="0" applyFont="1" applyAlignment="1"/>
    <xf numFmtId="0" fontId="0" fillId="0" borderId="0" xfId="1" applyFont="1" applyAlignment="1"/>
    <xf numFmtId="0" fontId="6" fillId="0" borderId="0" xfId="1" applyNumberFormat="1" applyFont="1" applyFill="1" applyAlignment="1">
      <alignment horizontal="center"/>
    </xf>
    <xf numFmtId="1" fontId="6" fillId="0" borderId="0" xfId="1" applyNumberFormat="1" applyFont="1" applyFill="1" applyBorder="1" applyAlignment="1"/>
    <xf numFmtId="1" fontId="6" fillId="0" borderId="0" xfId="1" applyNumberFormat="1" applyFont="1" applyFill="1" applyBorder="1"/>
    <xf numFmtId="0" fontId="6" fillId="7" borderId="0" xfId="1" applyFont="1" applyFill="1" applyBorder="1" applyAlignment="1">
      <alignment horizontal="left" indent="1"/>
    </xf>
    <xf numFmtId="1" fontId="6" fillId="7" borderId="0" xfId="1" applyNumberFormat="1" applyFont="1" applyFill="1" applyBorder="1" applyAlignment="1"/>
    <xf numFmtId="0" fontId="6" fillId="7" borderId="0" xfId="1" applyFont="1" applyFill="1" applyBorder="1" applyAlignment="1"/>
    <xf numFmtId="0" fontId="13" fillId="0" borderId="0" xfId="249" applyAlignment="1"/>
    <xf numFmtId="0" fontId="13" fillId="0" borderId="0" xfId="249" applyFill="1" applyBorder="1" applyAlignment="1">
      <alignment horizontal="center"/>
    </xf>
    <xf numFmtId="0" fontId="13" fillId="0" borderId="0" xfId="249" applyFill="1" applyAlignment="1">
      <alignment horizontal="center"/>
    </xf>
    <xf numFmtId="0" fontId="16" fillId="4" borderId="4" xfId="1" applyNumberFormat="1" applyFont="1" applyFill="1" applyBorder="1" applyAlignment="1">
      <alignment horizontal="center" wrapText="1"/>
    </xf>
    <xf numFmtId="0" fontId="16" fillId="2" borderId="0" xfId="1" applyFont="1" applyFill="1" applyAlignment="1">
      <alignment horizontal="right" indent="1"/>
    </xf>
    <xf numFmtId="0" fontId="18" fillId="0" borderId="0" xfId="1" applyFont="1" applyAlignment="1"/>
    <xf numFmtId="164" fontId="6" fillId="0" borderId="0" xfId="250" applyNumberFormat="1" applyFont="1" applyAlignment="1"/>
    <xf numFmtId="164" fontId="0" fillId="0" borderId="0" xfId="250" applyNumberFormat="1" applyFont="1" applyAlignment="1"/>
    <xf numFmtId="164" fontId="2" fillId="0" borderId="0" xfId="250" applyNumberFormat="1" applyFont="1" applyAlignment="1"/>
    <xf numFmtId="0" fontId="0" fillId="0" borderId="0" xfId="1" applyFont="1" applyFill="1" applyAlignment="1">
      <alignment horizontal="right"/>
    </xf>
    <xf numFmtId="3" fontId="0" fillId="0" borderId="0" xfId="1" applyNumberFormat="1" applyFont="1" applyFill="1" applyAlignment="1">
      <alignment horizontal="center"/>
    </xf>
    <xf numFmtId="0" fontId="0" fillId="0" borderId="0" xfId="1" applyFont="1" applyFill="1" applyBorder="1" applyAlignment="1"/>
    <xf numFmtId="0" fontId="14" fillId="0" borderId="0" xfId="0" applyNumberFormat="1" applyFont="1" applyFill="1" applyBorder="1" applyAlignment="1" applyProtection="1"/>
    <xf numFmtId="0" fontId="0" fillId="0" borderId="0" xfId="1" applyFont="1" applyFill="1" applyBorder="1" applyAlignment="1">
      <alignment horizontal="left" indent="1"/>
    </xf>
    <xf numFmtId="0" fontId="0" fillId="0" borderId="0" xfId="1" applyFont="1" applyFill="1" applyBorder="1"/>
    <xf numFmtId="0" fontId="21" fillId="0" borderId="0" xfId="0" applyFont="1"/>
    <xf numFmtId="16" fontId="2" fillId="0" borderId="0" xfId="1" quotePrefix="1" applyNumberFormat="1" applyAlignment="1"/>
    <xf numFmtId="0" fontId="2" fillId="0" borderId="0" xfId="1" applyFill="1" applyAlignment="1"/>
    <xf numFmtId="164" fontId="2" fillId="0" borderId="0" xfId="250" quotePrefix="1" applyNumberFormat="1" applyFont="1" applyAlignment="1"/>
    <xf numFmtId="0" fontId="0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0" fillId="7" borderId="0" xfId="1" applyFont="1" applyFill="1" applyBorder="1" applyAlignment="1"/>
    <xf numFmtId="164" fontId="0" fillId="0" borderId="0" xfId="250" quotePrefix="1" applyNumberFormat="1" applyFont="1" applyAlignment="1"/>
    <xf numFmtId="0" fontId="20" fillId="0" borderId="0" xfId="0" applyFont="1"/>
    <xf numFmtId="164" fontId="4" fillId="0" borderId="0" xfId="250" applyNumberFormat="1" applyFont="1" applyFill="1" applyBorder="1" applyAlignment="1">
      <alignment horizontal="left"/>
    </xf>
    <xf numFmtId="164" fontId="6" fillId="0" borderId="0" xfId="250" applyNumberFormat="1" applyFont="1" applyAlignment="1">
      <alignment horizontal="left"/>
    </xf>
    <xf numFmtId="164" fontId="2" fillId="0" borderId="0" xfId="250" applyNumberFormat="1" applyFont="1" applyAlignment="1">
      <alignment horizontal="left"/>
    </xf>
    <xf numFmtId="164" fontId="2" fillId="0" borderId="0" xfId="250" quotePrefix="1" applyNumberFormat="1" applyFont="1" applyAlignment="1">
      <alignment horizontal="left"/>
    </xf>
    <xf numFmtId="0" fontId="13" fillId="0" borderId="0" xfId="249"/>
    <xf numFmtId="1" fontId="0" fillId="7" borderId="0" xfId="1" applyNumberFormat="1" applyFont="1" applyFill="1" applyBorder="1" applyAlignment="1"/>
    <xf numFmtId="1" fontId="6" fillId="9" borderId="0" xfId="1" applyNumberFormat="1" applyFont="1" applyFill="1" applyBorder="1" applyAlignment="1"/>
    <xf numFmtId="0" fontId="6" fillId="9" borderId="0" xfId="1" applyFont="1" applyFill="1" applyBorder="1" applyAlignment="1"/>
    <xf numFmtId="0" fontId="19" fillId="8" borderId="0" xfId="1" applyFont="1" applyFill="1" applyAlignment="1">
      <alignment horizontal="center"/>
    </xf>
    <xf numFmtId="0" fontId="17" fillId="3" borderId="0" xfId="1" applyFont="1" applyFill="1" applyBorder="1" applyAlignment="1">
      <alignment horizontal="left" indent="1"/>
    </xf>
    <xf numFmtId="0" fontId="10" fillId="0" borderId="1" xfId="1" applyFont="1" applyBorder="1" applyAlignment="1">
      <alignment horizontal="center"/>
    </xf>
    <xf numFmtId="0" fontId="10" fillId="0" borderId="2" xfId="1" applyFont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11" fillId="0" borderId="1" xfId="1" applyFont="1" applyBorder="1" applyAlignment="1">
      <alignment horizontal="center"/>
    </xf>
    <xf numFmtId="0" fontId="11" fillId="0" borderId="2" xfId="1" applyFont="1" applyBorder="1" applyAlignment="1">
      <alignment horizontal="center"/>
    </xf>
    <xf numFmtId="0" fontId="11" fillId="0" borderId="3" xfId="1" applyFont="1" applyBorder="1" applyAlignment="1">
      <alignment horizontal="center"/>
    </xf>
    <xf numFmtId="0" fontId="0" fillId="7" borderId="0" xfId="1" applyFont="1" applyFill="1" applyBorder="1" applyAlignment="1">
      <alignment horizontal="left" indent="1"/>
    </xf>
  </cellXfs>
  <cellStyles count="282">
    <cellStyle name="Comma" xfId="250" builtinId="3"/>
    <cellStyle name="Excel Built-in Normal" xfId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/>
    <cellStyle name="Normal" xfId="0" builtinId="0"/>
    <cellStyle name="Percent" xfId="2" builtinId="5"/>
  </cellStyles>
  <dxfs count="98"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5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5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5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5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5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  <dxf>
      <font>
        <b val="0"/>
        <condense val="0"/>
        <extend val="0"/>
        <color indexed="9"/>
      </font>
      <fill>
        <patternFill patternType="solid">
          <fgColor indexed="37"/>
          <bgColor indexed="16"/>
        </patternFill>
      </fill>
      <border>
        <left/>
        <right/>
        <top/>
        <bottom/>
      </border>
    </dxf>
  </dxfs>
  <tableStyles count="0" defaultTableStyle="TableStyleMedium9" defaultPivotStyle="PivotStyleMedium7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8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C0504D"/>
      <rgbColor rgb="00F2F2F2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4BACC6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6</xdr:row>
          <xdr:rowOff>0</xdr:rowOff>
        </xdr:from>
        <xdr:to>
          <xdr:col>37</xdr:col>
          <xdr:colOff>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Copy Random Encounter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6</xdr:row>
          <xdr:rowOff>0</xdr:rowOff>
        </xdr:from>
        <xdr:to>
          <xdr:col>27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xmlns="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Make Init List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6</xdr:row>
          <xdr:rowOff>0</xdr:rowOff>
        </xdr:from>
        <xdr:to>
          <xdr:col>34</xdr:col>
          <xdr:colOff>0</xdr:colOff>
          <xdr:row>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xmlns="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Roll for Encounter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6</xdr:row>
          <xdr:rowOff>0</xdr:rowOff>
        </xdr:from>
        <xdr:to>
          <xdr:col>31</xdr:col>
          <xdr:colOff>0</xdr:colOff>
          <xdr:row>9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xmlns="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Lock Init Scores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38100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8216" name="btnAddEnc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xmlns="" id="{00000000-0008-0000-0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Save Encounter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Tracker" displayName="tblTracker" ref="A11:X34" totalsRowShown="0" headerRowDxfId="90" dataDxfId="89" tableBorderDxfId="88">
  <autoFilter ref="A11:X34">
    <filterColumn colId="0" hiddenButton="1"/>
    <filterColumn colId="1" hiddenButton="1"/>
    <filterColumn colId="2" hiddenButton="1"/>
    <filterColumn colId="3" hiddenButton="1"/>
    <filterColumn colId="4" hiddenButton="1"/>
    <filterColumn colId="6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name="Position" dataDxfId="87" dataCellStyle="Excel Built-in Normal"/>
    <tableColumn id="2" name="CreatureName" dataDxfId="86"/>
    <tableColumn id="3" name="ID" dataDxfId="85"/>
    <tableColumn id="4" name="UniqueName" dataDxfId="84">
      <calculatedColumnFormula>IF(tblTracker[[#This Row],[CreatureName]]&lt;&gt;"",tblTracker[[#This Row],[CreatureName]]&amp;" - "&amp;tblTracker[[#This Row],[ID]],"")</calculatedColumnFormula>
    </tableColumn>
    <tableColumn id="5" name="Current HP" dataDxfId="83"/>
    <tableColumn id="23" name="Initiative Mod" dataDxfId="82" dataCellStyle="Excel Built-in Normal">
      <calculatedColumnFormula>_xlfn.IFNA(VLOOKUP(tblTracker[[#This Row],[CreatureName]],CreatureInfo!$A:$M,8,FALSE),"")</calculatedColumnFormula>
    </tableColumn>
    <tableColumn id="22" name="Status" dataDxfId="81"/>
    <tableColumn id="24" name="Stat Block Link" dataDxfId="80" dataCellStyle="Excel Built-in Normal">
      <calculatedColumnFormula>_xlfn.IFNA(HYPERLINK(VLOOKUP(tblTracker[[#This Row],[CreatureName]],CreatureInfo!$A:$M,9,FALSE),"Stat Block"),"")</calculatedColumnFormula>
    </tableColumn>
    <tableColumn id="6" name="My Notes" dataDxfId="79" dataCellStyle="Excel Built-in Normal"/>
    <tableColumn id="7" name="D1" dataDxfId="78" dataCellStyle="Excel Built-in Normal"/>
    <tableColumn id="8" name="D2" dataDxfId="77" dataCellStyle="Excel Built-in Normal"/>
    <tableColumn id="9" name="D3" dataDxfId="76"/>
    <tableColumn id="10" name="D4" dataDxfId="75"/>
    <tableColumn id="11" name="D5" dataDxfId="74" dataCellStyle="Excel Built-in Normal"/>
    <tableColumn id="12" name="H1" dataDxfId="73" dataCellStyle="Excel Built-in Normal"/>
    <tableColumn id="13" name="H2" dataDxfId="72" dataCellStyle="Excel Built-in Normal"/>
    <tableColumn id="14" name="H3" dataDxfId="71"/>
    <tableColumn id="15" name="H4" dataDxfId="70"/>
    <tableColumn id="16" name="H5" dataDxfId="69" dataCellStyle="Excel Built-in Normal"/>
    <tableColumn id="17" name="Challenge Rating" dataDxfId="68"/>
    <tableColumn id="18" name="XP Value" dataDxfId="67"/>
    <tableColumn id="19" name="Starting HP" dataDxfId="66"/>
    <tableColumn id="20" name="Total Healing" dataDxfId="65"/>
    <tableColumn id="21" name="Total Damage" dataDxfId="6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tblCustomEncounter" displayName="tblCustomEncounter" ref="AG11:AH34" totalsRowShown="0" headerRowDxfId="63" dataDxfId="62">
  <autoFilter ref="AG11:AH34">
    <filterColumn colId="0" hiddenButton="1"/>
    <filterColumn colId="1" hiddenButton="1"/>
  </autoFilter>
  <tableColumns count="2">
    <tableColumn id="2" name="Pos" dataDxfId="61"/>
    <tableColumn id="1" name="Custom Builder" dataDxfId="6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tblInitTracker" displayName="tblInitTracker" ref="Z11:AE43" totalsRowShown="0" headerRowDxfId="59" dataDxfId="58" headerRowCellStyle="Excel Built-in Normal" dataCellStyle="Excel Built-in Normal">
  <autoFilter ref="Z11:AE43"/>
  <sortState ref="Z12:AE43">
    <sortCondition descending="1" ref="AB11:AB43"/>
  </sortState>
  <tableColumns count="6">
    <tableColumn id="1" name="Pos" dataDxfId="57" dataCellStyle="Excel Built-in Normal"/>
    <tableColumn id="3" name="Creature" dataDxfId="56" dataCellStyle="Excel Built-in Normal"/>
    <tableColumn id="2" name="Initiative Score" dataDxfId="55" dataCellStyle="Excel Built-in Normal"/>
    <tableColumn id="7" name="Init Roll" dataDxfId="54" dataCellStyle="Excel Built-in Normal">
      <calculatedColumnFormula>IFERROR(SUM(VLOOKUP(tblInitTracker[[#This Row],[Creature]],tblTracker[[UniqueName]:[Initiative Mod]],3,FALSE),RANDBETWEEN(1,20)),0)</calculatedColumnFormula>
    </tableColumn>
    <tableColumn id="4" name="Turn Count" dataDxfId="53" dataCellStyle="Excel Built-in Normal"/>
    <tableColumn id="5" name="Notes" dataDxfId="52" dataCellStyle="Excel Built-in Normal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0" name="tbl" displayName="tbl" ref="AJ11:AK34" totalsRowShown="0">
  <autoFilter ref="AJ11:AK34">
    <filterColumn colId="0" hiddenButton="1"/>
    <filterColumn colId="1" hiddenButton="1"/>
  </autoFilter>
  <tableColumns count="2">
    <tableColumn id="1" name="Position"/>
    <tableColumn id="2" name="Creature" dataDxfId="51">
      <calculatedColumnFormula>IF(tbl[[#This Row],[Position]]&lt;=RandomEncounterTables!$N$14,RandomEncounterTables!$N$15,"")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0" name="tblBuilder" displayName="tblBuilder" ref="A12:G35" totalsRowShown="0" headerRowDxfId="43" dataDxfId="42" tableBorderDxfId="41">
  <autoFilter ref="A12:G35"/>
  <tableColumns count="7">
    <tableColumn id="1" name="Position" dataDxfId="40" dataCellStyle="Excel Built-in Normal"/>
    <tableColumn id="2" name="CreatureName" dataDxfId="39">
      <calculatedColumnFormula>IF(VLOOKUP(#REF!,_Encounters,1+A13,0)&lt;&gt;0,VLOOKUP(#REF!,_Encounters,1+A13,0),"")</calculatedColumnFormula>
    </tableColumn>
    <tableColumn id="3" name="ID" dataDxfId="38">
      <calculatedColumnFormula>IF(B13="","",IF(B13=INDIRECT("B"&amp;CELL("row",B13)-1),C12+1,1))</calculatedColumnFormula>
    </tableColumn>
    <tableColumn id="4" name="UniqueName" dataDxfId="37">
      <calculatedColumnFormula>B13&amp;C13</calculatedColumnFormula>
    </tableColumn>
    <tableColumn id="17" name="Challenge Rating" dataDxfId="36">
      <calculatedColumnFormula>IF(ISERROR(VLOOKUP(B13,_Creatures,2,0)),"",VLOOKUP(B13,_Creatures,2,0))</calculatedColumnFormula>
    </tableColumn>
    <tableColumn id="18" name="XP Value" dataDxfId="35">
      <calculatedColumnFormula>IF(ISERROR(VLOOKUP(E13,_xpByCR,2,0)),"",VLOOKUP(E13,_xpByCR,2,0))</calculatedColumnFormula>
    </tableColumn>
    <tableColumn id="19" name="Starting HP" dataDxfId="34">
      <calculatedColumnFormula>IF(ISERROR(VLOOKUP(B13,_Creatures,6,0)),"",VLOOKUP(B13,_Creatures,6,0))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blCharacterXPThresh" displayName="tblCharacterXPThresh" ref="A2:F7" totalsRowShown="0" headerRowDxfId="33" dataDxfId="32" headerRowCellStyle="Excel Built-in Normal">
  <autoFilter ref="A2:F7"/>
  <tableColumns count="6">
    <tableColumn id="1" name="CharacterName" dataDxfId="31" dataCellStyle="Excel Built-in Normal"/>
    <tableColumn id="2" name="CharacterLevel" dataDxfId="30" dataCellStyle="Excel Built-in Normal"/>
    <tableColumn id="3" name="Easy" dataDxfId="29"/>
    <tableColumn id="4" name="Medium" dataDxfId="28"/>
    <tableColumn id="5" name="Hard" dataDxfId="27"/>
    <tableColumn id="6" name="Deadly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4" name="tblEncounterDifficulty" displayName="tblEncounterDifficulty" ref="H2:J7" totalsRowShown="0">
  <autoFilter ref="H2:J7"/>
  <tableColumns count="3">
    <tableColumn id="2" name="Difficulty" dataDxfId="25" dataCellStyle="Excel Built-in Normal"/>
    <tableColumn id="3" name="MinXP" dataDxfId="24"/>
    <tableColumn id="4" name="MaxXP" dataDxfId="2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tblNeverwinterPlainsDay" displayName="tblNeverwinterPlainsDay" ref="A1:B13" totalsRowShown="0">
  <autoFilter ref="A1:B13"/>
  <tableColumns count="2">
    <tableColumn id="1" name="Roll" dataDxfId="22"/>
    <tableColumn id="2" name="Encounter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tblEncounterProbability" displayName="tblEncounterProbability" ref="D1:E7" totalsRowShown="0">
  <autoFilter ref="D1:E7"/>
  <tableColumns count="2">
    <tableColumn id="1" name="Danger Level"/>
    <tableColumn id="2" name="Probability" dataDxfId="2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tblAreas" displayName="tblAreas" ref="G1:K10" totalsRowShown="0">
  <autoFilter ref="G1:K10"/>
  <tableColumns count="5">
    <tableColumn id="1" name="Area"/>
    <tableColumn id="2" name="Roll1"/>
    <tableColumn id="5" name="Roll2"/>
    <tableColumn id="3" name="EncounterTableName" dataDxfId="20">
      <calculatedColumnFormula>SUBSTITUTE("tbl"&amp;RandomEncounterTables!$G2," ","")</calculatedColumnFormula>
    </tableColumn>
    <tableColumn id="4" name="Danger Level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9" name="tblNeverwinterPlainsNight" displayName="tblNeverwinterPlainsNight" ref="A15:B27" totalsRowShown="0">
  <autoFilter ref="A15:B27"/>
  <tableColumns count="2">
    <tableColumn id="1" name="Roll" dataDxfId="19"/>
    <tableColumn id="2" name="Encounter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1" name="tblWaterDeep" displayName="tblWaterDeep" ref="A29:B39" totalsRowShown="0">
  <autoFilter ref="A29:B39"/>
  <tableColumns count="2">
    <tableColumn id="1" name="Roll" dataDxfId="18"/>
    <tableColumn id="2" name="Encounter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2" name="tblUndermountain" displayName="tblUndermountain" ref="A41:B53" totalsRowShown="0">
  <autoFilter ref="A41:B53"/>
  <tableColumns count="2">
    <tableColumn id="1" name="Roll" dataDxfId="17"/>
    <tableColumn id="2" name="Encounter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3" name="tblWaveEchoCave" displayName="tblWaveEchoCave" ref="A55:B67" totalsRowShown="0">
  <autoFilter ref="A55:B67"/>
  <tableColumns count="2">
    <tableColumn id="1" name="Roll" dataDxfId="16"/>
    <tableColumn id="2" name="Encounter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4" name="tblSpellgard_PrimeMaterial" displayName="tblSpellgard_PrimeMaterial" ref="A69:B85" totalsRowShown="0">
  <autoFilter ref="A69:B85"/>
  <tableColumns count="2">
    <tableColumn id="1" name="Roll" dataDxfId="15"/>
    <tableColumn id="2" name="Encounter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5" name="tblSpellgard_Shadowfell" displayName="tblSpellgard_Shadowfell" ref="A87:B103" totalsRowShown="0">
  <autoFilter ref="A87:B103"/>
  <tableColumns count="2">
    <tableColumn id="1" name="Roll" dataDxfId="14"/>
    <tableColumn id="2" name="Encounter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6" name="tblSpellgard_FeyWild" displayName="tblSpellgard_FeyWild" ref="A105:B121" totalsRowShown="0">
  <autoFilter ref="A105:B121"/>
  <tableColumns count="2">
    <tableColumn id="1" name="Roll" dataDxfId="13"/>
    <tableColumn id="2" name="Encounter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3" name="tblEncounterMultipliers" displayName="tblEncounterMultipliers" ref="J2:K17" totalsRowShown="0" headerRowDxfId="11" dataDxfId="10" headerRowCellStyle="Excel Built-in Normal">
  <autoFilter ref="J2:K17"/>
  <tableColumns count="2">
    <tableColumn id="1" name="Number of Monsters" dataDxfId="9"/>
    <tableColumn id="2" name="Multiplier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table" Target="../tables/table1.xml"/><Relationship Id="rId9" Type="http://schemas.openxmlformats.org/officeDocument/2006/relationships/table" Target="../tables/table2.xml"/><Relationship Id="rId10" Type="http://schemas.openxmlformats.org/officeDocument/2006/relationships/table" Target="../tables/table3.xml"/><Relationship Id="rId11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table" Target="../tables/table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Relationship Id="rId2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4" Type="http://schemas.openxmlformats.org/officeDocument/2006/relationships/table" Target="../tables/table11.xml"/><Relationship Id="rId5" Type="http://schemas.openxmlformats.org/officeDocument/2006/relationships/table" Target="../tables/table12.xml"/><Relationship Id="rId6" Type="http://schemas.openxmlformats.org/officeDocument/2006/relationships/table" Target="../tables/table13.xml"/><Relationship Id="rId7" Type="http://schemas.openxmlformats.org/officeDocument/2006/relationships/table" Target="../tables/table14.xml"/><Relationship Id="rId8" Type="http://schemas.openxmlformats.org/officeDocument/2006/relationships/table" Target="../tables/table15.xml"/><Relationship Id="rId9" Type="http://schemas.openxmlformats.org/officeDocument/2006/relationships/table" Target="../tables/table16.xml"/><Relationship Id="rId10" Type="http://schemas.openxmlformats.org/officeDocument/2006/relationships/table" Target="../tables/table17.xml"/><Relationship Id="rId1" Type="http://schemas.openxmlformats.org/officeDocument/2006/relationships/table" Target="../tables/table8.xml"/><Relationship Id="rId2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hyperlink" Target="http://homebrewery.naturalcrit.com/share/ByX1AolmXf" TargetMode="External"/><Relationship Id="rId20" Type="http://schemas.openxmlformats.org/officeDocument/2006/relationships/hyperlink" Target="https://www.dndbeyond.com/monsters/197100-kalmuth" TargetMode="External"/><Relationship Id="rId10" Type="http://schemas.openxmlformats.org/officeDocument/2006/relationships/hyperlink" Target="https://www.dndbeyond.com/monsters/55669-the-dark-eyed-one" TargetMode="External"/><Relationship Id="rId11" Type="http://schemas.openxmlformats.org/officeDocument/2006/relationships/hyperlink" Target="https://homebrewery.naturalcrit.com/share/H12s-01yX" TargetMode="External"/><Relationship Id="rId12" Type="http://schemas.openxmlformats.org/officeDocument/2006/relationships/hyperlink" Target="https://homebrewery.naturalcrit.com/share/H12s-01yX" TargetMode="External"/><Relationship Id="rId13" Type="http://schemas.openxmlformats.org/officeDocument/2006/relationships/hyperlink" Target="https://homebrewery.naturalcrit.com/share/H12s-01yX" TargetMode="External"/><Relationship Id="rId14" Type="http://schemas.openxmlformats.org/officeDocument/2006/relationships/hyperlink" Target="https://homebrewery.naturalcrit.com/share/H12s-01yX" TargetMode="External"/><Relationship Id="rId15" Type="http://schemas.openxmlformats.org/officeDocument/2006/relationships/hyperlink" Target="https://homebrewery.naturalcrit.com/share/H12s-01yX" TargetMode="External"/><Relationship Id="rId16" Type="http://schemas.openxmlformats.org/officeDocument/2006/relationships/hyperlink" Target="https://homebrewery.naturalcrit.com/share/H12s-01yX" TargetMode="External"/><Relationship Id="rId17" Type="http://schemas.openxmlformats.org/officeDocument/2006/relationships/hyperlink" Target="https://homebrewery.naturalcrit.com/share/H12s-01yX" TargetMode="External"/><Relationship Id="rId18" Type="http://schemas.openxmlformats.org/officeDocument/2006/relationships/hyperlink" Target="https://www.dndbeyond.com/monsters/112159-orc-blade-of-ilneval" TargetMode="External"/><Relationship Id="rId19" Type="http://schemas.openxmlformats.org/officeDocument/2006/relationships/hyperlink" Target="https://www.dndbeyond.com/monsters/112167-orc-worg-master" TargetMode="External"/><Relationship Id="rId1" Type="http://schemas.openxmlformats.org/officeDocument/2006/relationships/hyperlink" Target="http://imgur.com/HIvPzSj" TargetMode="External"/><Relationship Id="rId2" Type="http://schemas.openxmlformats.org/officeDocument/2006/relationships/hyperlink" Target="http://imgur.com/HIvPzSj" TargetMode="External"/><Relationship Id="rId3" Type="http://schemas.openxmlformats.org/officeDocument/2006/relationships/hyperlink" Target="http://dungeonsmaster.com/wp-content/uploads/dnd-next/dead-in-thay/dnd-next-half-orc-barbarian-6.pdf" TargetMode="External"/><Relationship Id="rId4" Type="http://schemas.openxmlformats.org/officeDocument/2006/relationships/hyperlink" Target="https://pbs.twimg.com/media/CQFqK8QUsAAKYVz.png" TargetMode="External"/><Relationship Id="rId5" Type="http://schemas.openxmlformats.org/officeDocument/2006/relationships/hyperlink" Target="https://pbs.twimg.com/media/CQFqK8QUsAAKYVz.png" TargetMode="External"/><Relationship Id="rId6" Type="http://schemas.openxmlformats.org/officeDocument/2006/relationships/hyperlink" Target="https://i.pinimg.com/originals/df/a2/e3/dfa2e371250a5871dabf48ab06c133ec.png" TargetMode="External"/><Relationship Id="rId7" Type="http://schemas.openxmlformats.org/officeDocument/2006/relationships/hyperlink" Target="https://www.dndbeyond.com/monsters/38081-ancient-chronomancer" TargetMode="External"/><Relationship Id="rId8" Type="http://schemas.openxmlformats.org/officeDocument/2006/relationships/hyperlink" Target="https://www.dndbeyond.com/monsters/55854-allan-redha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K43"/>
  <sheetViews>
    <sheetView tabSelected="1" topLeftCell="D1" zoomScale="83" workbookViewId="0">
      <selection activeCell="I12" sqref="I12"/>
    </sheetView>
  </sheetViews>
  <sheetFormatPr baseColWidth="10" defaultColWidth="14.5" defaultRowHeight="15.75" customHeight="1" outlineLevelCol="1" x14ac:dyDescent="0.15"/>
  <cols>
    <col min="1" max="1" width="13" style="1" hidden="1" customWidth="1" outlineLevel="1"/>
    <col min="2" max="2" width="17.83203125" style="2" hidden="1" customWidth="1" outlineLevel="1"/>
    <col min="3" max="3" width="14.5" style="2" hidden="1" customWidth="1" outlineLevel="1"/>
    <col min="4" max="4" width="28.83203125" style="2" customWidth="1" collapsed="1"/>
    <col min="5" max="5" width="8.5" style="2" customWidth="1"/>
    <col min="6" max="6" width="10.5" style="2" customWidth="1"/>
    <col min="7" max="7" width="12.1640625" style="2" customWidth="1"/>
    <col min="8" max="8" width="12.6640625" style="2" customWidth="1"/>
    <col min="9" max="9" width="17.5" style="2" customWidth="1"/>
    <col min="10" max="19" width="5.1640625" style="2" customWidth="1"/>
    <col min="20" max="20" width="17" style="2" hidden="1" customWidth="1" outlineLevel="1"/>
    <col min="21" max="24" width="14.5" style="2" hidden="1" customWidth="1" outlineLevel="1"/>
    <col min="25" max="25" width="4" style="2" customWidth="1" collapsed="1"/>
    <col min="26" max="26" width="6.33203125" style="2" customWidth="1"/>
    <col min="27" max="27" width="25.6640625" style="2" customWidth="1"/>
    <col min="28" max="28" width="9.5" style="2" customWidth="1"/>
    <col min="29" max="29" width="6.33203125" style="2" customWidth="1"/>
    <col min="30" max="30" width="8.5" style="2" bestFit="1" customWidth="1"/>
    <col min="31" max="31" width="6.33203125" style="2" customWidth="1"/>
    <col min="32" max="32" width="8.83203125" style="2" bestFit="1" customWidth="1"/>
    <col min="33" max="33" width="5.33203125" style="2" customWidth="1"/>
    <col min="34" max="34" width="18" style="2" bestFit="1" customWidth="1"/>
    <col min="35" max="35" width="3.5" style="2" customWidth="1"/>
    <col min="36" max="16384" width="14.5" style="2"/>
  </cols>
  <sheetData>
    <row r="1" spans="1:37" s="88" customFormat="1" ht="21" thickBot="1" x14ac:dyDescent="0.25">
      <c r="A1" s="86" t="s">
        <v>630</v>
      </c>
      <c r="B1" s="86" t="s">
        <v>629</v>
      </c>
      <c r="C1" s="86" t="s">
        <v>23</v>
      </c>
      <c r="D1" s="87" t="s">
        <v>0</v>
      </c>
      <c r="E1" s="116" t="s">
        <v>609</v>
      </c>
      <c r="F1" s="116"/>
      <c r="G1" s="116"/>
      <c r="H1" s="116"/>
      <c r="I1" s="116"/>
      <c r="J1" s="116"/>
      <c r="K1" s="116"/>
      <c r="L1" s="116"/>
      <c r="M1" s="116"/>
      <c r="N1" s="116"/>
      <c r="O1" s="116"/>
      <c r="Z1" s="115" t="s">
        <v>713</v>
      </c>
      <c r="AA1" s="115"/>
      <c r="AB1" s="115"/>
      <c r="AC1" s="115"/>
      <c r="AD1" s="115"/>
      <c r="AE1" s="115"/>
      <c r="AG1" s="115" t="s">
        <v>714</v>
      </c>
      <c r="AH1" s="115"/>
      <c r="AI1" s="115"/>
      <c r="AJ1" s="115"/>
      <c r="AK1" s="115"/>
    </row>
    <row r="2" spans="1:37" s="1" customFormat="1" ht="15.75" customHeight="1" thickTop="1" x14ac:dyDescent="0.15">
      <c r="A2" s="67" t="str">
        <f ca="1">IF(AND(Tracker!$E$5&gt;=0,Tracker!$E$5&lt;=C2),"Yes", "No")</f>
        <v>Yes</v>
      </c>
      <c r="B2" s="64" t="s">
        <v>18</v>
      </c>
      <c r="C2" s="64">
        <f>PartyInfo!J3</f>
        <v>1250</v>
      </c>
      <c r="D2" s="6" t="s">
        <v>3</v>
      </c>
      <c r="E2" s="7">
        <f>COUNTIF(_CharacterNames,"&lt;&gt;""")</f>
        <v>5</v>
      </c>
      <c r="AI2" s="6" t="s">
        <v>647</v>
      </c>
      <c r="AJ2" s="52">
        <v>1</v>
      </c>
    </row>
    <row r="3" spans="1:37" s="1" customFormat="1" ht="15.75" customHeight="1" x14ac:dyDescent="0.15">
      <c r="A3" s="67" t="str">
        <f ca="1">IF(AND(Tracker!$E$5&gt;C2,Tracker!$E$5&lt;=C3),"Yes", "No")</f>
        <v>No</v>
      </c>
      <c r="B3" s="65" t="s">
        <v>19</v>
      </c>
      <c r="C3" s="64">
        <f>PartyInfo!J4</f>
        <v>2500</v>
      </c>
      <c r="D3" s="6" t="s">
        <v>4</v>
      </c>
      <c r="E3" s="52">
        <f ca="1">SUM(COUNTIF(E12:E34,"&gt;0"),COUNTIF(E12:E34,"DEAD"))</f>
        <v>6</v>
      </c>
      <c r="F3" s="7"/>
      <c r="G3" s="7"/>
      <c r="H3" s="7"/>
      <c r="I3" s="7"/>
      <c r="J3" s="2"/>
      <c r="AI3" s="6" t="s">
        <v>648</v>
      </c>
      <c r="AJ3" s="52" t="s">
        <v>797</v>
      </c>
    </row>
    <row r="4" spans="1:37" s="1" customFormat="1" ht="15.75" customHeight="1" x14ac:dyDescent="0.15">
      <c r="A4" s="67" t="str">
        <f ca="1">IF(AND(Tracker!$E$5&gt;C3,Tracker!$E$5&lt;=C4),"Yes", "No")</f>
        <v>No</v>
      </c>
      <c r="B4" s="64" t="s">
        <v>20</v>
      </c>
      <c r="C4" s="64">
        <f>PartyInfo!J5</f>
        <v>3750</v>
      </c>
      <c r="D4" s="6" t="s">
        <v>625</v>
      </c>
      <c r="E4" s="52">
        <f>SUM(U12:U34)</f>
        <v>600</v>
      </c>
      <c r="F4" s="52"/>
      <c r="G4" s="7"/>
      <c r="H4" s="7"/>
      <c r="I4" s="7"/>
      <c r="AI4" s="6" t="s">
        <v>654</v>
      </c>
      <c r="AJ4" s="52" t="str">
        <f ca="1">IF(RandomEncounterTables!N3&gt;=(1-RandomEncounterTables!N2)*100,"Yes","No")</f>
        <v>Yes</v>
      </c>
    </row>
    <row r="5" spans="1:37" s="1" customFormat="1" ht="15.75" customHeight="1" x14ac:dyDescent="0.15">
      <c r="A5" s="67" t="str">
        <f ca="1">IF(AND(Tracker!$E$5&gt;C4,Tracker!$E$5&lt;=C5),"Yes", "No")</f>
        <v>No</v>
      </c>
      <c r="B5" s="65" t="s">
        <v>21</v>
      </c>
      <c r="C5" s="64">
        <f>PartyInfo!J6</f>
        <v>5500</v>
      </c>
      <c r="D5" s="45" t="s">
        <v>626</v>
      </c>
      <c r="E5" s="52">
        <f ca="1">VLOOKUP(SUM(COUNTIF(E12:E34,"&gt;0"),COUNTIF(E12:E34,"DEAD")),GeneralEncounterTables!$J$3:$K$17,2,TRUE)*$E$4</f>
        <v>1200</v>
      </c>
      <c r="F5" s="52"/>
      <c r="G5" s="7"/>
      <c r="H5" s="7"/>
      <c r="I5" s="8"/>
      <c r="AI5" s="6" t="s">
        <v>664</v>
      </c>
      <c r="AJ5" s="52" t="str">
        <f ca="1">IF(AJ4="Yes",VLOOKUP(RandomEncounterTables!N8,INDIRECT(RandomEncounterTables!N9),2,FALSE),"")</f>
        <v>Wererat (1d6)</v>
      </c>
    </row>
    <row r="6" spans="1:37" s="1" customFormat="1" ht="15.75" customHeight="1" x14ac:dyDescent="0.15">
      <c r="A6" s="67" t="str">
        <f ca="1">IF(AND(Tracker!$E$5&gt;C5,Tracker!$E$5&lt;=C6),"Yes", "No")</f>
        <v>No</v>
      </c>
      <c r="B6" s="66" t="s">
        <v>610</v>
      </c>
      <c r="C6" s="64">
        <f>PartyInfo!J7</f>
        <v>999999999999</v>
      </c>
      <c r="D6" s="45" t="s">
        <v>628</v>
      </c>
      <c r="E6" s="7" t="str">
        <f ca="1">VLOOKUP("Yes",$A$1:$B$6,2,FALSE)</f>
        <v>Easy</v>
      </c>
      <c r="F6" s="52"/>
      <c r="G6"/>
      <c r="H6"/>
      <c r="I6" s="9"/>
    </row>
    <row r="7" spans="1:37" s="1" customFormat="1" ht="15.75" customHeight="1" x14ac:dyDescent="0.15">
      <c r="D7" s="45" t="s">
        <v>633</v>
      </c>
      <c r="E7" s="52">
        <f>ROUNDDOWN(E4/E2,0)</f>
        <v>120</v>
      </c>
      <c r="F7" s="7"/>
      <c r="G7"/>
      <c r="H7"/>
      <c r="I7" s="9"/>
    </row>
    <row r="8" spans="1:37" s="1" customFormat="1" ht="15.75" customHeight="1" x14ac:dyDescent="0.15">
      <c r="F8" s="52"/>
      <c r="G8"/>
      <c r="H8"/>
      <c r="I8" s="7"/>
    </row>
    <row r="9" spans="1:37" s="1" customFormat="1" ht="15.75" customHeight="1" thickBot="1" x14ac:dyDescent="0.2">
      <c r="D9" s="6"/>
      <c r="E9" s="7"/>
      <c r="F9" s="7"/>
      <c r="G9" s="7"/>
      <c r="H9" s="7"/>
      <c r="I9" s="7"/>
    </row>
    <row r="10" spans="1:37" s="1" customFormat="1" ht="13" x14ac:dyDescent="0.15">
      <c r="J10" s="117" t="s">
        <v>622</v>
      </c>
      <c r="K10" s="118"/>
      <c r="L10" s="118"/>
      <c r="M10" s="118"/>
      <c r="N10" s="119"/>
      <c r="O10" s="120" t="s">
        <v>623</v>
      </c>
      <c r="P10" s="121"/>
      <c r="Q10" s="121"/>
      <c r="R10" s="121"/>
      <c r="S10" s="122"/>
      <c r="AH10"/>
      <c r="AI10"/>
    </row>
    <row r="11" spans="1:37" s="11" customFormat="1" ht="28" customHeight="1" x14ac:dyDescent="0.15">
      <c r="A11" s="37" t="s">
        <v>611</v>
      </c>
      <c r="B11" s="38" t="s">
        <v>5</v>
      </c>
      <c r="C11" s="38" t="s">
        <v>6</v>
      </c>
      <c r="D11" s="38" t="s">
        <v>7</v>
      </c>
      <c r="E11" s="38" t="s">
        <v>8</v>
      </c>
      <c r="F11" s="38" t="s">
        <v>705</v>
      </c>
      <c r="G11" s="38" t="s">
        <v>632</v>
      </c>
      <c r="H11" s="38" t="s">
        <v>712</v>
      </c>
      <c r="I11" s="38" t="s">
        <v>624</v>
      </c>
      <c r="J11" s="37" t="s">
        <v>612</v>
      </c>
      <c r="K11" s="37" t="s">
        <v>613</v>
      </c>
      <c r="L11" s="37" t="s">
        <v>614</v>
      </c>
      <c r="M11" s="37" t="s">
        <v>615</v>
      </c>
      <c r="N11" s="37" t="s">
        <v>616</v>
      </c>
      <c r="O11" s="38" t="s">
        <v>617</v>
      </c>
      <c r="P11" s="38" t="s">
        <v>618</v>
      </c>
      <c r="Q11" s="38" t="s">
        <v>619</v>
      </c>
      <c r="R11" s="38" t="s">
        <v>620</v>
      </c>
      <c r="S11" s="38" t="s">
        <v>621</v>
      </c>
      <c r="T11" s="38" t="s">
        <v>10</v>
      </c>
      <c r="U11" s="38" t="s">
        <v>11</v>
      </c>
      <c r="V11" s="38" t="s">
        <v>12</v>
      </c>
      <c r="W11" s="38" t="s">
        <v>13</v>
      </c>
      <c r="X11" s="38" t="s">
        <v>14</v>
      </c>
      <c r="Y11" s="10"/>
      <c r="Z11" s="57" t="s">
        <v>634</v>
      </c>
      <c r="AA11" s="58" t="s">
        <v>15</v>
      </c>
      <c r="AB11" s="57" t="s">
        <v>706</v>
      </c>
      <c r="AC11" s="57" t="s">
        <v>707</v>
      </c>
      <c r="AD11" s="57" t="s">
        <v>635</v>
      </c>
      <c r="AE11" s="57" t="s">
        <v>9</v>
      </c>
      <c r="AG11" s="54" t="s">
        <v>634</v>
      </c>
      <c r="AH11" s="54" t="s">
        <v>631</v>
      </c>
      <c r="AJ11" t="s">
        <v>611</v>
      </c>
      <c r="AK11" t="s">
        <v>15</v>
      </c>
    </row>
    <row r="12" spans="1:37" ht="15.75" customHeight="1" x14ac:dyDescent="0.15">
      <c r="A12" s="34">
        <v>1</v>
      </c>
      <c r="B12" s="36" t="str">
        <f t="shared" ref="B12:B31" si="0">IF(VLOOKUP($E$1,_Encounters,1+A12,0)&lt;&gt;0,VLOOKUP($E$1,_Encounters,1+A12,0),"")</f>
        <v>Orc</v>
      </c>
      <c r="C12" s="36">
        <f ca="1">IF(B12="","",IF(B12=INDIRECT("B"&amp;CELL("row",B12)-1),C11+1,1))</f>
        <v>1</v>
      </c>
      <c r="D12" s="36" t="str">
        <f ca="1">IF(tblTracker[[#This Row],[CreatureName]]&lt;&gt;"",tblTracker[[#This Row],[CreatureName]]&amp;" - "&amp;tblTracker[[#This Row],[ID]],"")</f>
        <v>Orc - 1</v>
      </c>
      <c r="E12" s="36">
        <f t="shared" ref="E12:E34" ca="1" si="1">IF(D12="","",IF(SUM(V12:X12)&lt;=0,"DEAD",SUM(V12:X12)))</f>
        <v>15</v>
      </c>
      <c r="F12" s="36">
        <f>_xlfn.IFNA(VLOOKUP(tblTracker[[#This Row],[CreatureName]],CreatureInfo!$A:$M,8,FALSE),"")</f>
        <v>1</v>
      </c>
      <c r="G12" s="47"/>
      <c r="H12" s="84" t="str">
        <f>_xlfn.IFNA(HYPERLINK(VLOOKUP(tblTracker[[#This Row],[CreatureName]],CreatureInfo!$A:$M,9,FALSE),"Stat Block"),"")</f>
        <v>Stat Block</v>
      </c>
      <c r="I12" s="39"/>
      <c r="J12" s="40"/>
      <c r="K12" s="40"/>
      <c r="L12" s="41"/>
      <c r="M12" s="41"/>
      <c r="N12" s="40"/>
      <c r="O12" s="42"/>
      <c r="P12" s="42"/>
      <c r="Q12" s="43"/>
      <c r="R12" s="43"/>
      <c r="S12" s="42"/>
      <c r="T12" s="36" t="str">
        <f t="shared" ref="T12:T34" si="2">IF(ISERROR(VLOOKUP(B12,_Creatures,2,0)),"",VLOOKUP(B12,_Creatures,2,0))</f>
        <v>1/2</v>
      </c>
      <c r="U12" s="36">
        <f t="shared" ref="U12:U31" si="3">IF(ISERROR(VLOOKUP(T12,_xpByCR,2,0)),"",VLOOKUP(T12,_xpByCR,2,0))</f>
        <v>100</v>
      </c>
      <c r="V12" s="36">
        <f t="shared" ref="V12:V34" si="4">IF(ISERROR(VLOOKUP(B12,_Creatures,6,0)),"",VLOOKUP(B12,_Creatures,6,0))</f>
        <v>15</v>
      </c>
      <c r="W12" s="36">
        <f t="shared" ref="W12:W34" si="5">IF(B12="","",SUM(O12:S12))</f>
        <v>0</v>
      </c>
      <c r="X12" s="36">
        <f t="shared" ref="X12:X34" ca="1" si="6">IF(D12="","",-SUM(J12:N12))</f>
        <v>0</v>
      </c>
      <c r="Y12" s="1"/>
      <c r="Z12" s="80">
        <v>2</v>
      </c>
      <c r="AA12" s="80" t="s">
        <v>857</v>
      </c>
      <c r="AB12" s="81">
        <v>22</v>
      </c>
      <c r="AC12" s="113">
        <v>22</v>
      </c>
      <c r="AD12" s="104"/>
      <c r="AE12" s="82"/>
      <c r="AG12" s="47">
        <v>1</v>
      </c>
      <c r="AH12" s="47" t="s">
        <v>370</v>
      </c>
      <c r="AJ12">
        <v>1</v>
      </c>
      <c r="AK12" s="49" t="str">
        <f ca="1">IF(tbl[[#This Row],[Position]]&lt;=RandomEncounterTables!$N$14,RandomEncounterTables!$N$15,"")</f>
        <v>Wererat</v>
      </c>
    </row>
    <row r="13" spans="1:37" ht="15.75" customHeight="1" x14ac:dyDescent="0.15">
      <c r="A13" s="34">
        <f t="shared" ref="A13:A31" si="7">A12+1</f>
        <v>2</v>
      </c>
      <c r="B13" s="36" t="str">
        <f t="shared" si="0"/>
        <v>Orc</v>
      </c>
      <c r="C13" s="36">
        <f t="shared" ref="C13:C31" ca="1" si="8">IF(B13="","",IF(B13=INDIRECT("B"&amp;CELL("row",B13)-1),C12+1,1))</f>
        <v>2</v>
      </c>
      <c r="D13" s="36" t="str">
        <f ca="1">IF(tblTracker[[#This Row],[CreatureName]]&lt;&gt;"",tblTracker[[#This Row],[CreatureName]]&amp;" - "&amp;tblTracker[[#This Row],[ID]],"")</f>
        <v>Orc - 2</v>
      </c>
      <c r="E13" s="36">
        <f t="shared" ca="1" si="1"/>
        <v>15</v>
      </c>
      <c r="F13" s="36">
        <f>_xlfn.IFNA(VLOOKUP(tblTracker[[#This Row],[CreatureName]],CreatureInfo!$A:$M,8,FALSE),"")</f>
        <v>1</v>
      </c>
      <c r="G13" s="47"/>
      <c r="H13" s="84" t="str">
        <f>_xlfn.IFNA(HYPERLINK(VLOOKUP(tblTracker[[#This Row],[CreatureName]],CreatureInfo!$A:$M,9,FALSE),"Stat Block"),"")</f>
        <v>Stat Block</v>
      </c>
      <c r="I13" s="39"/>
      <c r="J13" s="40"/>
      <c r="K13" s="40"/>
      <c r="L13" s="41"/>
      <c r="M13" s="41"/>
      <c r="N13" s="40"/>
      <c r="O13" s="42"/>
      <c r="P13" s="42"/>
      <c r="Q13" s="43"/>
      <c r="R13" s="43"/>
      <c r="S13" s="42"/>
      <c r="T13" s="36" t="str">
        <f t="shared" si="2"/>
        <v>1/2</v>
      </c>
      <c r="U13" s="36">
        <f t="shared" si="3"/>
        <v>100</v>
      </c>
      <c r="V13" s="36">
        <f t="shared" si="4"/>
        <v>15</v>
      </c>
      <c r="W13" s="36">
        <f t="shared" si="5"/>
        <v>0</v>
      </c>
      <c r="X13" s="36">
        <f t="shared" ca="1" si="6"/>
        <v>0</v>
      </c>
      <c r="Z13" s="80">
        <v>5</v>
      </c>
      <c r="AA13" s="80" t="s">
        <v>772</v>
      </c>
      <c r="AB13" s="81">
        <v>21</v>
      </c>
      <c r="AC13" s="113">
        <v>21</v>
      </c>
      <c r="AD13" s="104"/>
      <c r="AE13" s="82"/>
      <c r="AG13" s="47">
        <v>2</v>
      </c>
      <c r="AH13" s="47" t="s">
        <v>370</v>
      </c>
      <c r="AJ13">
        <v>2</v>
      </c>
      <c r="AK13" s="49" t="str">
        <f ca="1">IF(tbl[[#This Row],[Position]]&lt;=RandomEncounterTables!$N$14,RandomEncounterTables!$N$15,"")</f>
        <v>Wererat</v>
      </c>
    </row>
    <row r="14" spans="1:37" ht="15.75" customHeight="1" x14ac:dyDescent="0.15">
      <c r="A14" s="34">
        <f t="shared" si="7"/>
        <v>3</v>
      </c>
      <c r="B14" s="36" t="str">
        <f t="shared" si="0"/>
        <v>Orc</v>
      </c>
      <c r="C14" s="36">
        <f t="shared" ca="1" si="8"/>
        <v>3</v>
      </c>
      <c r="D14" s="36" t="str">
        <f ca="1">IF(tblTracker[[#This Row],[CreatureName]]&lt;&gt;"",tblTracker[[#This Row],[CreatureName]]&amp;" - "&amp;tblTracker[[#This Row],[ID]],"")</f>
        <v>Orc - 3</v>
      </c>
      <c r="E14" s="36">
        <f t="shared" ca="1" si="1"/>
        <v>15</v>
      </c>
      <c r="F14" s="36">
        <f>_xlfn.IFNA(VLOOKUP(tblTracker[[#This Row],[CreatureName]],CreatureInfo!$A:$M,8,FALSE),"")</f>
        <v>1</v>
      </c>
      <c r="G14" s="47"/>
      <c r="H14" s="84" t="str">
        <f>_xlfn.IFNA(HYPERLINK(VLOOKUP(tblTracker[[#This Row],[CreatureName]],CreatureInfo!$A:$M,9,FALSE),"Stat Block"),"")</f>
        <v>Stat Block</v>
      </c>
      <c r="I14" s="39"/>
      <c r="J14" s="40"/>
      <c r="K14" s="40"/>
      <c r="L14" s="41"/>
      <c r="M14" s="41"/>
      <c r="N14" s="40"/>
      <c r="O14" s="42"/>
      <c r="P14" s="42"/>
      <c r="Q14" s="43"/>
      <c r="R14" s="43"/>
      <c r="S14" s="42"/>
      <c r="T14" s="36" t="str">
        <f t="shared" si="2"/>
        <v>1/2</v>
      </c>
      <c r="U14" s="36">
        <f t="shared" si="3"/>
        <v>100</v>
      </c>
      <c r="V14" s="36">
        <f t="shared" si="4"/>
        <v>15</v>
      </c>
      <c r="W14" s="36">
        <f t="shared" si="5"/>
        <v>0</v>
      </c>
      <c r="X14" s="36">
        <f t="shared" ca="1" si="6"/>
        <v>0</v>
      </c>
      <c r="Z14" s="55">
        <v>10</v>
      </c>
      <c r="AA14" s="96" t="s">
        <v>933</v>
      </c>
      <c r="AB14" s="79">
        <v>21</v>
      </c>
      <c r="AC14" s="56">
        <f ca="1">IFERROR(SUM(VLOOKUP(tblInitTracker[[#This Row],[Creature]],tblTracker[[UniqueName]:[Initiative Mod]],3,FALSE),RANDBETWEEN(1,20)),0)</f>
        <v>5</v>
      </c>
      <c r="AD14" s="94"/>
      <c r="AE14" s="95"/>
      <c r="AG14" s="47">
        <v>3</v>
      </c>
      <c r="AH14" s="47" t="s">
        <v>370</v>
      </c>
      <c r="AJ14">
        <v>3</v>
      </c>
      <c r="AK14" s="49" t="str">
        <f ca="1">IF(tbl[[#This Row],[Position]]&lt;=RandomEncounterTables!$N$14,RandomEncounterTables!$N$15,"")</f>
        <v>Wererat</v>
      </c>
    </row>
    <row r="15" spans="1:37" ht="15.75" customHeight="1" x14ac:dyDescent="0.15">
      <c r="A15" s="34">
        <f t="shared" si="7"/>
        <v>4</v>
      </c>
      <c r="B15" s="36" t="str">
        <f t="shared" si="0"/>
        <v>Orc</v>
      </c>
      <c r="C15" s="36">
        <f t="shared" ca="1" si="8"/>
        <v>4</v>
      </c>
      <c r="D15" s="36" t="str">
        <f ca="1">IF(tblTracker[[#This Row],[CreatureName]]&lt;&gt;"",tblTracker[[#This Row],[CreatureName]]&amp;" - "&amp;tblTracker[[#This Row],[ID]],"")</f>
        <v>Orc - 4</v>
      </c>
      <c r="E15" s="36">
        <f t="shared" ca="1" si="1"/>
        <v>15</v>
      </c>
      <c r="F15" s="36">
        <f>_xlfn.IFNA(VLOOKUP(tblTracker[[#This Row],[CreatureName]],CreatureInfo!$A:$M,8,FALSE),"")</f>
        <v>1</v>
      </c>
      <c r="G15" s="47"/>
      <c r="H15" s="84" t="str">
        <f>_xlfn.IFNA(HYPERLINK(VLOOKUP(tblTracker[[#This Row],[CreatureName]],CreatureInfo!$A:$M,9,FALSE),"Stat Block"),"")</f>
        <v>Stat Block</v>
      </c>
      <c r="I15" s="44"/>
      <c r="J15" s="40"/>
      <c r="K15" s="40"/>
      <c r="L15" s="41"/>
      <c r="M15" s="41"/>
      <c r="N15" s="40"/>
      <c r="O15" s="42"/>
      <c r="P15" s="42"/>
      <c r="Q15" s="43"/>
      <c r="R15" s="43"/>
      <c r="S15" s="42"/>
      <c r="T15" s="36" t="str">
        <f t="shared" si="2"/>
        <v>1/2</v>
      </c>
      <c r="U15" s="36">
        <f t="shared" si="3"/>
        <v>100</v>
      </c>
      <c r="V15" s="36">
        <f t="shared" si="4"/>
        <v>15</v>
      </c>
      <c r="W15" s="36">
        <f t="shared" si="5"/>
        <v>0</v>
      </c>
      <c r="X15" s="36">
        <f t="shared" ca="1" si="6"/>
        <v>0</v>
      </c>
      <c r="Z15" s="80">
        <v>1</v>
      </c>
      <c r="AA15" s="80" t="s">
        <v>856</v>
      </c>
      <c r="AB15" s="81">
        <v>18</v>
      </c>
      <c r="AC15" s="113">
        <v>18</v>
      </c>
      <c r="AD15" s="104"/>
      <c r="AE15" s="82"/>
      <c r="AG15" s="47">
        <v>4</v>
      </c>
      <c r="AH15" s="47" t="s">
        <v>370</v>
      </c>
      <c r="AJ15">
        <v>4</v>
      </c>
      <c r="AK15" s="49" t="str">
        <f ca="1">IF(tbl[[#This Row],[Position]]&lt;=RandomEncounterTables!$N$14,RandomEncounterTables!$N$15,"")</f>
        <v/>
      </c>
    </row>
    <row r="16" spans="1:37" ht="15.75" customHeight="1" x14ac:dyDescent="0.15">
      <c r="A16" s="34">
        <f t="shared" si="7"/>
        <v>5</v>
      </c>
      <c r="B16" s="36" t="str">
        <f t="shared" si="0"/>
        <v>Orc</v>
      </c>
      <c r="C16" s="36">
        <f t="shared" ca="1" si="8"/>
        <v>5</v>
      </c>
      <c r="D16" s="36" t="str">
        <f ca="1">IF(tblTracker[[#This Row],[CreatureName]]&lt;&gt;"",tblTracker[[#This Row],[CreatureName]]&amp;" - "&amp;tblTracker[[#This Row],[ID]],"")</f>
        <v>Orc - 5</v>
      </c>
      <c r="E16" s="36">
        <f t="shared" ca="1" si="1"/>
        <v>15</v>
      </c>
      <c r="F16" s="36">
        <f>_xlfn.IFNA(VLOOKUP(tblTracker[[#This Row],[CreatureName]],CreatureInfo!$A:$M,8,FALSE),"")</f>
        <v>1</v>
      </c>
      <c r="G16" s="47"/>
      <c r="H16" s="84" t="str">
        <f>_xlfn.IFNA(HYPERLINK(VLOOKUP(tblTracker[[#This Row],[CreatureName]],CreatureInfo!$A:$M,9,FALSE),"Stat Block"),"")</f>
        <v>Stat Block</v>
      </c>
      <c r="I16" s="39"/>
      <c r="J16" s="40"/>
      <c r="K16" s="40"/>
      <c r="L16" s="41"/>
      <c r="M16" s="41"/>
      <c r="N16" s="40"/>
      <c r="O16" s="42"/>
      <c r="P16" s="42"/>
      <c r="Q16" s="43"/>
      <c r="R16" s="43"/>
      <c r="S16" s="42"/>
      <c r="T16" s="36" t="str">
        <f t="shared" si="2"/>
        <v>1/2</v>
      </c>
      <c r="U16" s="36">
        <f t="shared" si="3"/>
        <v>100</v>
      </c>
      <c r="V16" s="36">
        <f t="shared" si="4"/>
        <v>15</v>
      </c>
      <c r="W16" s="36">
        <f t="shared" si="5"/>
        <v>0</v>
      </c>
      <c r="X16" s="36">
        <f t="shared" ca="1" si="6"/>
        <v>0</v>
      </c>
      <c r="Z16" s="80">
        <v>3</v>
      </c>
      <c r="AA16" s="80" t="s">
        <v>771</v>
      </c>
      <c r="AB16" s="81">
        <v>17</v>
      </c>
      <c r="AC16" s="113">
        <v>17</v>
      </c>
      <c r="AD16" s="104"/>
      <c r="AE16" s="82"/>
      <c r="AG16" s="47">
        <v>5</v>
      </c>
      <c r="AH16" s="47" t="s">
        <v>370</v>
      </c>
      <c r="AJ16">
        <v>5</v>
      </c>
      <c r="AK16" s="49" t="str">
        <f ca="1">IF(tbl[[#This Row],[Position]]&lt;=RandomEncounterTables!$N$14,RandomEncounterTables!$N$15,"")</f>
        <v/>
      </c>
    </row>
    <row r="17" spans="1:37" ht="15.75" customHeight="1" x14ac:dyDescent="0.15">
      <c r="A17" s="34">
        <f t="shared" si="7"/>
        <v>6</v>
      </c>
      <c r="B17" s="36" t="str">
        <f t="shared" si="0"/>
        <v>Orc</v>
      </c>
      <c r="C17" s="36">
        <f t="shared" ca="1" si="8"/>
        <v>6</v>
      </c>
      <c r="D17" s="36" t="str">
        <f ca="1">IF(tblTracker[[#This Row],[CreatureName]]&lt;&gt;"",tblTracker[[#This Row],[CreatureName]]&amp;" - "&amp;tblTracker[[#This Row],[ID]],"")</f>
        <v>Orc - 6</v>
      </c>
      <c r="E17" s="36">
        <f t="shared" ca="1" si="1"/>
        <v>15</v>
      </c>
      <c r="F17" s="36">
        <f>_xlfn.IFNA(VLOOKUP(tblTracker[[#This Row],[CreatureName]],CreatureInfo!$A:$M,8,FALSE),"")</f>
        <v>1</v>
      </c>
      <c r="G17" s="47"/>
      <c r="H17" s="84" t="str">
        <f>_xlfn.IFNA(HYPERLINK(VLOOKUP(tblTracker[[#This Row],[CreatureName]],CreatureInfo!$A:$M,9,FALSE),"Stat Block"),"")</f>
        <v>Stat Block</v>
      </c>
      <c r="I17" s="44"/>
      <c r="J17" s="40"/>
      <c r="K17" s="40"/>
      <c r="L17" s="41"/>
      <c r="M17" s="41"/>
      <c r="N17" s="40"/>
      <c r="O17" s="42"/>
      <c r="P17" s="42"/>
      <c r="Q17" s="43"/>
      <c r="R17" s="43"/>
      <c r="S17" s="42"/>
      <c r="T17" s="36" t="str">
        <f t="shared" si="2"/>
        <v>1/2</v>
      </c>
      <c r="U17" s="36">
        <f t="shared" si="3"/>
        <v>100</v>
      </c>
      <c r="V17" s="36">
        <f t="shared" si="4"/>
        <v>15</v>
      </c>
      <c r="W17" s="36">
        <f t="shared" si="5"/>
        <v>0</v>
      </c>
      <c r="X17" s="36">
        <f t="shared" ca="1" si="6"/>
        <v>0</v>
      </c>
      <c r="Z17" s="80">
        <v>4</v>
      </c>
      <c r="AA17" s="123" t="s">
        <v>940</v>
      </c>
      <c r="AB17" s="81">
        <v>17</v>
      </c>
      <c r="AC17" s="113">
        <v>17</v>
      </c>
      <c r="AD17" s="104"/>
      <c r="AE17" s="82"/>
      <c r="AG17" s="47">
        <v>6</v>
      </c>
      <c r="AH17" s="47" t="s">
        <v>370</v>
      </c>
      <c r="AJ17">
        <v>6</v>
      </c>
      <c r="AK17" s="49" t="str">
        <f ca="1">IF(tbl[[#This Row],[Position]]&lt;=RandomEncounterTables!$N$14,RandomEncounterTables!$N$15,"")</f>
        <v/>
      </c>
    </row>
    <row r="18" spans="1:37" ht="15.75" customHeight="1" x14ac:dyDescent="0.15">
      <c r="A18" s="34">
        <f t="shared" si="7"/>
        <v>7</v>
      </c>
      <c r="B18" s="36" t="str">
        <f t="shared" si="0"/>
        <v/>
      </c>
      <c r="C18" s="36" t="str">
        <f t="shared" ca="1" si="8"/>
        <v/>
      </c>
      <c r="D18" s="36" t="str">
        <f>IF(tblTracker[[#This Row],[CreatureName]]&lt;&gt;"",tblTracker[[#This Row],[CreatureName]]&amp;" - "&amp;tblTracker[[#This Row],[ID]],"")</f>
        <v/>
      </c>
      <c r="E18" s="36" t="str">
        <f t="shared" si="1"/>
        <v/>
      </c>
      <c r="F18" s="36" t="str">
        <f>_xlfn.IFNA(VLOOKUP(tblTracker[[#This Row],[CreatureName]],CreatureInfo!$A:$M,8,FALSE),"")</f>
        <v/>
      </c>
      <c r="G18" s="47"/>
      <c r="H18" s="84" t="str">
        <f>_xlfn.IFNA(HYPERLINK(VLOOKUP(tblTracker[[#This Row],[CreatureName]],CreatureInfo!$A:$M,9,FALSE),"Stat Block"),"")</f>
        <v/>
      </c>
      <c r="I18" s="39"/>
      <c r="J18" s="40"/>
      <c r="K18" s="40"/>
      <c r="L18" s="41"/>
      <c r="M18" s="41"/>
      <c r="N18" s="40"/>
      <c r="O18" s="42"/>
      <c r="P18" s="42"/>
      <c r="Q18" s="43"/>
      <c r="R18" s="43"/>
      <c r="S18" s="42"/>
      <c r="T18" s="36" t="str">
        <f t="shared" si="2"/>
        <v/>
      </c>
      <c r="U18" s="36" t="str">
        <f t="shared" si="3"/>
        <v/>
      </c>
      <c r="V18" s="36" t="str">
        <f t="shared" si="4"/>
        <v/>
      </c>
      <c r="W18" s="36" t="str">
        <f t="shared" si="5"/>
        <v/>
      </c>
      <c r="X18" s="36" t="str">
        <f t="shared" si="6"/>
        <v/>
      </c>
      <c r="Z18" s="55">
        <v>9</v>
      </c>
      <c r="AA18" s="96" t="s">
        <v>931</v>
      </c>
      <c r="AB18" s="78">
        <v>17</v>
      </c>
      <c r="AC18" s="56">
        <f ca="1">IFERROR(SUM(VLOOKUP(tblInitTracker[[#This Row],[Creature]],tblTracker[[UniqueName]:[Initiative Mod]],3,FALSE),RANDBETWEEN(1,20)),0)</f>
        <v>19</v>
      </c>
      <c r="AD18" s="94"/>
      <c r="AE18" s="94"/>
      <c r="AG18" s="47">
        <v>7</v>
      </c>
      <c r="AH18" s="47"/>
      <c r="AJ18">
        <v>7</v>
      </c>
      <c r="AK18" s="49" t="str">
        <f ca="1">IF(tbl[[#This Row],[Position]]&lt;=RandomEncounterTables!$N$14,RandomEncounterTables!$N$15,"")</f>
        <v/>
      </c>
    </row>
    <row r="19" spans="1:37" ht="15.75" customHeight="1" x14ac:dyDescent="0.15">
      <c r="A19" s="34">
        <f t="shared" si="7"/>
        <v>8</v>
      </c>
      <c r="B19" s="36" t="str">
        <f t="shared" si="0"/>
        <v/>
      </c>
      <c r="C19" s="36" t="str">
        <f t="shared" ca="1" si="8"/>
        <v/>
      </c>
      <c r="D19" s="36" t="str">
        <f>IF(tblTracker[[#This Row],[CreatureName]]&lt;&gt;"",tblTracker[[#This Row],[CreatureName]]&amp;" - "&amp;tblTracker[[#This Row],[ID]],"")</f>
        <v/>
      </c>
      <c r="E19" s="36" t="str">
        <f t="shared" si="1"/>
        <v/>
      </c>
      <c r="F19" s="36" t="str">
        <f>_xlfn.IFNA(VLOOKUP(tblTracker[[#This Row],[CreatureName]],CreatureInfo!$A:$M,8,FALSE),"")</f>
        <v/>
      </c>
      <c r="G19" s="47"/>
      <c r="H19" s="84" t="str">
        <f>_xlfn.IFNA(HYPERLINK(VLOOKUP(tblTracker[[#This Row],[CreatureName]],CreatureInfo!$A:$M,9,FALSE),"Stat Block"),"")</f>
        <v/>
      </c>
      <c r="I19" s="39"/>
      <c r="J19" s="40"/>
      <c r="K19" s="40"/>
      <c r="L19" s="41"/>
      <c r="M19" s="41"/>
      <c r="N19" s="40"/>
      <c r="O19" s="42"/>
      <c r="P19" s="42"/>
      <c r="Q19" s="43"/>
      <c r="R19" s="43"/>
      <c r="S19" s="42"/>
      <c r="T19" s="36" t="str">
        <f t="shared" si="2"/>
        <v/>
      </c>
      <c r="U19" s="36" t="str">
        <f t="shared" si="3"/>
        <v/>
      </c>
      <c r="V19" s="36" t="str">
        <f t="shared" si="4"/>
        <v/>
      </c>
      <c r="W19" s="36" t="str">
        <f t="shared" si="5"/>
        <v/>
      </c>
      <c r="X19" s="36" t="str">
        <f t="shared" si="6"/>
        <v/>
      </c>
      <c r="Z19" s="55">
        <v>11</v>
      </c>
      <c r="AA19" s="96" t="s">
        <v>934</v>
      </c>
      <c r="AB19" s="79">
        <v>16</v>
      </c>
      <c r="AC19" s="56">
        <f ca="1">IFERROR(SUM(VLOOKUP(tblInitTracker[[#This Row],[Creature]],tblTracker[[UniqueName]:[Initiative Mod]],3,FALSE),RANDBETWEEN(1,20)),0)</f>
        <v>18</v>
      </c>
      <c r="AD19" s="97"/>
      <c r="AE19" s="97"/>
      <c r="AG19" s="47">
        <v>8</v>
      </c>
      <c r="AH19" s="47"/>
      <c r="AJ19">
        <v>8</v>
      </c>
      <c r="AK19" s="49" t="str">
        <f ca="1">IF(tbl[[#This Row],[Position]]&lt;=RandomEncounterTables!$N$14,RandomEncounterTables!$N$15,"")</f>
        <v/>
      </c>
    </row>
    <row r="20" spans="1:37" ht="15.75" customHeight="1" x14ac:dyDescent="0.15">
      <c r="A20" s="34">
        <f t="shared" si="7"/>
        <v>9</v>
      </c>
      <c r="B20" s="36" t="str">
        <f t="shared" si="0"/>
        <v/>
      </c>
      <c r="C20" s="36" t="str">
        <f t="shared" ca="1" si="8"/>
        <v/>
      </c>
      <c r="D20" s="36" t="str">
        <f>IF(tblTracker[[#This Row],[CreatureName]]&lt;&gt;"",tblTracker[[#This Row],[CreatureName]]&amp;" - "&amp;tblTracker[[#This Row],[ID]],"")</f>
        <v/>
      </c>
      <c r="E20" s="36" t="str">
        <f t="shared" si="1"/>
        <v/>
      </c>
      <c r="F20" s="36" t="str">
        <f>_xlfn.IFNA(VLOOKUP(tblTracker[[#This Row],[CreatureName]],CreatureInfo!$A:$M,8,FALSE),"")</f>
        <v/>
      </c>
      <c r="G20" s="47"/>
      <c r="H20" s="84" t="str">
        <f>_xlfn.IFNA(HYPERLINK(VLOOKUP(tblTracker[[#This Row],[CreatureName]],CreatureInfo!$A:$M,9,FALSE),"Stat Block"),"")</f>
        <v/>
      </c>
      <c r="I20" s="44"/>
      <c r="J20" s="40"/>
      <c r="K20" s="40"/>
      <c r="L20" s="41"/>
      <c r="M20" s="41"/>
      <c r="N20" s="40"/>
      <c r="O20" s="42"/>
      <c r="P20" s="42"/>
      <c r="Q20" s="43"/>
      <c r="R20" s="43"/>
      <c r="S20" s="42"/>
      <c r="T20" s="36" t="str">
        <f t="shared" si="2"/>
        <v/>
      </c>
      <c r="U20" s="36" t="str">
        <f t="shared" si="3"/>
        <v/>
      </c>
      <c r="V20" s="36" t="str">
        <f t="shared" si="4"/>
        <v/>
      </c>
      <c r="W20" s="36" t="str">
        <f t="shared" si="5"/>
        <v/>
      </c>
      <c r="X20" s="36" t="str">
        <f t="shared" si="6"/>
        <v/>
      </c>
      <c r="Z20" s="55">
        <v>8</v>
      </c>
      <c r="AA20" s="96" t="s">
        <v>930</v>
      </c>
      <c r="AB20" s="78">
        <v>14</v>
      </c>
      <c r="AC20" s="56">
        <f ca="1">IFERROR(SUM(VLOOKUP(tblInitTracker[[#This Row],[Creature]],tblTracker[[UniqueName]:[Initiative Mod]],3,FALSE),RANDBETWEEN(1,20)),0)</f>
        <v>17</v>
      </c>
      <c r="AD20" s="94"/>
      <c r="AE20" s="94"/>
      <c r="AG20" s="47">
        <v>9</v>
      </c>
      <c r="AH20" s="47"/>
      <c r="AJ20">
        <v>9</v>
      </c>
      <c r="AK20" s="49" t="str">
        <f ca="1">IF(tbl[[#This Row],[Position]]&lt;=RandomEncounterTables!$N$14,RandomEncounterTables!$N$15,"")</f>
        <v/>
      </c>
    </row>
    <row r="21" spans="1:37" ht="15.75" customHeight="1" x14ac:dyDescent="0.15">
      <c r="A21" s="34">
        <f t="shared" si="7"/>
        <v>10</v>
      </c>
      <c r="B21" s="36" t="str">
        <f t="shared" si="0"/>
        <v/>
      </c>
      <c r="C21" s="36" t="str">
        <f t="shared" ca="1" si="8"/>
        <v/>
      </c>
      <c r="D21" s="36" t="str">
        <f>IF(tblTracker[[#This Row],[CreatureName]]&lt;&gt;"",tblTracker[[#This Row],[CreatureName]]&amp;" - "&amp;tblTracker[[#This Row],[ID]],"")</f>
        <v/>
      </c>
      <c r="E21" s="36" t="str">
        <f t="shared" si="1"/>
        <v/>
      </c>
      <c r="F21" s="36" t="str">
        <f>_xlfn.IFNA(VLOOKUP(tblTracker[[#This Row],[CreatureName]],CreatureInfo!$A:$M,8,FALSE),"")</f>
        <v/>
      </c>
      <c r="G21" s="36"/>
      <c r="H21" s="84" t="str">
        <f>_xlfn.IFNA(HYPERLINK(VLOOKUP(tblTracker[[#This Row],[CreatureName]],CreatureInfo!$A:$M,9,FALSE),"Stat Block"),"")</f>
        <v/>
      </c>
      <c r="I21" s="39"/>
      <c r="J21" s="40"/>
      <c r="K21" s="40"/>
      <c r="L21" s="41"/>
      <c r="M21" s="41"/>
      <c r="N21" s="40"/>
      <c r="O21" s="42"/>
      <c r="P21" s="42"/>
      <c r="Q21" s="43"/>
      <c r="R21" s="43"/>
      <c r="S21" s="42"/>
      <c r="T21" s="36" t="str">
        <f t="shared" si="2"/>
        <v/>
      </c>
      <c r="U21" s="36" t="str">
        <f t="shared" si="3"/>
        <v/>
      </c>
      <c r="V21" s="36" t="str">
        <f t="shared" si="4"/>
        <v/>
      </c>
      <c r="W21" s="36" t="str">
        <f t="shared" si="5"/>
        <v/>
      </c>
      <c r="X21" s="36" t="str">
        <f t="shared" si="6"/>
        <v/>
      </c>
      <c r="Z21" s="55">
        <v>12</v>
      </c>
      <c r="AA21" s="96" t="s">
        <v>938</v>
      </c>
      <c r="AB21" s="78">
        <v>3</v>
      </c>
      <c r="AC21" s="56">
        <f ca="1">IFERROR(SUM(VLOOKUP(tblInitTracker[[#This Row],[Creature]],tblTracker[[UniqueName]:[Initiative Mod]],3,FALSE),RANDBETWEEN(1,20)),0)</f>
        <v>19</v>
      </c>
      <c r="AD21" s="94"/>
      <c r="AE21" s="97"/>
      <c r="AG21" s="47">
        <v>10</v>
      </c>
      <c r="AH21" s="47"/>
      <c r="AJ21">
        <v>10</v>
      </c>
      <c r="AK21" s="49" t="str">
        <f ca="1">IF(tbl[[#This Row],[Position]]&lt;=RandomEncounterTables!$N$14,RandomEncounterTables!$N$15,"")</f>
        <v/>
      </c>
    </row>
    <row r="22" spans="1:37" ht="15.75" customHeight="1" x14ac:dyDescent="0.15">
      <c r="A22" s="34">
        <f t="shared" si="7"/>
        <v>11</v>
      </c>
      <c r="B22" s="36" t="str">
        <f t="shared" si="0"/>
        <v/>
      </c>
      <c r="C22" s="36" t="str">
        <f t="shared" ca="1" si="8"/>
        <v/>
      </c>
      <c r="D22" s="36" t="str">
        <f>IF(tblTracker[[#This Row],[CreatureName]]&lt;&gt;"",tblTracker[[#This Row],[CreatureName]]&amp;" - "&amp;tblTracker[[#This Row],[ID]],"")</f>
        <v/>
      </c>
      <c r="E22" s="36" t="str">
        <f t="shared" si="1"/>
        <v/>
      </c>
      <c r="F22" s="36" t="str">
        <f>_xlfn.IFNA(VLOOKUP(tblTracker[[#This Row],[CreatureName]],CreatureInfo!$A:$M,8,FALSE),"")</f>
        <v/>
      </c>
      <c r="G22" s="36"/>
      <c r="H22" s="84" t="str">
        <f>_xlfn.IFNA(HYPERLINK(VLOOKUP(tblTracker[[#This Row],[CreatureName]],CreatureInfo!$A:$M,9,FALSE),"Stat Block"),"")</f>
        <v/>
      </c>
      <c r="I22" s="39"/>
      <c r="J22" s="40"/>
      <c r="K22" s="40"/>
      <c r="L22" s="41"/>
      <c r="M22" s="41"/>
      <c r="N22" s="40"/>
      <c r="O22" s="42"/>
      <c r="P22" s="42"/>
      <c r="Q22" s="43"/>
      <c r="R22" s="43"/>
      <c r="S22" s="42"/>
      <c r="T22" s="36" t="str">
        <f t="shared" si="2"/>
        <v/>
      </c>
      <c r="U22" s="36" t="str">
        <f t="shared" si="3"/>
        <v/>
      </c>
      <c r="V22" s="36" t="str">
        <f t="shared" si="4"/>
        <v/>
      </c>
      <c r="W22" s="36" t="str">
        <f t="shared" si="5"/>
        <v/>
      </c>
      <c r="X22" s="36" t="str">
        <f t="shared" si="6"/>
        <v/>
      </c>
      <c r="Z22" s="55">
        <v>13</v>
      </c>
      <c r="AA22" s="96" t="s">
        <v>939</v>
      </c>
      <c r="AB22" s="79">
        <v>2</v>
      </c>
      <c r="AC22" s="56">
        <f ca="1">IFERROR(SUM(VLOOKUP(tblInitTracker[[#This Row],[Creature]],tblTracker[[UniqueName]:[Initiative Mod]],3,FALSE),RANDBETWEEN(1,20)),0)</f>
        <v>11</v>
      </c>
      <c r="AD22" s="97"/>
      <c r="AE22" s="97"/>
      <c r="AG22" s="47">
        <v>11</v>
      </c>
      <c r="AH22" s="47" t="s">
        <v>675</v>
      </c>
      <c r="AJ22">
        <v>11</v>
      </c>
      <c r="AK22" s="49" t="str">
        <f ca="1">IF(tbl[[#This Row],[Position]]&lt;=RandomEncounterTables!$N$14,RandomEncounterTables!$N$15,"")</f>
        <v/>
      </c>
    </row>
    <row r="23" spans="1:37" ht="15.75" customHeight="1" x14ac:dyDescent="0.15">
      <c r="A23" s="34">
        <f t="shared" si="7"/>
        <v>12</v>
      </c>
      <c r="B23" s="36" t="str">
        <f t="shared" si="0"/>
        <v/>
      </c>
      <c r="C23" s="36" t="str">
        <f t="shared" ca="1" si="8"/>
        <v/>
      </c>
      <c r="D23" s="36" t="str">
        <f>IF(tblTracker[[#This Row],[CreatureName]]&lt;&gt;"",tblTracker[[#This Row],[CreatureName]]&amp;" - "&amp;tblTracker[[#This Row],[ID]],"")</f>
        <v/>
      </c>
      <c r="E23" s="36" t="str">
        <f t="shared" si="1"/>
        <v/>
      </c>
      <c r="F23" s="36" t="str">
        <f>_xlfn.IFNA(VLOOKUP(tblTracker[[#This Row],[CreatureName]],CreatureInfo!$A:$M,8,FALSE),"")</f>
        <v/>
      </c>
      <c r="G23" s="36"/>
      <c r="H23" s="84" t="str">
        <f>_xlfn.IFNA(HYPERLINK(VLOOKUP(tblTracker[[#This Row],[CreatureName]],CreatureInfo!$A:$M,9,FALSE),"Stat Block"),"")</f>
        <v/>
      </c>
      <c r="I23" s="39"/>
      <c r="J23" s="40"/>
      <c r="K23" s="40"/>
      <c r="L23" s="41"/>
      <c r="M23" s="41"/>
      <c r="N23" s="40"/>
      <c r="O23" s="42"/>
      <c r="P23" s="42"/>
      <c r="Q23" s="43"/>
      <c r="R23" s="43"/>
      <c r="S23" s="42"/>
      <c r="T23" s="36" t="str">
        <f t="shared" si="2"/>
        <v/>
      </c>
      <c r="U23" s="36" t="str">
        <f t="shared" si="3"/>
        <v/>
      </c>
      <c r="V23" s="36" t="str">
        <f t="shared" si="4"/>
        <v/>
      </c>
      <c r="W23" s="36" t="str">
        <f t="shared" si="5"/>
        <v/>
      </c>
      <c r="X23" s="36" t="str">
        <f t="shared" si="6"/>
        <v/>
      </c>
      <c r="Z23" s="55">
        <v>14</v>
      </c>
      <c r="AA23" s="96" t="s">
        <v>675</v>
      </c>
      <c r="AB23" s="78">
        <v>0</v>
      </c>
      <c r="AC23" s="56">
        <f ca="1">IFERROR(SUM(VLOOKUP(tblInitTracker[[#This Row],[Creature]],tblTracker[[UniqueName]:[Initiative Mod]],3,FALSE),RANDBETWEEN(1,20)),0)</f>
        <v>0</v>
      </c>
      <c r="AD23" s="94"/>
      <c r="AE23" s="97"/>
      <c r="AG23" s="47">
        <v>12</v>
      </c>
      <c r="AH23" s="47" t="s">
        <v>675</v>
      </c>
      <c r="AJ23">
        <v>12</v>
      </c>
      <c r="AK23" s="49" t="str">
        <f ca="1">IF(tbl[[#This Row],[Position]]&lt;=RandomEncounterTables!$N$14,RandomEncounterTables!$N$15,"")</f>
        <v/>
      </c>
    </row>
    <row r="24" spans="1:37" ht="15.75" customHeight="1" x14ac:dyDescent="0.15">
      <c r="A24" s="34">
        <f t="shared" si="7"/>
        <v>13</v>
      </c>
      <c r="B24" s="36" t="str">
        <f t="shared" si="0"/>
        <v/>
      </c>
      <c r="C24" s="36" t="str">
        <f t="shared" ca="1" si="8"/>
        <v/>
      </c>
      <c r="D24" s="36" t="str">
        <f>IF(tblTracker[[#This Row],[CreatureName]]&lt;&gt;"",tblTracker[[#This Row],[CreatureName]]&amp;" - "&amp;tblTracker[[#This Row],[ID]],"")</f>
        <v/>
      </c>
      <c r="E24" s="36" t="str">
        <f t="shared" si="1"/>
        <v/>
      </c>
      <c r="F24" s="36" t="str">
        <f>_xlfn.IFNA(VLOOKUP(tblTracker[[#This Row],[CreatureName]],CreatureInfo!$A:$M,8,FALSE),"")</f>
        <v/>
      </c>
      <c r="G24" s="36"/>
      <c r="H24" s="84" t="str">
        <f>_xlfn.IFNA(HYPERLINK(VLOOKUP(tblTracker[[#This Row],[CreatureName]],CreatureInfo!$A:$M,9,FALSE),"Stat Block"),"")</f>
        <v/>
      </c>
      <c r="I24" s="39"/>
      <c r="J24" s="40"/>
      <c r="K24" s="40"/>
      <c r="L24" s="41"/>
      <c r="M24" s="41"/>
      <c r="N24" s="40"/>
      <c r="O24" s="42"/>
      <c r="P24" s="42"/>
      <c r="Q24" s="43"/>
      <c r="R24" s="43"/>
      <c r="S24" s="42"/>
      <c r="T24" s="36" t="str">
        <f t="shared" si="2"/>
        <v/>
      </c>
      <c r="U24" s="36" t="str">
        <f t="shared" si="3"/>
        <v/>
      </c>
      <c r="V24" s="36" t="str">
        <f t="shared" si="4"/>
        <v/>
      </c>
      <c r="W24" s="36" t="str">
        <f t="shared" si="5"/>
        <v/>
      </c>
      <c r="X24" s="36" t="str">
        <f t="shared" si="6"/>
        <v/>
      </c>
      <c r="Z24" s="55">
        <v>15</v>
      </c>
      <c r="AA24" s="96" t="s">
        <v>675</v>
      </c>
      <c r="AB24" s="79">
        <v>0</v>
      </c>
      <c r="AC24" s="56">
        <f ca="1">IFERROR(SUM(VLOOKUP(tblInitTracker[[#This Row],[Creature]],tblTracker[[UniqueName]:[Initiative Mod]],3,FALSE),RANDBETWEEN(1,20)),0)</f>
        <v>0</v>
      </c>
      <c r="AD24" s="97"/>
      <c r="AE24" s="97"/>
      <c r="AG24" s="47">
        <v>13</v>
      </c>
      <c r="AH24" s="47" t="s">
        <v>675</v>
      </c>
      <c r="AJ24">
        <v>13</v>
      </c>
      <c r="AK24" s="49" t="str">
        <f ca="1">IF(tbl[[#This Row],[Position]]&lt;=RandomEncounterTables!$N$14,RandomEncounterTables!$N$15,"")</f>
        <v/>
      </c>
    </row>
    <row r="25" spans="1:37" ht="15.75" customHeight="1" x14ac:dyDescent="0.15">
      <c r="A25" s="34">
        <f t="shared" si="7"/>
        <v>14</v>
      </c>
      <c r="B25" s="36" t="str">
        <f t="shared" si="0"/>
        <v/>
      </c>
      <c r="C25" s="36" t="str">
        <f t="shared" ca="1" si="8"/>
        <v/>
      </c>
      <c r="D25" s="36" t="str">
        <f>IF(tblTracker[[#This Row],[CreatureName]]&lt;&gt;"",tblTracker[[#This Row],[CreatureName]]&amp;" - "&amp;tblTracker[[#This Row],[ID]],"")</f>
        <v/>
      </c>
      <c r="E25" s="36" t="str">
        <f t="shared" si="1"/>
        <v/>
      </c>
      <c r="F25" s="36" t="str">
        <f>_xlfn.IFNA(VLOOKUP(tblTracker[[#This Row],[CreatureName]],CreatureInfo!$A:$M,8,FALSE),"")</f>
        <v/>
      </c>
      <c r="G25" s="36"/>
      <c r="H25" s="84" t="str">
        <f>_xlfn.IFNA(HYPERLINK(VLOOKUP(tblTracker[[#This Row],[CreatureName]],CreatureInfo!$A:$M,9,FALSE),"Stat Block"),"")</f>
        <v/>
      </c>
      <c r="I25" s="39"/>
      <c r="J25" s="40"/>
      <c r="K25" s="40"/>
      <c r="L25" s="41"/>
      <c r="M25" s="41"/>
      <c r="N25" s="40"/>
      <c r="O25" s="42"/>
      <c r="P25" s="42"/>
      <c r="Q25" s="43"/>
      <c r="R25" s="43"/>
      <c r="S25" s="42"/>
      <c r="T25" s="36" t="str">
        <f t="shared" si="2"/>
        <v/>
      </c>
      <c r="U25" s="36" t="str">
        <f t="shared" si="3"/>
        <v/>
      </c>
      <c r="V25" s="36" t="str">
        <f t="shared" si="4"/>
        <v/>
      </c>
      <c r="W25" s="36" t="str">
        <f t="shared" si="5"/>
        <v/>
      </c>
      <c r="X25" s="36" t="str">
        <f t="shared" si="6"/>
        <v/>
      </c>
      <c r="Z25" s="55">
        <v>16</v>
      </c>
      <c r="AA25" s="96" t="s">
        <v>675</v>
      </c>
      <c r="AB25" s="79">
        <v>0</v>
      </c>
      <c r="AC25" s="56">
        <f ca="1">IFERROR(SUM(VLOOKUP(tblInitTracker[[#This Row],[Creature]],tblTracker[[UniqueName]:[Initiative Mod]],3,FALSE),RANDBETWEEN(1,20)),0)</f>
        <v>0</v>
      </c>
      <c r="AD25" s="97"/>
      <c r="AE25" s="97"/>
      <c r="AG25" s="47">
        <v>14</v>
      </c>
      <c r="AH25" s="47" t="s">
        <v>675</v>
      </c>
      <c r="AJ25">
        <v>14</v>
      </c>
      <c r="AK25" s="49" t="str">
        <f ca="1">IF(tbl[[#This Row],[Position]]&lt;=RandomEncounterTables!$N$14,RandomEncounterTables!$N$15,"")</f>
        <v/>
      </c>
    </row>
    <row r="26" spans="1:37" ht="15.75" customHeight="1" x14ac:dyDescent="0.15">
      <c r="A26" s="34">
        <f t="shared" si="7"/>
        <v>15</v>
      </c>
      <c r="B26" s="36" t="str">
        <f t="shared" si="0"/>
        <v/>
      </c>
      <c r="C26" s="36" t="str">
        <f t="shared" ca="1" si="8"/>
        <v/>
      </c>
      <c r="D26" s="36" t="str">
        <f>IF(tblTracker[[#This Row],[CreatureName]]&lt;&gt;"",tblTracker[[#This Row],[CreatureName]]&amp;" - "&amp;tblTracker[[#This Row],[ID]],"")</f>
        <v/>
      </c>
      <c r="E26" s="36" t="str">
        <f t="shared" si="1"/>
        <v/>
      </c>
      <c r="F26" s="36" t="str">
        <f>_xlfn.IFNA(VLOOKUP(tblTracker[[#This Row],[CreatureName]],CreatureInfo!$A:$M,8,FALSE),"")</f>
        <v/>
      </c>
      <c r="G26" s="36"/>
      <c r="H26" s="84" t="str">
        <f>_xlfn.IFNA(HYPERLINK(VLOOKUP(tblTracker[[#This Row],[CreatureName]],CreatureInfo!$A:$M,9,FALSE),"Stat Block"),"")</f>
        <v/>
      </c>
      <c r="I26" s="34"/>
      <c r="J26" s="40"/>
      <c r="K26" s="40"/>
      <c r="L26" s="41"/>
      <c r="M26" s="41"/>
      <c r="N26" s="40"/>
      <c r="O26" s="42"/>
      <c r="P26" s="42"/>
      <c r="Q26" s="43"/>
      <c r="R26" s="43"/>
      <c r="S26" s="42"/>
      <c r="T26" s="36" t="str">
        <f t="shared" si="2"/>
        <v/>
      </c>
      <c r="U26" s="36" t="str">
        <f t="shared" si="3"/>
        <v/>
      </c>
      <c r="V26" s="36" t="str">
        <f t="shared" si="4"/>
        <v/>
      </c>
      <c r="W26" s="36" t="str">
        <f t="shared" si="5"/>
        <v/>
      </c>
      <c r="X26" s="36" t="str">
        <f t="shared" si="6"/>
        <v/>
      </c>
      <c r="Z26" s="55">
        <v>17</v>
      </c>
      <c r="AA26" s="96" t="s">
        <v>675</v>
      </c>
      <c r="AB26" s="79">
        <v>0</v>
      </c>
      <c r="AC26" s="56">
        <f ca="1">IFERROR(SUM(VLOOKUP(tblInitTracker[[#This Row],[Creature]],tblTracker[[UniqueName]:[Initiative Mod]],3,FALSE),RANDBETWEEN(1,20)),0)</f>
        <v>0</v>
      </c>
      <c r="AD26" s="97"/>
      <c r="AE26" s="97"/>
      <c r="AG26" s="47">
        <v>15</v>
      </c>
      <c r="AH26" s="47" t="s">
        <v>675</v>
      </c>
      <c r="AJ26">
        <v>15</v>
      </c>
      <c r="AK26" s="49" t="str">
        <f ca="1">IF(tbl[[#This Row],[Position]]&lt;=RandomEncounterTables!$N$14,RandomEncounterTables!$N$15,"")</f>
        <v/>
      </c>
    </row>
    <row r="27" spans="1:37" ht="15.75" customHeight="1" x14ac:dyDescent="0.15">
      <c r="A27" s="34">
        <f t="shared" si="7"/>
        <v>16</v>
      </c>
      <c r="B27" s="36" t="str">
        <f t="shared" si="0"/>
        <v/>
      </c>
      <c r="C27" s="36" t="str">
        <f t="shared" ca="1" si="8"/>
        <v/>
      </c>
      <c r="D27" s="36" t="str">
        <f>IF(tblTracker[[#This Row],[CreatureName]]&lt;&gt;"",tblTracker[[#This Row],[CreatureName]]&amp;" - "&amp;tblTracker[[#This Row],[ID]],"")</f>
        <v/>
      </c>
      <c r="E27" s="36" t="str">
        <f t="shared" si="1"/>
        <v/>
      </c>
      <c r="F27" s="36" t="str">
        <f>_xlfn.IFNA(VLOOKUP(tblTracker[[#This Row],[CreatureName]],CreatureInfo!$A:$M,8,FALSE),"")</f>
        <v/>
      </c>
      <c r="G27" s="36"/>
      <c r="H27" s="84" t="str">
        <f>_xlfn.IFNA(HYPERLINK(VLOOKUP(tblTracker[[#This Row],[CreatureName]],CreatureInfo!$A:$M,9,FALSE),"Stat Block"),"")</f>
        <v/>
      </c>
      <c r="I27" s="34"/>
      <c r="J27" s="40"/>
      <c r="K27" s="40"/>
      <c r="L27" s="41"/>
      <c r="M27" s="41"/>
      <c r="N27" s="40"/>
      <c r="O27" s="42"/>
      <c r="P27" s="42"/>
      <c r="Q27" s="43"/>
      <c r="R27" s="43"/>
      <c r="S27" s="42"/>
      <c r="T27" s="36" t="str">
        <f t="shared" si="2"/>
        <v/>
      </c>
      <c r="U27" s="36" t="str">
        <f t="shared" si="3"/>
        <v/>
      </c>
      <c r="V27" s="36" t="str">
        <f t="shared" si="4"/>
        <v/>
      </c>
      <c r="W27" s="36" t="str">
        <f t="shared" si="5"/>
        <v/>
      </c>
      <c r="X27" s="36" t="str">
        <f t="shared" si="6"/>
        <v/>
      </c>
      <c r="Z27" s="55">
        <v>18</v>
      </c>
      <c r="AA27" s="96" t="s">
        <v>675</v>
      </c>
      <c r="AB27" s="79">
        <v>0</v>
      </c>
      <c r="AC27" s="56">
        <f ca="1">IFERROR(SUM(VLOOKUP(tblInitTracker[[#This Row],[Creature]],tblTracker[[UniqueName]:[Initiative Mod]],3,FALSE),RANDBETWEEN(1,20)),0)</f>
        <v>0</v>
      </c>
      <c r="AD27" s="97"/>
      <c r="AE27" s="53"/>
      <c r="AG27" s="47">
        <v>16</v>
      </c>
      <c r="AH27" s="47" t="s">
        <v>675</v>
      </c>
      <c r="AJ27">
        <v>16</v>
      </c>
      <c r="AK27" s="49" t="str">
        <f ca="1">IF(tbl[[#This Row],[Position]]&lt;=RandomEncounterTables!$N$14,RandomEncounterTables!$N$15,"")</f>
        <v/>
      </c>
    </row>
    <row r="28" spans="1:37" ht="15.75" customHeight="1" x14ac:dyDescent="0.15">
      <c r="A28" s="34">
        <f t="shared" si="7"/>
        <v>17</v>
      </c>
      <c r="B28" s="36" t="str">
        <f t="shared" si="0"/>
        <v/>
      </c>
      <c r="C28" s="36" t="str">
        <f t="shared" ca="1" si="8"/>
        <v/>
      </c>
      <c r="D28" s="36" t="str">
        <f>IF(tblTracker[[#This Row],[CreatureName]]&lt;&gt;"",tblTracker[[#This Row],[CreatureName]]&amp;" - "&amp;tblTracker[[#This Row],[ID]],"")</f>
        <v/>
      </c>
      <c r="E28" s="36" t="str">
        <f t="shared" si="1"/>
        <v/>
      </c>
      <c r="F28" s="36" t="str">
        <f>_xlfn.IFNA(VLOOKUP(tblTracker[[#This Row],[CreatureName]],CreatureInfo!$A:$M,8,FALSE),"")</f>
        <v/>
      </c>
      <c r="G28" s="36"/>
      <c r="H28" s="84" t="str">
        <f>_xlfn.IFNA(HYPERLINK(VLOOKUP(tblTracker[[#This Row],[CreatureName]],CreatureInfo!$A:$M,9,FALSE),"Stat Block"),"")</f>
        <v/>
      </c>
      <c r="I28" s="34"/>
      <c r="J28" s="40"/>
      <c r="K28" s="40"/>
      <c r="L28" s="41"/>
      <c r="M28" s="41"/>
      <c r="N28" s="40"/>
      <c r="O28" s="42"/>
      <c r="P28" s="42"/>
      <c r="Q28" s="43"/>
      <c r="R28" s="43"/>
      <c r="S28" s="42"/>
      <c r="T28" s="36" t="str">
        <f t="shared" si="2"/>
        <v/>
      </c>
      <c r="U28" s="36" t="str">
        <f t="shared" si="3"/>
        <v/>
      </c>
      <c r="V28" s="36" t="str">
        <f t="shared" si="4"/>
        <v/>
      </c>
      <c r="W28" s="36" t="str">
        <f t="shared" si="5"/>
        <v/>
      </c>
      <c r="X28" s="36" t="str">
        <f t="shared" si="6"/>
        <v/>
      </c>
      <c r="Z28" s="55">
        <v>19</v>
      </c>
      <c r="AA28" s="96" t="s">
        <v>675</v>
      </c>
      <c r="AB28" s="79">
        <v>0</v>
      </c>
      <c r="AC28" s="56">
        <f ca="1">IFERROR(SUM(VLOOKUP(tblInitTracker[[#This Row],[Creature]],tblTracker[[UniqueName]:[Initiative Mod]],3,FALSE),RANDBETWEEN(1,20)),0)</f>
        <v>0</v>
      </c>
      <c r="AD28" s="97"/>
      <c r="AE28" s="53"/>
      <c r="AG28" s="47">
        <v>17</v>
      </c>
      <c r="AH28" s="47" t="s">
        <v>675</v>
      </c>
      <c r="AJ28">
        <v>17</v>
      </c>
      <c r="AK28" s="49" t="str">
        <f ca="1">IF(tbl[[#This Row],[Position]]&lt;=RandomEncounterTables!$N$14,RandomEncounterTables!$N$15,"")</f>
        <v/>
      </c>
    </row>
    <row r="29" spans="1:37" ht="15.75" customHeight="1" x14ac:dyDescent="0.15">
      <c r="A29" s="34">
        <f t="shared" si="7"/>
        <v>18</v>
      </c>
      <c r="B29" s="36" t="str">
        <f t="shared" si="0"/>
        <v/>
      </c>
      <c r="C29" s="36" t="str">
        <f t="shared" ca="1" si="8"/>
        <v/>
      </c>
      <c r="D29" s="36" t="str">
        <f>IF(tblTracker[[#This Row],[CreatureName]]&lt;&gt;"",tblTracker[[#This Row],[CreatureName]]&amp;" - "&amp;tblTracker[[#This Row],[ID]],"")</f>
        <v/>
      </c>
      <c r="E29" s="36" t="str">
        <f t="shared" si="1"/>
        <v/>
      </c>
      <c r="F29" s="36" t="str">
        <f>_xlfn.IFNA(VLOOKUP(tblTracker[[#This Row],[CreatureName]],CreatureInfo!$A:$M,8,FALSE),"")</f>
        <v/>
      </c>
      <c r="G29" s="36"/>
      <c r="H29" s="84" t="str">
        <f>_xlfn.IFNA(HYPERLINK(VLOOKUP(tblTracker[[#This Row],[CreatureName]],CreatureInfo!$A:$M,9,FALSE),"Stat Block"),"")</f>
        <v/>
      </c>
      <c r="I29" s="34"/>
      <c r="J29" s="40"/>
      <c r="K29" s="40"/>
      <c r="L29" s="41"/>
      <c r="M29" s="41"/>
      <c r="N29" s="40"/>
      <c r="O29" s="42"/>
      <c r="P29" s="42"/>
      <c r="Q29" s="43"/>
      <c r="R29" s="43"/>
      <c r="S29" s="42"/>
      <c r="T29" s="36" t="str">
        <f t="shared" si="2"/>
        <v/>
      </c>
      <c r="U29" s="36" t="str">
        <f t="shared" si="3"/>
        <v/>
      </c>
      <c r="V29" s="36" t="str">
        <f t="shared" si="4"/>
        <v/>
      </c>
      <c r="W29" s="36" t="str">
        <f t="shared" si="5"/>
        <v/>
      </c>
      <c r="X29" s="36" t="str">
        <f t="shared" si="6"/>
        <v/>
      </c>
      <c r="Z29" s="55">
        <v>20</v>
      </c>
      <c r="AA29" s="96" t="s">
        <v>675</v>
      </c>
      <c r="AB29" s="79">
        <v>0</v>
      </c>
      <c r="AC29" s="56">
        <f ca="1">IFERROR(SUM(VLOOKUP(tblInitTracker[[#This Row],[Creature]],tblTracker[[UniqueName]:[Initiative Mod]],3,FALSE),RANDBETWEEN(1,20)),0)</f>
        <v>0</v>
      </c>
      <c r="AD29" s="97"/>
      <c r="AE29" s="53"/>
      <c r="AG29" s="47">
        <v>18</v>
      </c>
      <c r="AH29" s="47" t="s">
        <v>675</v>
      </c>
      <c r="AJ29">
        <v>18</v>
      </c>
      <c r="AK29" s="49" t="str">
        <f ca="1">IF(tbl[[#This Row],[Position]]&lt;=RandomEncounterTables!$N$14,RandomEncounterTables!$N$15,"")</f>
        <v/>
      </c>
    </row>
    <row r="30" spans="1:37" ht="15.75" customHeight="1" x14ac:dyDescent="0.15">
      <c r="A30" s="34">
        <f t="shared" si="7"/>
        <v>19</v>
      </c>
      <c r="B30" s="36" t="str">
        <f t="shared" si="0"/>
        <v/>
      </c>
      <c r="C30" s="36" t="str">
        <f t="shared" ca="1" si="8"/>
        <v/>
      </c>
      <c r="D30" s="36" t="str">
        <f>IF(tblTracker[[#This Row],[CreatureName]]&lt;&gt;"",tblTracker[[#This Row],[CreatureName]]&amp;" - "&amp;tblTracker[[#This Row],[ID]],"")</f>
        <v/>
      </c>
      <c r="E30" s="36" t="str">
        <f t="shared" si="1"/>
        <v/>
      </c>
      <c r="F30" s="36" t="str">
        <f>_xlfn.IFNA(VLOOKUP(tblTracker[[#This Row],[CreatureName]],CreatureInfo!$A:$M,8,FALSE),"")</f>
        <v/>
      </c>
      <c r="G30" s="36"/>
      <c r="H30" s="84" t="str">
        <f>_xlfn.IFNA(HYPERLINK(VLOOKUP(tblTracker[[#This Row],[CreatureName]],CreatureInfo!$A:$M,9,FALSE),"Stat Block"),"")</f>
        <v/>
      </c>
      <c r="I30" s="34"/>
      <c r="J30" s="40"/>
      <c r="K30" s="40"/>
      <c r="L30" s="41"/>
      <c r="M30" s="41"/>
      <c r="N30" s="40"/>
      <c r="O30" s="42"/>
      <c r="P30" s="42"/>
      <c r="Q30" s="43"/>
      <c r="R30" s="43"/>
      <c r="S30" s="42"/>
      <c r="T30" s="36" t="str">
        <f t="shared" si="2"/>
        <v/>
      </c>
      <c r="U30" s="36" t="str">
        <f t="shared" si="3"/>
        <v/>
      </c>
      <c r="V30" s="36" t="str">
        <f t="shared" si="4"/>
        <v/>
      </c>
      <c r="W30" s="36" t="str">
        <f t="shared" si="5"/>
        <v/>
      </c>
      <c r="X30" s="36" t="str">
        <f t="shared" si="6"/>
        <v/>
      </c>
      <c r="Z30" s="55">
        <v>21</v>
      </c>
      <c r="AA30" s="96" t="s">
        <v>675</v>
      </c>
      <c r="AB30" s="79">
        <v>0</v>
      </c>
      <c r="AC30" s="56">
        <f ca="1">IFERROR(SUM(VLOOKUP(tblInitTracker[[#This Row],[Creature]],tblTracker[[UniqueName]:[Initiative Mod]],3,FALSE),RANDBETWEEN(1,20)),0)</f>
        <v>0</v>
      </c>
      <c r="AD30" s="97"/>
      <c r="AE30" s="53"/>
      <c r="AG30" s="47">
        <v>19</v>
      </c>
      <c r="AH30" s="47" t="s">
        <v>675</v>
      </c>
      <c r="AJ30">
        <v>19</v>
      </c>
      <c r="AK30" s="49" t="str">
        <f ca="1">IF(tbl[[#This Row],[Position]]&lt;=RandomEncounterTables!$N$14,RandomEncounterTables!$N$15,"")</f>
        <v/>
      </c>
    </row>
    <row r="31" spans="1:37" ht="15.75" customHeight="1" x14ac:dyDescent="0.15">
      <c r="A31" s="34">
        <f t="shared" si="7"/>
        <v>20</v>
      </c>
      <c r="B31" s="36" t="str">
        <f t="shared" si="0"/>
        <v/>
      </c>
      <c r="C31" s="36" t="str">
        <f t="shared" ca="1" si="8"/>
        <v/>
      </c>
      <c r="D31" s="36" t="str">
        <f>IF(tblTracker[[#This Row],[CreatureName]]&lt;&gt;"",tblTracker[[#This Row],[CreatureName]]&amp;" - "&amp;tblTracker[[#This Row],[ID]],"")</f>
        <v/>
      </c>
      <c r="E31" s="36" t="str">
        <f t="shared" si="1"/>
        <v/>
      </c>
      <c r="F31" s="36" t="str">
        <f>_xlfn.IFNA(VLOOKUP(tblTracker[[#This Row],[CreatureName]],CreatureInfo!$A:$M,8,FALSE),"")</f>
        <v/>
      </c>
      <c r="G31" s="36"/>
      <c r="H31" s="84" t="str">
        <f>_xlfn.IFNA(HYPERLINK(VLOOKUP(tblTracker[[#This Row],[CreatureName]],CreatureInfo!$A:$M,9,FALSE),"Stat Block"),"")</f>
        <v/>
      </c>
      <c r="I31" s="34"/>
      <c r="J31" s="40"/>
      <c r="K31" s="40"/>
      <c r="L31" s="41"/>
      <c r="M31" s="41"/>
      <c r="N31" s="40"/>
      <c r="O31" s="42"/>
      <c r="P31" s="42"/>
      <c r="Q31" s="43"/>
      <c r="R31" s="43"/>
      <c r="S31" s="42"/>
      <c r="T31" s="36" t="str">
        <f t="shared" si="2"/>
        <v/>
      </c>
      <c r="U31" s="36" t="str">
        <f t="shared" si="3"/>
        <v/>
      </c>
      <c r="V31" s="36" t="str">
        <f t="shared" si="4"/>
        <v/>
      </c>
      <c r="W31" s="36" t="str">
        <f t="shared" si="5"/>
        <v/>
      </c>
      <c r="X31" s="36" t="str">
        <f t="shared" si="6"/>
        <v/>
      </c>
      <c r="Z31" s="55">
        <v>22</v>
      </c>
      <c r="AA31" s="96" t="s">
        <v>675</v>
      </c>
      <c r="AB31" s="78">
        <v>0</v>
      </c>
      <c r="AC31" s="56">
        <f ca="1">IFERROR(SUM(VLOOKUP(tblInitTracker[[#This Row],[Creature]],tblTracker[[UniqueName]:[Initiative Mod]],3,FALSE),RANDBETWEEN(1,20)),0)</f>
        <v>0</v>
      </c>
      <c r="AD31" s="53"/>
      <c r="AE31" s="53"/>
      <c r="AG31" s="47">
        <v>20</v>
      </c>
      <c r="AH31" s="47" t="s">
        <v>675</v>
      </c>
      <c r="AJ31">
        <v>20</v>
      </c>
      <c r="AK31" s="49" t="str">
        <f ca="1">IF(tbl[[#This Row],[Position]]&lt;=RandomEncounterTables!$N$14,RandomEncounterTables!$N$15,"")</f>
        <v/>
      </c>
    </row>
    <row r="32" spans="1:37" ht="15.75" customHeight="1" x14ac:dyDescent="0.15">
      <c r="A32" s="35">
        <v>21</v>
      </c>
      <c r="B32" s="35" t="str">
        <f>IF(VLOOKUP($E$1,_Encounters,1+A32,0)&lt;&gt;0,VLOOKUP($E$1,_Encounters,1+A32,0),"")</f>
        <v/>
      </c>
      <c r="C32" s="35" t="str">
        <f ca="1">IF(B32="","",IF(B32=INDIRECT("B"&amp;CELL("row",B32)-1),C31+1,1))</f>
        <v/>
      </c>
      <c r="D32" s="36" t="str">
        <f>IF(tblTracker[[#This Row],[CreatureName]]&lt;&gt;"",tblTracker[[#This Row],[CreatureName]]&amp;" - "&amp;tblTracker[[#This Row],[ID]],"")</f>
        <v/>
      </c>
      <c r="E32" s="35" t="str">
        <f t="shared" si="1"/>
        <v/>
      </c>
      <c r="F32" s="35" t="str">
        <f>_xlfn.IFNA(VLOOKUP(tblTracker[[#This Row],[CreatureName]],CreatureInfo!$A:$M,8,FALSE),"")</f>
        <v/>
      </c>
      <c r="G32" s="35"/>
      <c r="H32" s="85" t="str">
        <f>_xlfn.IFNA(HYPERLINK(VLOOKUP(tblTracker[[#This Row],[CreatureName]],CreatureInfo!$A:$M,9,FALSE),"Stat Block"),"")</f>
        <v/>
      </c>
      <c r="I32" s="35"/>
      <c r="J32" s="50"/>
      <c r="K32" s="50"/>
      <c r="L32" s="50"/>
      <c r="M32" s="50"/>
      <c r="N32" s="50"/>
      <c r="O32" s="51"/>
      <c r="P32" s="51"/>
      <c r="Q32" s="51"/>
      <c r="R32" s="51"/>
      <c r="S32" s="51"/>
      <c r="T32" s="35" t="str">
        <f t="shared" si="2"/>
        <v/>
      </c>
      <c r="U32" s="35" t="str">
        <f>IF(ISERROR(VLOOKUP(T32,_xpByCR,2,0)),"",VLOOKUP(T32,_xpByCR,2,0))</f>
        <v/>
      </c>
      <c r="V32" s="35" t="str">
        <f t="shared" si="4"/>
        <v/>
      </c>
      <c r="W32" s="35" t="str">
        <f t="shared" si="5"/>
        <v/>
      </c>
      <c r="X32" s="35" t="str">
        <f t="shared" si="6"/>
        <v/>
      </c>
      <c r="Z32" s="55">
        <v>23</v>
      </c>
      <c r="AA32" s="55" t="s">
        <v>675</v>
      </c>
      <c r="AB32" s="78">
        <v>0</v>
      </c>
      <c r="AC32" s="56">
        <f ca="1">IFERROR(SUM(VLOOKUP(tblInitTracker[[#This Row],[Creature]],tblTracker[[UniqueName]:[Initiative Mod]],3,FALSE),RANDBETWEEN(1,20)),0)</f>
        <v>0</v>
      </c>
      <c r="AD32" s="53"/>
      <c r="AE32" s="53"/>
      <c r="AG32" s="47">
        <v>21</v>
      </c>
      <c r="AH32" s="47" t="s">
        <v>675</v>
      </c>
      <c r="AJ32">
        <v>21</v>
      </c>
      <c r="AK32" s="49" t="str">
        <f ca="1">IF(tbl[[#This Row],[Position]]&lt;=RandomEncounterTables!$N$14,RandomEncounterTables!$N$15,"")</f>
        <v/>
      </c>
    </row>
    <row r="33" spans="1:37" ht="15.75" customHeight="1" x14ac:dyDescent="0.15">
      <c r="A33" s="35">
        <v>22</v>
      </c>
      <c r="B33" s="35" t="str">
        <f>IF(VLOOKUP($E$1,_Encounters,1+A33,0)&lt;&gt;0,VLOOKUP($E$1,_Encounters,1+A33,0),"")</f>
        <v/>
      </c>
      <c r="C33" s="35" t="str">
        <f ca="1">IF(B33="","",IF(B33=INDIRECT("B"&amp;CELL("row",B33)-1),C32+1,1))</f>
        <v/>
      </c>
      <c r="D33" s="36" t="str">
        <f>IF(tblTracker[[#This Row],[CreatureName]]&lt;&gt;"",tblTracker[[#This Row],[CreatureName]]&amp;" - "&amp;tblTracker[[#This Row],[ID]],"")</f>
        <v/>
      </c>
      <c r="E33" s="35" t="str">
        <f t="shared" si="1"/>
        <v/>
      </c>
      <c r="F33" s="35" t="str">
        <f>_xlfn.IFNA(VLOOKUP(tblTracker[[#This Row],[CreatureName]],CreatureInfo!$A:$M,8,FALSE),"")</f>
        <v/>
      </c>
      <c r="G33" s="35"/>
      <c r="H33" s="85" t="str">
        <f>_xlfn.IFNA(HYPERLINK(VLOOKUP(tblTracker[[#This Row],[CreatureName]],CreatureInfo!$A:$M,9,FALSE),"Stat Block"),"")</f>
        <v/>
      </c>
      <c r="I33" s="35"/>
      <c r="J33" s="50"/>
      <c r="K33" s="50"/>
      <c r="L33" s="50"/>
      <c r="M33" s="50"/>
      <c r="N33" s="50"/>
      <c r="O33" s="51"/>
      <c r="P33" s="51"/>
      <c r="Q33" s="51"/>
      <c r="R33" s="51"/>
      <c r="S33" s="51"/>
      <c r="T33" s="35" t="str">
        <f t="shared" si="2"/>
        <v/>
      </c>
      <c r="U33" s="35" t="str">
        <f>IF(ISERROR(VLOOKUP(T33,_xpByCR,2,0)),"",VLOOKUP(T33,_xpByCR,2,0))</f>
        <v/>
      </c>
      <c r="V33" s="35" t="str">
        <f t="shared" si="4"/>
        <v/>
      </c>
      <c r="W33" s="35" t="str">
        <f t="shared" si="5"/>
        <v/>
      </c>
      <c r="X33" s="35" t="str">
        <f t="shared" si="6"/>
        <v/>
      </c>
      <c r="Z33" s="55">
        <v>24</v>
      </c>
      <c r="AA33" s="55" t="s">
        <v>675</v>
      </c>
      <c r="AB33" s="78">
        <v>0</v>
      </c>
      <c r="AC33" s="56">
        <f ca="1">IFERROR(SUM(VLOOKUP(tblInitTracker[[#This Row],[Creature]],tblTracker[[UniqueName]:[Initiative Mod]],3,FALSE),RANDBETWEEN(1,20)),0)</f>
        <v>0</v>
      </c>
      <c r="AD33" s="53"/>
      <c r="AE33" s="53"/>
      <c r="AG33" s="47">
        <v>22</v>
      </c>
      <c r="AH33" s="47" t="s">
        <v>675</v>
      </c>
      <c r="AJ33">
        <v>22</v>
      </c>
      <c r="AK33" s="49" t="str">
        <f ca="1">IF(tbl[[#This Row],[Position]]&lt;=RandomEncounterTables!$N$14,RandomEncounterTables!$N$15,"")</f>
        <v/>
      </c>
    </row>
    <row r="34" spans="1:37" ht="15.75" customHeight="1" x14ac:dyDescent="0.15">
      <c r="A34" s="35">
        <v>23</v>
      </c>
      <c r="B34" s="35" t="str">
        <f>IF(VLOOKUP($E$1,_Encounters,1+A34,0)&lt;&gt;0,VLOOKUP($E$1,_Encounters,1+A34,0),"")</f>
        <v/>
      </c>
      <c r="C34" s="35" t="str">
        <f ca="1">IF(B34="","",IF(B34=INDIRECT("B"&amp;CELL("row",B34)-1),C33+1,1))</f>
        <v/>
      </c>
      <c r="D34" s="36" t="str">
        <f>IF(tblTracker[[#This Row],[CreatureName]]&lt;&gt;"",tblTracker[[#This Row],[CreatureName]]&amp;" - "&amp;tblTracker[[#This Row],[ID]],"")</f>
        <v/>
      </c>
      <c r="E34" s="35" t="str">
        <f t="shared" si="1"/>
        <v/>
      </c>
      <c r="F34" s="35" t="str">
        <f>_xlfn.IFNA(VLOOKUP(tblTracker[[#This Row],[CreatureName]],CreatureInfo!$A:$M,8,FALSE),"")</f>
        <v/>
      </c>
      <c r="G34" s="35"/>
      <c r="H34" s="85" t="str">
        <f>_xlfn.IFNA(HYPERLINK(VLOOKUP(tblTracker[[#This Row],[CreatureName]],CreatureInfo!$A:$M,9,FALSE),"Stat Block"),"")</f>
        <v/>
      </c>
      <c r="I34" s="35"/>
      <c r="J34" s="50"/>
      <c r="K34" s="50"/>
      <c r="L34" s="50"/>
      <c r="M34" s="50"/>
      <c r="N34" s="50"/>
      <c r="O34" s="51"/>
      <c r="P34" s="51"/>
      <c r="Q34" s="51"/>
      <c r="R34" s="51"/>
      <c r="S34" s="51"/>
      <c r="T34" s="35" t="str">
        <f t="shared" si="2"/>
        <v/>
      </c>
      <c r="U34" s="35" t="str">
        <f>IF(ISERROR(VLOOKUP(T34,_xpByCR,2,0)),"",VLOOKUP(T34,_xpByCR,2,0))</f>
        <v/>
      </c>
      <c r="V34" s="35" t="str">
        <f t="shared" si="4"/>
        <v/>
      </c>
      <c r="W34" s="35" t="str">
        <f t="shared" si="5"/>
        <v/>
      </c>
      <c r="X34" s="35" t="str">
        <f t="shared" si="6"/>
        <v/>
      </c>
      <c r="Z34" s="55">
        <v>25</v>
      </c>
      <c r="AA34" s="55" t="s">
        <v>675</v>
      </c>
      <c r="AB34" s="78">
        <v>0</v>
      </c>
      <c r="AC34" s="56">
        <f ca="1">IFERROR(SUM(VLOOKUP(tblInitTracker[[#This Row],[Creature]],tblTracker[[UniqueName]:[Initiative Mod]],3,FALSE),RANDBETWEEN(1,20)),0)</f>
        <v>0</v>
      </c>
      <c r="AD34" s="53"/>
      <c r="AE34" s="53"/>
      <c r="AG34" s="47">
        <v>23</v>
      </c>
      <c r="AH34" s="47" t="s">
        <v>675</v>
      </c>
      <c r="AJ34">
        <v>23</v>
      </c>
      <c r="AK34" s="49" t="str">
        <f ca="1">IF(tbl[[#This Row],[Position]]&lt;=RandomEncounterTables!$N$14,RandomEncounterTables!$N$15,"")</f>
        <v/>
      </c>
    </row>
    <row r="35" spans="1:37" ht="15.75" customHeight="1" x14ac:dyDescent="0.15">
      <c r="Z35" s="55">
        <v>26</v>
      </c>
      <c r="AA35" s="55" t="s">
        <v>675</v>
      </c>
      <c r="AB35" s="78">
        <v>0</v>
      </c>
      <c r="AC35" s="56">
        <f ca="1">IFERROR(SUM(VLOOKUP(tblInitTracker[[#This Row],[Creature]],tblTracker[[UniqueName]:[Initiative Mod]],3,FALSE),RANDBETWEEN(1,20)),0)</f>
        <v>0</v>
      </c>
      <c r="AD35" s="53"/>
      <c r="AE35" s="53"/>
    </row>
    <row r="36" spans="1:37" ht="15.75" customHeight="1" x14ac:dyDescent="0.15">
      <c r="Z36" s="55">
        <v>27</v>
      </c>
      <c r="AA36" s="55" t="s">
        <v>675</v>
      </c>
      <c r="AB36" s="78">
        <v>0</v>
      </c>
      <c r="AC36" s="56">
        <f ca="1">IFERROR(SUM(VLOOKUP(tblInitTracker[[#This Row],[Creature]],tblTracker[[UniqueName]:[Initiative Mod]],3,FALSE),RANDBETWEEN(1,20)),0)</f>
        <v>0</v>
      </c>
      <c r="AD36" s="53"/>
      <c r="AE36" s="53"/>
    </row>
    <row r="37" spans="1:37" ht="15.75" customHeight="1" x14ac:dyDescent="0.15">
      <c r="D37" s="53"/>
      <c r="I37" s="59"/>
      <c r="Z37" s="55">
        <v>28</v>
      </c>
      <c r="AA37" s="55" t="s">
        <v>675</v>
      </c>
      <c r="AB37" s="78">
        <v>0</v>
      </c>
      <c r="AC37" s="56">
        <f ca="1">IFERROR(SUM(VLOOKUP(tblInitTracker[[#This Row],[Creature]],tblTracker[[UniqueName]:[Initiative Mod]],3,FALSE),RANDBETWEEN(1,20)),0)</f>
        <v>0</v>
      </c>
      <c r="AD37" s="53"/>
      <c r="AE37" s="53"/>
    </row>
    <row r="38" spans="1:37" ht="15.75" customHeight="1" x14ac:dyDescent="0.15">
      <c r="Z38" s="55">
        <v>29</v>
      </c>
      <c r="AA38" s="55" t="s">
        <v>675</v>
      </c>
      <c r="AB38" s="78">
        <v>0</v>
      </c>
      <c r="AC38" s="56">
        <f ca="1">IFERROR(SUM(VLOOKUP(tblInitTracker[[#This Row],[Creature]],tblTracker[[UniqueName]:[Initiative Mod]],3,FALSE),RANDBETWEEN(1,20)),0)</f>
        <v>0</v>
      </c>
      <c r="AD38" s="53"/>
      <c r="AE38" s="53"/>
    </row>
    <row r="39" spans="1:37" ht="15.75" customHeight="1" x14ac:dyDescent="0.15">
      <c r="Z39" s="55">
        <v>30</v>
      </c>
      <c r="AA39" s="55" t="s">
        <v>675</v>
      </c>
      <c r="AB39" s="79">
        <v>0</v>
      </c>
      <c r="AC39" s="56">
        <f ca="1">IFERROR(SUM(VLOOKUP(tblInitTracker[[#This Row],[Creature]],tblTracker[[UniqueName]:[Initiative Mod]],3,FALSE),RANDBETWEEN(1,20)),0)</f>
        <v>0</v>
      </c>
      <c r="AD39" s="53"/>
      <c r="AE39" s="53"/>
    </row>
    <row r="40" spans="1:37" ht="15.75" customHeight="1" x14ac:dyDescent="0.15">
      <c r="Z40" s="55">
        <v>31</v>
      </c>
      <c r="AA40" s="55"/>
      <c r="AB40" s="78">
        <v>0</v>
      </c>
      <c r="AC40" s="56">
        <f ca="1">IFERROR(SUM(VLOOKUP(tblInitTracker[[#This Row],[Creature]],tblTracker[[UniqueName]:[Initiative Mod]],3,FALSE),RANDBETWEEN(1,20)),0)</f>
        <v>0</v>
      </c>
      <c r="AD40" s="53"/>
      <c r="AE40" s="56"/>
    </row>
    <row r="41" spans="1:37" ht="15.75" customHeight="1" x14ac:dyDescent="0.15">
      <c r="Z41" s="55">
        <v>32</v>
      </c>
      <c r="AA41" s="55"/>
      <c r="AB41" s="78">
        <v>0</v>
      </c>
      <c r="AC41" s="56">
        <f ca="1">IFERROR(SUM(VLOOKUP(tblInitTracker[[#This Row],[Creature]],tblTracker[[UniqueName]:[Initiative Mod]],3,FALSE),RANDBETWEEN(1,20)),0)</f>
        <v>0</v>
      </c>
      <c r="AD41" s="53"/>
      <c r="AE41" s="56"/>
    </row>
    <row r="42" spans="1:37" ht="15.75" customHeight="1" x14ac:dyDescent="0.15">
      <c r="Z42" s="80">
        <v>6</v>
      </c>
      <c r="AA42" s="80"/>
      <c r="AB42" s="112"/>
      <c r="AC42" s="114"/>
      <c r="AD42" s="82"/>
      <c r="AE42" s="82"/>
    </row>
    <row r="43" spans="1:37" ht="15.75" customHeight="1" x14ac:dyDescent="0.15">
      <c r="Z43" s="80">
        <v>7</v>
      </c>
      <c r="AA43" s="80"/>
      <c r="AB43" s="112"/>
      <c r="AC43" s="114"/>
      <c r="AD43" s="82"/>
      <c r="AE43" s="82"/>
    </row>
  </sheetData>
  <sheetProtection selectLockedCells="1" selectUnlockedCells="1"/>
  <mergeCells count="5">
    <mergeCell ref="AG1:AK1"/>
    <mergeCell ref="E1:O1"/>
    <mergeCell ref="J10:N10"/>
    <mergeCell ref="O10:S10"/>
    <mergeCell ref="Z1:AE1"/>
  </mergeCells>
  <conditionalFormatting sqref="T12:U34 V11:X34 A11:S34">
    <cfRule type="expression" dxfId="97" priority="4" stopIfTrue="1">
      <formula>NOT(ISERROR(SEARCH("DEAD",A11)))</formula>
    </cfRule>
  </conditionalFormatting>
  <conditionalFormatting sqref="D1">
    <cfRule type="expression" dxfId="96" priority="5" stopIfTrue="1">
      <formula>NOT(ISERROR(SEARCH("DEAD",D1)))</formula>
    </cfRule>
  </conditionalFormatting>
  <conditionalFormatting sqref="U11">
    <cfRule type="expression" dxfId="95" priority="6" stopIfTrue="1">
      <formula>NOT(ISERROR(SEARCH("DEAD",U11)))</formula>
    </cfRule>
  </conditionalFormatting>
  <conditionalFormatting sqref="T11">
    <cfRule type="expression" dxfId="94" priority="7" stopIfTrue="1">
      <formula>NOT(ISERROR(SEARCH("DEAD",T11)))</formula>
    </cfRule>
  </conditionalFormatting>
  <conditionalFormatting sqref="AG11:AH34">
    <cfRule type="expression" dxfId="93" priority="3" stopIfTrue="1">
      <formula>NOT(ISERROR(SEARCH("DEAD",AG11)))</formula>
    </cfRule>
  </conditionalFormatting>
  <conditionalFormatting sqref="A1:B1">
    <cfRule type="expression" dxfId="92" priority="2" stopIfTrue="1">
      <formula>NOT(ISERROR(SEARCH("DEAD",A1)))</formula>
    </cfRule>
  </conditionalFormatting>
  <conditionalFormatting sqref="C1">
    <cfRule type="expression" dxfId="91" priority="1" stopIfTrue="1">
      <formula>NOT(ISERROR(SEARCH("DEAD",C1)))</formula>
    </cfRule>
  </conditionalFormatting>
  <dataValidations count="2">
    <dataValidation type="list" allowBlank="1" sqref="B12:B34 AG12:AH34">
      <formula1>_CreatureNames</formula1>
      <formula2>0</formula2>
    </dataValidation>
    <dataValidation type="list" allowBlank="1" showInputMessage="1" showErrorMessage="1" sqref="AJ3">
      <formula1>INDIRECT("tblAreas[Area]")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pyRandomEncounter">
                <anchor moveWithCells="1" sizeWithCells="1">
                  <from>
                    <xdr:col>35</xdr:col>
                    <xdr:colOff>0</xdr:colOff>
                    <xdr:row>6</xdr:row>
                    <xdr:rowOff>0</xdr:rowOff>
                  </from>
                  <to>
                    <xdr:col>37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0" r:id="rId5" name="Button 26">
              <controlPr defaultSize="0" autoFill="0" autoPict="0" macro="[0]!MakeInitList">
                <anchor moveWithCells="1" sizeWithCells="1">
                  <from>
                    <xdr:col>25</xdr:col>
                    <xdr:colOff>0</xdr:colOff>
                    <xdr:row>6</xdr:row>
                    <xdr:rowOff>0</xdr:rowOff>
                  </from>
                  <to>
                    <xdr:col>27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2" r:id="rId6" name="Button 28">
              <controlPr defaultSize="0" autoFill="0" autoPict="0" macro="[0]!CalculateWorkbook">
                <anchor moveWithCells="1" sizeWithCells="1">
                  <from>
                    <xdr:col>32</xdr:col>
                    <xdr:colOff>0</xdr:colOff>
                    <xdr:row>6</xdr:row>
                    <xdr:rowOff>0</xdr:rowOff>
                  </from>
                  <to>
                    <xdr:col>34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5" r:id="rId7" name="Button 31">
              <controlPr defaultSize="0" print="0" autoFill="0" autoPict="0" macro="[0]!Module1.LockInitScores">
                <anchor moveWithCells="1" sizeWithCells="1">
                  <from>
                    <xdr:col>28</xdr:col>
                    <xdr:colOff>0</xdr:colOff>
                    <xdr:row>6</xdr:row>
                    <xdr:rowOff>0</xdr:rowOff>
                  </from>
                  <to>
                    <xdr:col>31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EncounterList!$A$3:$A$5999</xm:f>
          </x14:formula1>
          <xm:sqref>E1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X38"/>
  <sheetViews>
    <sheetView topLeftCell="A3" workbookViewId="0">
      <selection activeCell="B14" sqref="B14:B23"/>
    </sheetView>
  </sheetViews>
  <sheetFormatPr baseColWidth="10" defaultColWidth="14.5" defaultRowHeight="15.75" customHeight="1" outlineLevelRow="1" x14ac:dyDescent="0.15"/>
  <cols>
    <col min="1" max="1" width="20.6640625" style="1" bestFit="1" customWidth="1"/>
    <col min="2" max="2" width="22.33203125" style="2" bestFit="1" customWidth="1"/>
    <col min="3" max="3" width="8.1640625" style="2" bestFit="1" customWidth="1"/>
    <col min="4" max="4" width="22" style="2" bestFit="1" customWidth="1"/>
    <col min="5" max="5" width="13.6640625" style="2" bestFit="1" customWidth="1"/>
    <col min="6" max="6" width="14.83203125" style="2" bestFit="1" customWidth="1"/>
    <col min="7" max="7" width="17.5" style="2" customWidth="1"/>
    <col min="8" max="8" width="5.1640625" style="2" customWidth="1"/>
    <col min="9" max="16384" width="14.5" style="2"/>
  </cols>
  <sheetData>
    <row r="1" spans="1:24" ht="15.75" hidden="1" customHeight="1" outlineLevel="1" x14ac:dyDescent="0.15">
      <c r="B1" s="2">
        <v>13</v>
      </c>
      <c r="C1" s="2">
        <f>B1+1</f>
        <v>14</v>
      </c>
      <c r="D1" s="2">
        <f t="shared" ref="D1:J1" si="0">C1+1</f>
        <v>15</v>
      </c>
      <c r="E1" s="2">
        <f t="shared" si="0"/>
        <v>16</v>
      </c>
      <c r="F1" s="2">
        <f t="shared" si="0"/>
        <v>17</v>
      </c>
      <c r="G1" s="2">
        <f t="shared" si="0"/>
        <v>18</v>
      </c>
      <c r="H1" s="2">
        <f t="shared" si="0"/>
        <v>19</v>
      </c>
      <c r="I1" s="2">
        <f t="shared" si="0"/>
        <v>20</v>
      </c>
      <c r="J1" s="2">
        <f t="shared" si="0"/>
        <v>21</v>
      </c>
      <c r="K1" s="2">
        <f t="shared" ref="K1:X1" si="1">J1+1</f>
        <v>22</v>
      </c>
      <c r="L1" s="2">
        <f t="shared" si="1"/>
        <v>23</v>
      </c>
      <c r="M1" s="2">
        <f t="shared" si="1"/>
        <v>24</v>
      </c>
      <c r="N1" s="2">
        <f t="shared" si="1"/>
        <v>25</v>
      </c>
      <c r="O1" s="2">
        <f t="shared" si="1"/>
        <v>26</v>
      </c>
      <c r="P1" s="2">
        <f t="shared" si="1"/>
        <v>27</v>
      </c>
      <c r="Q1" s="2">
        <f t="shared" si="1"/>
        <v>28</v>
      </c>
      <c r="R1" s="2">
        <f t="shared" si="1"/>
        <v>29</v>
      </c>
      <c r="S1" s="2">
        <f t="shared" si="1"/>
        <v>30</v>
      </c>
      <c r="T1" s="2">
        <f t="shared" si="1"/>
        <v>31</v>
      </c>
      <c r="U1" s="2">
        <f t="shared" si="1"/>
        <v>32</v>
      </c>
      <c r="V1" s="2">
        <f t="shared" si="1"/>
        <v>33</v>
      </c>
      <c r="W1" s="2">
        <f t="shared" si="1"/>
        <v>34</v>
      </c>
      <c r="X1" s="2">
        <f t="shared" si="1"/>
        <v>35</v>
      </c>
    </row>
    <row r="2" spans="1:24" ht="15.75" hidden="1" customHeight="1" outlineLevel="1" x14ac:dyDescent="0.15">
      <c r="A2" s="1" t="str">
        <f>IF(B3&lt;&gt;"",B3,B13&amp;" &amp; co. ("&amp;COUNTIF(tblBuilder[ID],"&gt;0")&amp;" total) "&amp;B8)</f>
        <v>Kalmuth's Training Grounds</v>
      </c>
      <c r="B2" s="2">
        <f ca="1">INDIRECT("B"&amp;B1)</f>
        <v>0</v>
      </c>
      <c r="C2" s="2">
        <f ca="1">INDIRECT("B"&amp;C1)</f>
        <v>0</v>
      </c>
      <c r="D2" s="2">
        <f t="shared" ref="D2:J2" ca="1" si="2">INDIRECT("B"&amp;D1)</f>
        <v>0</v>
      </c>
      <c r="E2" s="2">
        <f t="shared" ca="1" si="2"/>
        <v>0</v>
      </c>
      <c r="F2" s="2">
        <f t="shared" ca="1" si="2"/>
        <v>0</v>
      </c>
      <c r="G2" s="2">
        <f t="shared" ca="1" si="2"/>
        <v>0</v>
      </c>
      <c r="H2" s="2">
        <f t="shared" ca="1" si="2"/>
        <v>0</v>
      </c>
      <c r="I2" s="2">
        <f t="shared" ca="1" si="2"/>
        <v>0</v>
      </c>
      <c r="J2" s="2">
        <f t="shared" ca="1" si="2"/>
        <v>0</v>
      </c>
      <c r="K2" s="2">
        <f t="shared" ref="K2:X2" ca="1" si="3">INDIRECT("B"&amp;K1)</f>
        <v>0</v>
      </c>
      <c r="L2" s="2">
        <f t="shared" ca="1" si="3"/>
        <v>0</v>
      </c>
      <c r="M2" s="2">
        <f t="shared" ca="1" si="3"/>
        <v>0</v>
      </c>
      <c r="N2" s="2">
        <f t="shared" ca="1" si="3"/>
        <v>0</v>
      </c>
      <c r="O2" s="2">
        <f t="shared" ca="1" si="3"/>
        <v>0</v>
      </c>
      <c r="P2" s="2">
        <f t="shared" ca="1" si="3"/>
        <v>0</v>
      </c>
      <c r="Q2" s="2">
        <f t="shared" ca="1" si="3"/>
        <v>0</v>
      </c>
      <c r="R2" s="2">
        <f t="shared" ca="1" si="3"/>
        <v>0</v>
      </c>
      <c r="S2" s="2">
        <f t="shared" ca="1" si="3"/>
        <v>0</v>
      </c>
      <c r="T2" s="2">
        <f t="shared" ca="1" si="3"/>
        <v>0</v>
      </c>
      <c r="U2" s="2">
        <f t="shared" ca="1" si="3"/>
        <v>0</v>
      </c>
      <c r="V2" s="2">
        <f t="shared" ca="1" si="3"/>
        <v>0</v>
      </c>
      <c r="W2" s="2">
        <f t="shared" ca="1" si="3"/>
        <v>0</v>
      </c>
      <c r="X2" s="2">
        <f t="shared" ca="1" si="3"/>
        <v>0</v>
      </c>
    </row>
    <row r="3" spans="1:24" s="1" customFormat="1" ht="15.75" customHeight="1" collapsed="1" x14ac:dyDescent="0.15">
      <c r="A3" s="6" t="s">
        <v>0</v>
      </c>
      <c r="B3" s="1" t="s">
        <v>935</v>
      </c>
    </row>
    <row r="4" spans="1:24" s="1" customFormat="1" ht="15.75" customHeight="1" x14ac:dyDescent="0.15">
      <c r="A4" s="6" t="s">
        <v>3</v>
      </c>
      <c r="B4" s="52">
        <f>ROWS(_CharacterNames)</f>
        <v>5</v>
      </c>
      <c r="D4" s="68" t="s">
        <v>630</v>
      </c>
      <c r="E4" s="68" t="s">
        <v>629</v>
      </c>
      <c r="F4" s="68" t="s">
        <v>23</v>
      </c>
      <c r="G4" s="7"/>
    </row>
    <row r="5" spans="1:24" s="1" customFormat="1" ht="15.75" customHeight="1" x14ac:dyDescent="0.15">
      <c r="A5" s="6" t="s">
        <v>4</v>
      </c>
      <c r="B5" s="52">
        <f ca="1">COUNTIF(tblBuilder[ID],"&gt;0")</f>
        <v>0</v>
      </c>
      <c r="D5" s="69" t="e">
        <f ca="1">IF(AND(B7&gt;=0,B7&lt;=F5),"Yes", "No")</f>
        <v>#N/A</v>
      </c>
      <c r="E5" s="69" t="s">
        <v>18</v>
      </c>
      <c r="F5" s="69">
        <f>VLOOKUP(E5,tblEncounterDifficulty[],3,FALSE)</f>
        <v>1250</v>
      </c>
      <c r="G5" s="7"/>
    </row>
    <row r="6" spans="1:24" s="1" customFormat="1" ht="15.75" customHeight="1" x14ac:dyDescent="0.15">
      <c r="A6" s="6" t="s">
        <v>625</v>
      </c>
      <c r="B6" s="52">
        <f>SUM(F13:F35)</f>
        <v>0</v>
      </c>
      <c r="D6" s="69" t="e">
        <f ca="1">IF(AND($B$7&gt;F5,$B$7&lt;=F6),"Yes", "No")</f>
        <v>#N/A</v>
      </c>
      <c r="E6" s="69" t="s">
        <v>19</v>
      </c>
      <c r="F6" s="69">
        <f>VLOOKUP(E6,tblEncounterDifficulty[],3,FALSE)</f>
        <v>2500</v>
      </c>
      <c r="G6" s="8"/>
    </row>
    <row r="7" spans="1:24" s="1" customFormat="1" ht="15.75" customHeight="1" x14ac:dyDescent="0.15">
      <c r="A7" s="45" t="s">
        <v>626</v>
      </c>
      <c r="B7" s="52" t="e">
        <f ca="1">VLOOKUP(B5,tblEncounterMultipliers[],2,TRUE)*$B$6</f>
        <v>#N/A</v>
      </c>
      <c r="D7" s="69" t="e">
        <f ca="1">IF(AND($B$7&gt;F6,$B$7&lt;=F7),"Yes", "No")</f>
        <v>#N/A</v>
      </c>
      <c r="E7" s="69" t="s">
        <v>20</v>
      </c>
      <c r="F7" s="69">
        <f>VLOOKUP(E7,tblEncounterDifficulty[],3,FALSE)</f>
        <v>3750</v>
      </c>
      <c r="G7" s="9"/>
    </row>
    <row r="8" spans="1:24" s="1" customFormat="1" ht="15.75" customHeight="1" x14ac:dyDescent="0.15">
      <c r="A8" s="45" t="s">
        <v>628</v>
      </c>
      <c r="B8" s="7" t="e">
        <f ca="1">VLOOKUP("Yes",$D$4:$F$9,2,FALSE)</f>
        <v>#N/A</v>
      </c>
      <c r="D8" s="69" t="e">
        <f ca="1">IF(AND($B$7&gt;F7,$B$7&lt;=F8),"Yes", "No")</f>
        <v>#N/A</v>
      </c>
      <c r="E8" s="69" t="s">
        <v>21</v>
      </c>
      <c r="F8" s="69">
        <f>VLOOKUP(E8,tblEncounterDifficulty[],3,FALSE)</f>
        <v>5500</v>
      </c>
      <c r="G8" s="9"/>
    </row>
    <row r="9" spans="1:24" s="1" customFormat="1" ht="15.75" customHeight="1" x14ac:dyDescent="0.15">
      <c r="A9" s="45" t="s">
        <v>633</v>
      </c>
      <c r="B9" s="52">
        <f>ROUNDDOWN(B6/B4,0)</f>
        <v>0</v>
      </c>
      <c r="D9" s="69" t="e">
        <f ca="1">IF(AND($B$7&gt;F8,$B$7&lt;=F9),"Yes", "No")</f>
        <v>#N/A</v>
      </c>
      <c r="E9" s="69" t="s">
        <v>610</v>
      </c>
      <c r="F9" s="69">
        <f>VLOOKUP(E9,tblEncounterDifficulty[],3,FALSE)</f>
        <v>999999999999</v>
      </c>
      <c r="G9" s="7"/>
    </row>
    <row r="10" spans="1:24" s="1" customFormat="1" ht="15.75" customHeight="1" x14ac:dyDescent="0.15">
      <c r="D10" s="6"/>
      <c r="E10" s="7"/>
      <c r="F10" s="7"/>
      <c r="G10" s="7"/>
    </row>
    <row r="11" spans="1:24" s="1" customFormat="1" ht="13" x14ac:dyDescent="0.15">
      <c r="G11" s="7"/>
    </row>
    <row r="12" spans="1:24" s="11" customFormat="1" ht="28" customHeight="1" x14ac:dyDescent="0.15">
      <c r="A12" s="37" t="s">
        <v>611</v>
      </c>
      <c r="B12" s="38" t="s">
        <v>5</v>
      </c>
      <c r="C12" s="38" t="s">
        <v>6</v>
      </c>
      <c r="D12" s="38" t="s">
        <v>7</v>
      </c>
      <c r="E12" s="38" t="s">
        <v>10</v>
      </c>
      <c r="F12" s="38" t="s">
        <v>11</v>
      </c>
      <c r="G12" s="38" t="s">
        <v>12</v>
      </c>
      <c r="H12" s="10"/>
    </row>
    <row r="13" spans="1:24" ht="15.75" customHeight="1" x14ac:dyDescent="0.15">
      <c r="A13" s="34">
        <v>1</v>
      </c>
      <c r="B13" s="72"/>
      <c r="C13" s="36" t="str">
        <f ca="1">IF(B13="","",IF(B13=INDIRECT("B"&amp;CELL("row",B13)-1),C12+1,1))</f>
        <v/>
      </c>
      <c r="D13" s="36" t="str">
        <f ca="1">B13&amp;C13</f>
        <v/>
      </c>
      <c r="E13" s="36" t="str">
        <f t="shared" ref="E13:E28" si="4">IF(ISERROR(VLOOKUP(B13,_Creatures,2,0)),"",VLOOKUP(B13,_Creatures,2,0))</f>
        <v/>
      </c>
      <c r="F13" s="36" t="str">
        <f t="shared" ref="F13:F32" si="5">IF(ISERROR(VLOOKUP(E13,_xpByCR,2,0)),"",VLOOKUP(E13,_xpByCR,2,0))</f>
        <v/>
      </c>
      <c r="G13" s="36" t="str">
        <f t="shared" ref="G13:G28" si="6">IF(ISERROR(VLOOKUP(B13,_Creatures,6,0)),"",VLOOKUP(B13,_Creatures,6,0))</f>
        <v/>
      </c>
      <c r="H13" s="1"/>
    </row>
    <row r="14" spans="1:24" ht="15.75" customHeight="1" x14ac:dyDescent="0.15">
      <c r="A14" s="34">
        <f t="shared" ref="A14:A32" si="7">A13+1</f>
        <v>2</v>
      </c>
      <c r="B14" s="106"/>
      <c r="C14" s="36" t="str">
        <f t="shared" ref="C14:C28" ca="1" si="8">IF(B14="","",IF(B14=INDIRECT("B"&amp;CELL("row",B14)-1),C13+1,1))</f>
        <v/>
      </c>
      <c r="D14" s="36" t="str">
        <f t="shared" ref="D14:D28" ca="1" si="9">B14&amp;C14</f>
        <v/>
      </c>
      <c r="E14" s="36" t="str">
        <f t="shared" si="4"/>
        <v/>
      </c>
      <c r="F14" s="36" t="str">
        <f t="shared" ref="F14:F28" si="10">IF(ISERROR(VLOOKUP(E14,_xpByCR,2,0)),"",VLOOKUP(E14,_xpByCR,2,0))</f>
        <v/>
      </c>
      <c r="G14" s="36" t="str">
        <f t="shared" si="6"/>
        <v/>
      </c>
    </row>
    <row r="15" spans="1:24" ht="15.75" customHeight="1" x14ac:dyDescent="0.15">
      <c r="A15" s="34">
        <f t="shared" si="7"/>
        <v>3</v>
      </c>
      <c r="B15" s="106"/>
      <c r="C15" s="36" t="str">
        <f t="shared" ca="1" si="8"/>
        <v/>
      </c>
      <c r="D15" s="36" t="str">
        <f t="shared" ca="1" si="9"/>
        <v/>
      </c>
      <c r="E15" s="36" t="str">
        <f t="shared" si="4"/>
        <v/>
      </c>
      <c r="F15" s="36" t="str">
        <f t="shared" si="10"/>
        <v/>
      </c>
      <c r="G15" s="36" t="str">
        <f t="shared" si="6"/>
        <v/>
      </c>
    </row>
    <row r="16" spans="1:24" ht="15.75" customHeight="1" x14ac:dyDescent="0.15">
      <c r="A16" s="34">
        <f t="shared" si="7"/>
        <v>4</v>
      </c>
      <c r="B16" s="106"/>
      <c r="C16" s="36" t="str">
        <f t="shared" ca="1" si="8"/>
        <v/>
      </c>
      <c r="D16" s="36" t="str">
        <f t="shared" ca="1" si="9"/>
        <v/>
      </c>
      <c r="E16" s="36" t="str">
        <f t="shared" si="4"/>
        <v/>
      </c>
      <c r="F16" s="36" t="str">
        <f t="shared" si="10"/>
        <v/>
      </c>
      <c r="G16" s="36" t="str">
        <f t="shared" si="6"/>
        <v/>
      </c>
    </row>
    <row r="17" spans="1:7" ht="15.75" customHeight="1" x14ac:dyDescent="0.15">
      <c r="A17" s="34">
        <f t="shared" si="7"/>
        <v>5</v>
      </c>
      <c r="B17" s="106"/>
      <c r="C17" s="36" t="str">
        <f t="shared" ca="1" si="8"/>
        <v/>
      </c>
      <c r="D17" s="36" t="str">
        <f t="shared" ca="1" si="9"/>
        <v/>
      </c>
      <c r="E17" s="36" t="str">
        <f t="shared" si="4"/>
        <v/>
      </c>
      <c r="F17" s="36" t="str">
        <f t="shared" si="10"/>
        <v/>
      </c>
      <c r="G17" s="36" t="str">
        <f t="shared" si="6"/>
        <v/>
      </c>
    </row>
    <row r="18" spans="1:7" ht="15.75" customHeight="1" x14ac:dyDescent="0.15">
      <c r="A18" s="34">
        <f t="shared" si="7"/>
        <v>6</v>
      </c>
      <c r="B18"/>
      <c r="C18" s="36" t="str">
        <f t="shared" ca="1" si="8"/>
        <v/>
      </c>
      <c r="D18" s="36" t="str">
        <f t="shared" ca="1" si="9"/>
        <v/>
      </c>
      <c r="E18" s="36" t="str">
        <f t="shared" si="4"/>
        <v/>
      </c>
      <c r="F18" s="36" t="str">
        <f t="shared" si="10"/>
        <v/>
      </c>
      <c r="G18" s="36" t="str">
        <f t="shared" si="6"/>
        <v/>
      </c>
    </row>
    <row r="19" spans="1:7" ht="15.75" customHeight="1" x14ac:dyDescent="0.15">
      <c r="A19" s="34">
        <f t="shared" si="7"/>
        <v>7</v>
      </c>
      <c r="B19"/>
      <c r="C19" s="36" t="str">
        <f t="shared" ca="1" si="8"/>
        <v/>
      </c>
      <c r="D19" s="36" t="str">
        <f t="shared" ca="1" si="9"/>
        <v/>
      </c>
      <c r="E19" s="36" t="str">
        <f t="shared" si="4"/>
        <v/>
      </c>
      <c r="F19" s="36" t="str">
        <f t="shared" si="10"/>
        <v/>
      </c>
      <c r="G19" s="36" t="str">
        <f t="shared" si="6"/>
        <v/>
      </c>
    </row>
    <row r="20" spans="1:7" ht="15.75" customHeight="1" x14ac:dyDescent="0.15">
      <c r="A20" s="34">
        <f t="shared" si="7"/>
        <v>8</v>
      </c>
      <c r="B20"/>
      <c r="C20" s="36" t="str">
        <f t="shared" ca="1" si="8"/>
        <v/>
      </c>
      <c r="D20" s="36" t="str">
        <f t="shared" ca="1" si="9"/>
        <v/>
      </c>
      <c r="E20" s="36" t="str">
        <f t="shared" si="4"/>
        <v/>
      </c>
      <c r="F20" s="36" t="str">
        <f t="shared" si="10"/>
        <v/>
      </c>
      <c r="G20" s="36" t="str">
        <f t="shared" si="6"/>
        <v/>
      </c>
    </row>
    <row r="21" spans="1:7" ht="15.75" customHeight="1" x14ac:dyDescent="0.15">
      <c r="A21" s="34">
        <f t="shared" si="7"/>
        <v>9</v>
      </c>
      <c r="B21"/>
      <c r="C21" s="36" t="str">
        <f t="shared" ca="1" si="8"/>
        <v/>
      </c>
      <c r="D21" s="36" t="str">
        <f t="shared" ca="1" si="9"/>
        <v/>
      </c>
      <c r="E21" s="36" t="str">
        <f t="shared" si="4"/>
        <v/>
      </c>
      <c r="F21" s="36" t="str">
        <f t="shared" si="10"/>
        <v/>
      </c>
      <c r="G21" s="36" t="str">
        <f t="shared" si="6"/>
        <v/>
      </c>
    </row>
    <row r="22" spans="1:7" ht="15.75" customHeight="1" x14ac:dyDescent="0.15">
      <c r="A22" s="34">
        <f t="shared" si="7"/>
        <v>10</v>
      </c>
      <c r="B22" s="72"/>
      <c r="C22" s="36" t="str">
        <f t="shared" ca="1" si="8"/>
        <v/>
      </c>
      <c r="D22" s="36" t="str">
        <f t="shared" ca="1" si="9"/>
        <v/>
      </c>
      <c r="E22" s="36" t="str">
        <f t="shared" si="4"/>
        <v/>
      </c>
      <c r="F22" s="36" t="str">
        <f t="shared" si="10"/>
        <v/>
      </c>
      <c r="G22" s="36" t="str">
        <f t="shared" si="6"/>
        <v/>
      </c>
    </row>
    <row r="23" spans="1:7" ht="15.75" customHeight="1" x14ac:dyDescent="0.15">
      <c r="A23" s="34">
        <f t="shared" si="7"/>
        <v>11</v>
      </c>
      <c r="B23" s="72"/>
      <c r="C23" s="36" t="str">
        <f t="shared" ca="1" si="8"/>
        <v/>
      </c>
      <c r="D23" s="36" t="str">
        <f t="shared" ca="1" si="9"/>
        <v/>
      </c>
      <c r="E23" s="36" t="str">
        <f t="shared" si="4"/>
        <v/>
      </c>
      <c r="F23" s="36" t="str">
        <f t="shared" si="10"/>
        <v/>
      </c>
      <c r="G23" s="36" t="str">
        <f t="shared" si="6"/>
        <v/>
      </c>
    </row>
    <row r="24" spans="1:7" ht="15.75" customHeight="1" x14ac:dyDescent="0.15">
      <c r="A24" s="34">
        <f t="shared" si="7"/>
        <v>12</v>
      </c>
      <c r="B24" s="72"/>
      <c r="C24" s="36" t="str">
        <f t="shared" ca="1" si="8"/>
        <v/>
      </c>
      <c r="D24" s="36" t="str">
        <f t="shared" ca="1" si="9"/>
        <v/>
      </c>
      <c r="E24" s="36" t="str">
        <f t="shared" si="4"/>
        <v/>
      </c>
      <c r="F24" s="36" t="str">
        <f t="shared" si="10"/>
        <v/>
      </c>
      <c r="G24" s="36" t="str">
        <f t="shared" si="6"/>
        <v/>
      </c>
    </row>
    <row r="25" spans="1:7" ht="15.75" customHeight="1" x14ac:dyDescent="0.15">
      <c r="A25" s="34">
        <f t="shared" si="7"/>
        <v>13</v>
      </c>
      <c r="B25" s="72"/>
      <c r="C25" s="36" t="str">
        <f t="shared" ca="1" si="8"/>
        <v/>
      </c>
      <c r="D25" s="36" t="str">
        <f t="shared" ca="1" si="9"/>
        <v/>
      </c>
      <c r="E25" s="36" t="str">
        <f t="shared" si="4"/>
        <v/>
      </c>
      <c r="F25" s="36" t="str">
        <f t="shared" si="10"/>
        <v/>
      </c>
      <c r="G25" s="36" t="str">
        <f t="shared" si="6"/>
        <v/>
      </c>
    </row>
    <row r="26" spans="1:7" ht="15.75" customHeight="1" x14ac:dyDescent="0.15">
      <c r="A26" s="34">
        <f t="shared" si="7"/>
        <v>14</v>
      </c>
      <c r="B26" s="72"/>
      <c r="C26" s="36" t="str">
        <f t="shared" ca="1" si="8"/>
        <v/>
      </c>
      <c r="D26" s="36" t="str">
        <f t="shared" ca="1" si="9"/>
        <v/>
      </c>
      <c r="E26" s="36" t="str">
        <f t="shared" si="4"/>
        <v/>
      </c>
      <c r="F26" s="36" t="str">
        <f t="shared" si="10"/>
        <v/>
      </c>
      <c r="G26" s="36" t="str">
        <f t="shared" si="6"/>
        <v/>
      </c>
    </row>
    <row r="27" spans="1:7" ht="15.75" customHeight="1" x14ac:dyDescent="0.15">
      <c r="A27" s="34">
        <f t="shared" si="7"/>
        <v>15</v>
      </c>
      <c r="B27" s="72"/>
      <c r="C27" s="36" t="str">
        <f t="shared" ca="1" si="8"/>
        <v/>
      </c>
      <c r="D27" s="36" t="str">
        <f t="shared" ca="1" si="9"/>
        <v/>
      </c>
      <c r="E27" s="36" t="str">
        <f t="shared" si="4"/>
        <v/>
      </c>
      <c r="F27" s="36" t="str">
        <f t="shared" si="10"/>
        <v/>
      </c>
      <c r="G27" s="36" t="str">
        <f t="shared" si="6"/>
        <v/>
      </c>
    </row>
    <row r="28" spans="1:7" ht="15.75" customHeight="1" x14ac:dyDescent="0.15">
      <c r="A28" s="34">
        <f t="shared" si="7"/>
        <v>16</v>
      </c>
      <c r="B28" s="72"/>
      <c r="C28" s="36" t="str">
        <f t="shared" ca="1" si="8"/>
        <v/>
      </c>
      <c r="D28" s="36" t="str">
        <f t="shared" ca="1" si="9"/>
        <v/>
      </c>
      <c r="E28" s="36" t="str">
        <f t="shared" si="4"/>
        <v/>
      </c>
      <c r="F28" s="36" t="str">
        <f t="shared" si="10"/>
        <v/>
      </c>
      <c r="G28" s="36" t="str">
        <f t="shared" si="6"/>
        <v/>
      </c>
    </row>
    <row r="29" spans="1:7" ht="15.75" customHeight="1" x14ac:dyDescent="0.15">
      <c r="A29" s="34">
        <f t="shared" si="7"/>
        <v>17</v>
      </c>
      <c r="B29" s="72"/>
      <c r="C29" s="36" t="str">
        <f t="shared" ref="C29:C32" ca="1" si="11">IF(B29="","",IF(B29=INDIRECT("B"&amp;CELL("row",B29)-1),C28+1,1))</f>
        <v/>
      </c>
      <c r="D29" s="36" t="str">
        <f t="shared" ref="D29:D32" ca="1" si="12">B29&amp;C29</f>
        <v/>
      </c>
      <c r="E29" s="36" t="str">
        <f t="shared" ref="E29:E35" si="13">IF(ISERROR(VLOOKUP(B29,_Creatures,2,0)),"",VLOOKUP(B29,_Creatures,2,0))</f>
        <v/>
      </c>
      <c r="F29" s="36" t="str">
        <f t="shared" si="5"/>
        <v/>
      </c>
      <c r="G29" s="36" t="str">
        <f t="shared" ref="G29:G35" si="14">IF(ISERROR(VLOOKUP(B29,_Creatures,6,0)),"",VLOOKUP(B29,_Creatures,6,0))</f>
        <v/>
      </c>
    </row>
    <row r="30" spans="1:7" ht="15.75" customHeight="1" x14ac:dyDescent="0.15">
      <c r="A30" s="34">
        <f t="shared" si="7"/>
        <v>18</v>
      </c>
      <c r="B30" s="72"/>
      <c r="C30" s="36" t="str">
        <f t="shared" ca="1" si="11"/>
        <v/>
      </c>
      <c r="D30" s="36" t="str">
        <f t="shared" ca="1" si="12"/>
        <v/>
      </c>
      <c r="E30" s="36" t="str">
        <f t="shared" si="13"/>
        <v/>
      </c>
      <c r="F30" s="36" t="str">
        <f t="shared" si="5"/>
        <v/>
      </c>
      <c r="G30" s="36" t="str">
        <f t="shared" si="14"/>
        <v/>
      </c>
    </row>
    <row r="31" spans="1:7" ht="15.75" customHeight="1" x14ac:dyDescent="0.15">
      <c r="A31" s="34">
        <f t="shared" si="7"/>
        <v>19</v>
      </c>
      <c r="B31" s="72"/>
      <c r="C31" s="36" t="str">
        <f t="shared" ca="1" si="11"/>
        <v/>
      </c>
      <c r="D31" s="36" t="str">
        <f t="shared" ca="1" si="12"/>
        <v/>
      </c>
      <c r="E31" s="36" t="str">
        <f t="shared" si="13"/>
        <v/>
      </c>
      <c r="F31" s="36" t="str">
        <f t="shared" si="5"/>
        <v/>
      </c>
      <c r="G31" s="36" t="str">
        <f t="shared" si="14"/>
        <v/>
      </c>
    </row>
    <row r="32" spans="1:7" ht="15.75" customHeight="1" x14ac:dyDescent="0.15">
      <c r="A32" s="34">
        <f t="shared" si="7"/>
        <v>20</v>
      </c>
      <c r="B32" s="102"/>
      <c r="C32" s="36" t="str">
        <f t="shared" ca="1" si="11"/>
        <v/>
      </c>
      <c r="D32" s="36" t="str">
        <f t="shared" ca="1" si="12"/>
        <v/>
      </c>
      <c r="E32" s="36" t="str">
        <f t="shared" si="13"/>
        <v/>
      </c>
      <c r="F32" s="36" t="str">
        <f t="shared" si="5"/>
        <v/>
      </c>
      <c r="G32" s="36" t="str">
        <f t="shared" si="14"/>
        <v/>
      </c>
    </row>
    <row r="33" spans="1:7" ht="15.75" customHeight="1" x14ac:dyDescent="0.15">
      <c r="A33" s="35">
        <v>21</v>
      </c>
      <c r="B33" s="103"/>
      <c r="C33" s="35" t="str">
        <f ca="1">IF(B33="","",IF(B33=INDIRECT("B"&amp;CELL("row",B33)-1),C32+1,1))</f>
        <v/>
      </c>
      <c r="D33" s="35" t="str">
        <f ca="1">B33&amp;C33</f>
        <v/>
      </c>
      <c r="E33" s="35" t="str">
        <f t="shared" si="13"/>
        <v/>
      </c>
      <c r="F33" s="35" t="str">
        <f>IF(ISERROR(VLOOKUP(E33,_xpByCR,2,0)),"",VLOOKUP(E33,_xpByCR,2,0))</f>
        <v/>
      </c>
      <c r="G33" s="35" t="str">
        <f t="shared" si="14"/>
        <v/>
      </c>
    </row>
    <row r="34" spans="1:7" ht="15.75" customHeight="1" x14ac:dyDescent="0.15">
      <c r="A34" s="35">
        <v>22</v>
      </c>
      <c r="B34" s="103"/>
      <c r="C34" s="35" t="str">
        <f ca="1">IF(B34="","",IF(B34=INDIRECT("B"&amp;CELL("row",B34)-1),C33+1,1))</f>
        <v/>
      </c>
      <c r="D34" s="35" t="str">
        <f ca="1">B34&amp;C34</f>
        <v/>
      </c>
      <c r="E34" s="35" t="str">
        <f t="shared" si="13"/>
        <v/>
      </c>
      <c r="F34" s="35" t="str">
        <f>IF(ISERROR(VLOOKUP(E34,_xpByCR,2,0)),"",VLOOKUP(E34,_xpByCR,2,0))</f>
        <v/>
      </c>
      <c r="G34" s="35" t="str">
        <f t="shared" si="14"/>
        <v/>
      </c>
    </row>
    <row r="35" spans="1:7" ht="15.75" customHeight="1" x14ac:dyDescent="0.15">
      <c r="A35" s="35">
        <v>23</v>
      </c>
      <c r="B35" s="103"/>
      <c r="C35" s="35" t="str">
        <f ca="1">IF(B35="","",IF(B35=INDIRECT("B"&amp;CELL("row",B35)-1),C34+1,1))</f>
        <v/>
      </c>
      <c r="D35" s="35" t="str">
        <f ca="1">B35&amp;C35</f>
        <v/>
      </c>
      <c r="E35" s="35" t="str">
        <f t="shared" si="13"/>
        <v/>
      </c>
      <c r="F35" s="35" t="str">
        <f>IF(ISERROR(VLOOKUP(E35,_xpByCR,2,0)),"",VLOOKUP(E35,_xpByCR,2,0))</f>
        <v/>
      </c>
      <c r="G35" s="35" t="str">
        <f t="shared" si="14"/>
        <v/>
      </c>
    </row>
    <row r="38" spans="1:7" ht="15.75" customHeight="1" x14ac:dyDescent="0.15">
      <c r="D38" s="53"/>
      <c r="G38" s="59"/>
    </row>
  </sheetData>
  <sheetProtection selectLockedCells="1" selectUnlockedCells="1"/>
  <conditionalFormatting sqref="A12:D12 A29:G35 A28:B28 G12:G28 C13:F28 A13:A27 B22:B30">
    <cfRule type="expression" dxfId="50" priority="7" stopIfTrue="1">
      <formula>NOT(ISERROR(SEARCH("DEAD",A12)))</formula>
    </cfRule>
  </conditionalFormatting>
  <conditionalFormatting sqref="F12">
    <cfRule type="expression" dxfId="49" priority="9" stopIfTrue="1">
      <formula>NOT(ISERROR(SEARCH("DEAD",F12)))</formula>
    </cfRule>
  </conditionalFormatting>
  <conditionalFormatting sqref="E12">
    <cfRule type="expression" dxfId="48" priority="10" stopIfTrue="1">
      <formula>NOT(ISERROR(SEARCH("DEAD",E12)))</formula>
    </cfRule>
  </conditionalFormatting>
  <conditionalFormatting sqref="D4:E4">
    <cfRule type="expression" dxfId="47" priority="5" stopIfTrue="1">
      <formula>NOT(ISERROR(SEARCH("DEAD",D4)))</formula>
    </cfRule>
  </conditionalFormatting>
  <conditionalFormatting sqref="F4">
    <cfRule type="expression" dxfId="46" priority="4" stopIfTrue="1">
      <formula>NOT(ISERROR(SEARCH("DEAD",F4)))</formula>
    </cfRule>
  </conditionalFormatting>
  <conditionalFormatting sqref="B20">
    <cfRule type="expression" dxfId="45" priority="3" stopIfTrue="1">
      <formula>NOT(ISERROR(SEARCH("DEAD",B20)))</formula>
    </cfRule>
  </conditionalFormatting>
  <conditionalFormatting sqref="B13">
    <cfRule type="expression" dxfId="44" priority="2" stopIfTrue="1">
      <formula>NOT(ISERROR(SEARCH("DEAD",B13)))</formula>
    </cfRule>
  </conditionalFormatting>
  <dataValidations count="1">
    <dataValidation type="list" allowBlank="1" sqref="B13 B22:B35">
      <formula1>_CreatureNames</formula1>
      <formula2>0</formula2>
    </dataValidation>
  </dataValidations>
  <pageMargins left="0.7" right="0.7" top="0.75" bottom="0.75" header="0.51180555555555551" footer="0.51180555555555551"/>
  <pageSetup firstPageNumber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6" r:id="rId3" name="btnAddEnc">
              <controlPr defaultSize="0" autoFill="0" autoPict="0" macro="[0]!AddEncounter">
                <anchor moveWithCells="1" sizeWithCells="1">
                  <from>
                    <xdr:col>6</xdr:col>
                    <xdr:colOff>0</xdr:colOff>
                    <xdr:row>4</xdr:row>
                    <xdr:rowOff>38100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0"/>
  <sheetViews>
    <sheetView workbookViewId="0">
      <selection activeCell="A3" sqref="A3:A7"/>
    </sheetView>
  </sheetViews>
  <sheetFormatPr baseColWidth="10" defaultColWidth="14.5" defaultRowHeight="15.75" customHeight="1" x14ac:dyDescent="0.15"/>
  <cols>
    <col min="1" max="1" width="17.33203125" style="2" customWidth="1"/>
    <col min="2" max="2" width="17.1640625" style="2" customWidth="1"/>
    <col min="3" max="3" width="8.5" style="2" customWidth="1"/>
    <col min="4" max="4" width="10.5" style="2" customWidth="1"/>
    <col min="5" max="5" width="8.5" style="2" customWidth="1"/>
    <col min="6" max="6" width="9.5" style="2" customWidth="1"/>
    <col min="7" max="7" width="14.5" style="2"/>
    <col min="8" max="8" width="10" style="2" customWidth="1"/>
    <col min="9" max="9" width="10.33203125" style="2" customWidth="1"/>
    <col min="10" max="10" width="13.6640625" style="2" bestFit="1" customWidth="1"/>
    <col min="11" max="16384" width="14.5" style="2"/>
  </cols>
  <sheetData>
    <row r="1" spans="1:10" ht="15.75" customHeight="1" x14ac:dyDescent="0.15">
      <c r="C1" s="2">
        <v>2</v>
      </c>
      <c r="D1" s="2">
        <f>C1+1</f>
        <v>3</v>
      </c>
      <c r="E1" s="2">
        <f>D1+1</f>
        <v>4</v>
      </c>
      <c r="F1" s="2">
        <f>E1+1</f>
        <v>5</v>
      </c>
    </row>
    <row r="2" spans="1:10" ht="15.75" customHeight="1" x14ac:dyDescent="0.15">
      <c r="A2" s="3" t="s">
        <v>16</v>
      </c>
      <c r="B2" s="13" t="s">
        <v>17</v>
      </c>
      <c r="C2" s="13" t="s">
        <v>18</v>
      </c>
      <c r="D2" s="13" t="s">
        <v>19</v>
      </c>
      <c r="E2" s="13" t="s">
        <v>20</v>
      </c>
      <c r="F2" s="13" t="s">
        <v>21</v>
      </c>
      <c r="H2" s="14" t="s">
        <v>629</v>
      </c>
      <c r="I2" s="15" t="s">
        <v>22</v>
      </c>
      <c r="J2" s="15" t="s">
        <v>23</v>
      </c>
    </row>
    <row r="3" spans="1:10" ht="15.75" customHeight="1" x14ac:dyDescent="0.15">
      <c r="A3" s="70" t="s">
        <v>856</v>
      </c>
      <c r="B3" s="16">
        <v>5</v>
      </c>
      <c r="C3" s="17">
        <f t="shared" ref="C3:F7" si="0">_xlfn.IFNA(VLOOKUP($B3,_EncounterDifficultyTable,C$1,0),0)</f>
        <v>250</v>
      </c>
      <c r="D3" s="17">
        <f t="shared" si="0"/>
        <v>500</v>
      </c>
      <c r="E3" s="17">
        <f t="shared" si="0"/>
        <v>750</v>
      </c>
      <c r="F3" s="17">
        <f t="shared" si="0"/>
        <v>1100</v>
      </c>
      <c r="H3" s="18" t="s">
        <v>18</v>
      </c>
      <c r="I3" s="17">
        <v>0</v>
      </c>
      <c r="J3" s="33">
        <f>SUBTOTAL(9,PartyInfo!$C$3:$C$7)</f>
        <v>1250</v>
      </c>
    </row>
    <row r="4" spans="1:10" ht="15.75" customHeight="1" x14ac:dyDescent="0.15">
      <c r="A4" s="70" t="s">
        <v>857</v>
      </c>
      <c r="B4" s="16">
        <v>5</v>
      </c>
      <c r="C4" s="17">
        <f t="shared" si="0"/>
        <v>250</v>
      </c>
      <c r="D4" s="17">
        <f t="shared" si="0"/>
        <v>500</v>
      </c>
      <c r="E4" s="17">
        <f t="shared" si="0"/>
        <v>750</v>
      </c>
      <c r="F4" s="17">
        <f t="shared" si="0"/>
        <v>1100</v>
      </c>
      <c r="H4" s="18" t="s">
        <v>19</v>
      </c>
      <c r="I4" s="17">
        <f>J3+1</f>
        <v>1251</v>
      </c>
      <c r="J4" s="33">
        <f>SUBTOTAL(9,PartyInfo!$D$3:$D$7)</f>
        <v>2500</v>
      </c>
    </row>
    <row r="5" spans="1:10" ht="15.75" customHeight="1" x14ac:dyDescent="0.15">
      <c r="A5" s="92" t="s">
        <v>771</v>
      </c>
      <c r="B5" s="93">
        <v>5</v>
      </c>
      <c r="C5" s="17">
        <f t="shared" si="0"/>
        <v>250</v>
      </c>
      <c r="D5" s="17">
        <f t="shared" si="0"/>
        <v>500</v>
      </c>
      <c r="E5" s="17">
        <f t="shared" si="0"/>
        <v>750</v>
      </c>
      <c r="F5" s="17">
        <f t="shared" si="0"/>
        <v>1100</v>
      </c>
      <c r="H5" s="18" t="s">
        <v>20</v>
      </c>
      <c r="I5" s="17">
        <f>J4+1</f>
        <v>2501</v>
      </c>
      <c r="J5" s="33">
        <f>SUBTOTAL(9,PartyInfo!$E$3:$E$7)</f>
        <v>3750</v>
      </c>
    </row>
    <row r="6" spans="1:10" ht="15.75" customHeight="1" x14ac:dyDescent="0.15">
      <c r="A6" s="92" t="s">
        <v>858</v>
      </c>
      <c r="B6" s="93">
        <v>5</v>
      </c>
      <c r="C6" s="17">
        <f t="shared" si="0"/>
        <v>250</v>
      </c>
      <c r="D6" s="17">
        <f t="shared" si="0"/>
        <v>500</v>
      </c>
      <c r="E6" s="17">
        <f t="shared" si="0"/>
        <v>750</v>
      </c>
      <c r="F6" s="17">
        <f t="shared" si="0"/>
        <v>1100</v>
      </c>
      <c r="H6" s="18" t="s">
        <v>21</v>
      </c>
      <c r="I6" s="17">
        <f>J5+1</f>
        <v>3751</v>
      </c>
      <c r="J6" s="33">
        <f>SUBTOTAL(9,PartyInfo!$F$3:$F$7)</f>
        <v>5500</v>
      </c>
    </row>
    <row r="7" spans="1:10" ht="15.75" customHeight="1" x14ac:dyDescent="0.15">
      <c r="A7" s="92" t="s">
        <v>772</v>
      </c>
      <c r="B7" s="93">
        <v>5</v>
      </c>
      <c r="C7" s="17">
        <f t="shared" si="0"/>
        <v>250</v>
      </c>
      <c r="D7" s="17">
        <f t="shared" si="0"/>
        <v>500</v>
      </c>
      <c r="E7" s="17">
        <f t="shared" si="0"/>
        <v>750</v>
      </c>
      <c r="F7" s="17">
        <f t="shared" si="0"/>
        <v>1100</v>
      </c>
      <c r="H7" s="32" t="s">
        <v>610</v>
      </c>
      <c r="I7" s="17">
        <f>J6+1</f>
        <v>5501</v>
      </c>
      <c r="J7" s="33">
        <v>999999999999</v>
      </c>
    </row>
    <row r="8" spans="1:10" ht="15.75" customHeight="1" x14ac:dyDescent="0.15">
      <c r="H8" s="18"/>
      <c r="I8" s="17"/>
      <c r="J8" s="17"/>
    </row>
    <row r="9" spans="1:10" ht="15.75" customHeight="1" x14ac:dyDescent="0.15">
      <c r="H9" s="18"/>
      <c r="I9" s="17"/>
      <c r="J9" s="17"/>
    </row>
    <row r="10" spans="1:10" ht="15.75" customHeight="1" x14ac:dyDescent="0.15">
      <c r="H10" s="18"/>
      <c r="I10" s="17"/>
      <c r="J10" s="17"/>
    </row>
  </sheetData>
  <sheetProtection selectLockedCells="1" selectUnlockedCells="1"/>
  <dataValidations count="1">
    <dataValidation type="list" allowBlank="1" sqref="I3:J10 B3:F7">
      <formula1>_CharacterLevels</formula1>
      <formula2>0</formula2>
    </dataValidation>
  </dataValidations>
  <pageMargins left="0.7" right="0.7" top="0.75" bottom="0.75" header="0.51180555555555551" footer="0.51180555555555551"/>
  <pageSetup firstPageNumber="0" orientation="portrait" horizontalDpi="300" verticalDpi="30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121"/>
  <sheetViews>
    <sheetView topLeftCell="A66" workbookViewId="0">
      <selection activeCell="B88" sqref="B88"/>
    </sheetView>
  </sheetViews>
  <sheetFormatPr baseColWidth="10" defaultColWidth="11.5" defaultRowHeight="13" x14ac:dyDescent="0.15"/>
  <cols>
    <col min="2" max="2" width="15.6640625" bestFit="1" customWidth="1"/>
    <col min="3" max="3" width="2.33203125" customWidth="1"/>
    <col min="4" max="4" width="14.1640625" bestFit="1" customWidth="1"/>
    <col min="5" max="5" width="9.6640625" bestFit="1" customWidth="1"/>
    <col min="6" max="6" width="2.33203125" customWidth="1"/>
    <col min="7" max="7" width="19.33203125" bestFit="1" customWidth="1"/>
    <col min="8" max="9" width="7.83203125" bestFit="1" customWidth="1"/>
    <col min="10" max="10" width="20.83203125" bestFit="1" customWidth="1"/>
    <col min="11" max="11" width="14.1640625" bestFit="1" customWidth="1"/>
    <col min="12" max="12" width="2.33203125" customWidth="1"/>
    <col min="13" max="13" width="16.6640625" bestFit="1" customWidth="1"/>
    <col min="14" max="14" width="20.1640625" bestFit="1" customWidth="1"/>
    <col min="15" max="15" width="2.33203125" customWidth="1"/>
    <col min="16" max="16" width="16.6640625" bestFit="1" customWidth="1"/>
    <col min="17" max="17" width="19.33203125" bestFit="1" customWidth="1"/>
  </cols>
  <sheetData>
    <row r="1" spans="1:14" x14ac:dyDescent="0.15">
      <c r="A1" s="49" t="s">
        <v>636</v>
      </c>
      <c r="B1" t="s">
        <v>664</v>
      </c>
      <c r="D1" t="s">
        <v>645</v>
      </c>
      <c r="E1" s="60" t="s">
        <v>646</v>
      </c>
      <c r="G1" t="s">
        <v>648</v>
      </c>
      <c r="H1" t="s">
        <v>656</v>
      </c>
      <c r="I1" t="s">
        <v>655</v>
      </c>
      <c r="J1" t="s">
        <v>651</v>
      </c>
      <c r="K1" t="s">
        <v>645</v>
      </c>
      <c r="M1" t="s">
        <v>645</v>
      </c>
      <c r="N1" s="49" t="str">
        <f>VLOOKUP(Tracker!AJ3,tblAreas[],5,FALSE)</f>
        <v>Moderate Danger</v>
      </c>
    </row>
    <row r="2" spans="1:14" x14ac:dyDescent="0.15">
      <c r="A2" s="49">
        <v>1</v>
      </c>
      <c r="B2" t="s">
        <v>669</v>
      </c>
      <c r="D2" t="s">
        <v>639</v>
      </c>
      <c r="E2" s="61">
        <v>0</v>
      </c>
      <c r="G2" t="s">
        <v>662</v>
      </c>
      <c r="H2" t="s">
        <v>649</v>
      </c>
      <c r="J2" t="str">
        <f>SUBSTITUTE("tbl"&amp;RandomEncounterTables!$G2," ","")</f>
        <v>tblNeverwinterPlainsDay</v>
      </c>
      <c r="K2" t="s">
        <v>641</v>
      </c>
      <c r="M2" t="s">
        <v>652</v>
      </c>
      <c r="N2" s="62">
        <f>VLOOKUP(N1,tblEncounterProbability[],2,FALSE)*Tracker!AJ2</f>
        <v>0.25</v>
      </c>
    </row>
    <row r="3" spans="1:14" x14ac:dyDescent="0.15">
      <c r="A3" s="49">
        <f t="shared" ref="A3:A13" si="0">A2+1</f>
        <v>2</v>
      </c>
      <c r="B3" t="s">
        <v>669</v>
      </c>
      <c r="D3" t="s">
        <v>640</v>
      </c>
      <c r="E3" s="61">
        <v>0.15</v>
      </c>
      <c r="G3" t="s">
        <v>650</v>
      </c>
      <c r="H3" t="s">
        <v>649</v>
      </c>
      <c r="I3" t="s">
        <v>657</v>
      </c>
      <c r="J3" t="str">
        <f>SUBSTITUTE("tbl"&amp;RandomEncounterTables!$G3," ","")</f>
        <v>tblSylvanForest</v>
      </c>
      <c r="K3" t="s">
        <v>642</v>
      </c>
      <c r="M3" t="s">
        <v>653</v>
      </c>
      <c r="N3" s="49">
        <f ca="1">RANDBETWEEN(1,100)</f>
        <v>76</v>
      </c>
    </row>
    <row r="4" spans="1:14" x14ac:dyDescent="0.15">
      <c r="A4" s="49">
        <f t="shared" si="0"/>
        <v>3</v>
      </c>
      <c r="B4" t="s">
        <v>637</v>
      </c>
      <c r="D4" t="s">
        <v>641</v>
      </c>
      <c r="E4" s="61">
        <v>0.25</v>
      </c>
      <c r="G4" t="s">
        <v>663</v>
      </c>
      <c r="H4" t="s">
        <v>649</v>
      </c>
      <c r="J4" s="63" t="str">
        <f>SUBSTITUTE("tbl"&amp;RandomEncounterTables!$G4," ","")</f>
        <v>tblNeverwinterPlainsNight</v>
      </c>
      <c r="K4" t="s">
        <v>642</v>
      </c>
      <c r="M4" t="s">
        <v>656</v>
      </c>
      <c r="N4" t="str">
        <f>VLOOKUP(Tracker!AJ3,tblAreas[],2,FALSE)</f>
        <v>1d16</v>
      </c>
    </row>
    <row r="5" spans="1:14" x14ac:dyDescent="0.15">
      <c r="A5" s="49">
        <f t="shared" si="0"/>
        <v>4</v>
      </c>
      <c r="B5" t="s">
        <v>637</v>
      </c>
      <c r="D5" t="s">
        <v>642</v>
      </c>
      <c r="E5" s="61">
        <v>0.45</v>
      </c>
      <c r="G5" t="s">
        <v>676</v>
      </c>
      <c r="H5" t="s">
        <v>677</v>
      </c>
      <c r="J5" s="63" t="str">
        <f>SUBSTITUTE("tbl"&amp;RandomEncounterTables!$G5," ","")</f>
        <v>tblWaterdeep</v>
      </c>
      <c r="K5" t="s">
        <v>640</v>
      </c>
      <c r="M5" t="s">
        <v>659</v>
      </c>
      <c r="N5" s="49">
        <f ca="1">LEFT(N4,FIND("d",N4)-1)*RANDBETWEEN(1,SUBSTITUTE(N4,LEFT(N4,FIND("d",N4)),""))</f>
        <v>13</v>
      </c>
    </row>
    <row r="6" spans="1:14" x14ac:dyDescent="0.15">
      <c r="A6" s="49">
        <f t="shared" si="0"/>
        <v>5</v>
      </c>
      <c r="B6" t="s">
        <v>670</v>
      </c>
      <c r="D6" t="s">
        <v>643</v>
      </c>
      <c r="E6" s="61">
        <v>0.65</v>
      </c>
      <c r="G6" t="s">
        <v>685</v>
      </c>
      <c r="H6" t="s">
        <v>649</v>
      </c>
      <c r="J6" s="63" t="str">
        <f>SUBSTITUTE("tbl"&amp;RandomEncounterTables!$G6," ","")</f>
        <v>tblUndermountain</v>
      </c>
      <c r="K6" t="s">
        <v>642</v>
      </c>
      <c r="M6" t="s">
        <v>655</v>
      </c>
      <c r="N6" s="49" t="str">
        <f>IF(VLOOKUP(Tracker!AJ3,tblAreas[],3,FALSE)=0,"0d1")</f>
        <v>0d1</v>
      </c>
    </row>
    <row r="7" spans="1:14" x14ac:dyDescent="0.15">
      <c r="A7" s="49">
        <f t="shared" si="0"/>
        <v>6</v>
      </c>
      <c r="B7" t="s">
        <v>670</v>
      </c>
      <c r="D7" t="s">
        <v>644</v>
      </c>
      <c r="E7" s="61">
        <v>1</v>
      </c>
      <c r="G7" t="s">
        <v>773</v>
      </c>
      <c r="H7" t="s">
        <v>649</v>
      </c>
      <c r="J7" s="63" t="str">
        <f>SUBSTITUTE("tbl"&amp;RandomEncounterTables!$G7," ","")</f>
        <v>tblWaveEchoCave</v>
      </c>
      <c r="K7" t="s">
        <v>642</v>
      </c>
      <c r="M7" t="s">
        <v>660</v>
      </c>
      <c r="N7" s="49">
        <f ca="1">LEFT(N6,FIND("d",N6)-1)*RANDBETWEEN(1,SUBSTITUTE(N6,LEFT(N6,FIND("d",N6)),""))</f>
        <v>0</v>
      </c>
    </row>
    <row r="8" spans="1:14" x14ac:dyDescent="0.15">
      <c r="A8" s="49">
        <f t="shared" si="0"/>
        <v>7</v>
      </c>
      <c r="B8" t="s">
        <v>671</v>
      </c>
      <c r="G8" t="s">
        <v>797</v>
      </c>
      <c r="H8" t="s">
        <v>794</v>
      </c>
      <c r="J8" s="63" t="str">
        <f>SUBSTITUTE("tbl"&amp;RandomEncounterTables!$G8," ","")</f>
        <v>tblSpellgard_PrimeMaterial</v>
      </c>
      <c r="K8" t="s">
        <v>641</v>
      </c>
      <c r="M8" t="s">
        <v>658</v>
      </c>
      <c r="N8" s="49">
        <f ca="1">N5+N7</f>
        <v>13</v>
      </c>
    </row>
    <row r="9" spans="1:14" x14ac:dyDescent="0.15">
      <c r="A9" s="49">
        <f t="shared" si="0"/>
        <v>8</v>
      </c>
      <c r="B9" t="s">
        <v>671</v>
      </c>
      <c r="G9" t="s">
        <v>796</v>
      </c>
      <c r="J9" s="63" t="str">
        <f>SUBSTITUTE("tbl"&amp;RandomEncounterTables!$G9," ","")</f>
        <v>tblSpellgard_Feywild</v>
      </c>
      <c r="K9" t="s">
        <v>642</v>
      </c>
      <c r="M9" t="s">
        <v>661</v>
      </c>
      <c r="N9" t="str">
        <f>VLOOKUP(Tracker!AJ3,tblAreas[],4,FALSE)</f>
        <v>tblSpellgard_PrimeMaterial</v>
      </c>
    </row>
    <row r="10" spans="1:14" x14ac:dyDescent="0.15">
      <c r="A10" s="49">
        <f t="shared" si="0"/>
        <v>9</v>
      </c>
      <c r="B10" t="s">
        <v>672</v>
      </c>
      <c r="G10" t="s">
        <v>795</v>
      </c>
      <c r="J10" s="63" t="str">
        <f>SUBSTITUTE("tbl"&amp;RandomEncounterTables!$G10," ","")</f>
        <v>tblSpellgard_Shadowfell</v>
      </c>
    </row>
    <row r="11" spans="1:14" x14ac:dyDescent="0.15">
      <c r="A11" s="49">
        <f t="shared" si="0"/>
        <v>10</v>
      </c>
      <c r="B11" t="s">
        <v>672</v>
      </c>
      <c r="M11" t="s">
        <v>668</v>
      </c>
      <c r="N11" t="str">
        <f ca="1">IFERROR(MID(Tracker!AJ5,FIND("(",Tracker!AJ5)+1,FIND(")",Tracker!AJ5)-FIND("(",Tracker!AJ5)-1),"0d1")</f>
        <v>1d6</v>
      </c>
    </row>
    <row r="12" spans="1:14" x14ac:dyDescent="0.15">
      <c r="A12" s="49">
        <f t="shared" si="0"/>
        <v>11</v>
      </c>
      <c r="B12" t="s">
        <v>673</v>
      </c>
      <c r="M12" t="s">
        <v>665</v>
      </c>
      <c r="N12" t="str">
        <f ca="1">IFERROR(LEFT(N11,FIND("+",N11)-1),N11)</f>
        <v>1d6</v>
      </c>
    </row>
    <row r="13" spans="1:14" x14ac:dyDescent="0.15">
      <c r="A13" s="49">
        <f t="shared" si="0"/>
        <v>12</v>
      </c>
      <c r="B13" t="s">
        <v>638</v>
      </c>
      <c r="M13" t="s">
        <v>666</v>
      </c>
      <c r="N13" s="49">
        <f ca="1">IFERROR(MID(N11,FIND("+",N11)+1,LEN(N11)-FIND("+",N11)+1),0)</f>
        <v>0</v>
      </c>
    </row>
    <row r="14" spans="1:14" x14ac:dyDescent="0.15">
      <c r="M14" t="s">
        <v>667</v>
      </c>
      <c r="N14" s="49">
        <f ca="1">IFERROR(LEFT(N12,FIND("d",N12)-1)*RANDBETWEEN(1,SUBSTITUTE(N12,LEFT(N12,FIND("d",N12)),""))+N13,0)</f>
        <v>3</v>
      </c>
    </row>
    <row r="15" spans="1:14" x14ac:dyDescent="0.15">
      <c r="A15" s="49" t="s">
        <v>636</v>
      </c>
      <c r="B15" t="s">
        <v>664</v>
      </c>
      <c r="M15" t="s">
        <v>5</v>
      </c>
      <c r="N15" t="str">
        <f ca="1">IFERROR(LEFT(Tracker!AJ5,FIND("(",Tracker!AJ5)-2),"")</f>
        <v>Wererat</v>
      </c>
    </row>
    <row r="16" spans="1:14" x14ac:dyDescent="0.15">
      <c r="A16" s="49">
        <v>1</v>
      </c>
      <c r="B16" t="s">
        <v>669</v>
      </c>
    </row>
    <row r="17" spans="1:2" x14ac:dyDescent="0.15">
      <c r="A17" s="49">
        <f t="shared" ref="A17:A27" si="1">A16+1</f>
        <v>2</v>
      </c>
      <c r="B17" t="s">
        <v>669</v>
      </c>
    </row>
    <row r="18" spans="1:2" x14ac:dyDescent="0.15">
      <c r="A18" s="49">
        <f t="shared" si="1"/>
        <v>3</v>
      </c>
      <c r="B18" t="s">
        <v>669</v>
      </c>
    </row>
    <row r="19" spans="1:2" x14ac:dyDescent="0.15">
      <c r="A19" s="49">
        <f t="shared" si="1"/>
        <v>4</v>
      </c>
      <c r="B19" t="s">
        <v>674</v>
      </c>
    </row>
    <row r="20" spans="1:2" x14ac:dyDescent="0.15">
      <c r="A20" s="49">
        <f t="shared" si="1"/>
        <v>5</v>
      </c>
      <c r="B20" t="s">
        <v>670</v>
      </c>
    </row>
    <row r="21" spans="1:2" x14ac:dyDescent="0.15">
      <c r="A21" s="49">
        <f t="shared" si="1"/>
        <v>6</v>
      </c>
      <c r="B21" t="s">
        <v>671</v>
      </c>
    </row>
    <row r="22" spans="1:2" x14ac:dyDescent="0.15">
      <c r="A22" s="49">
        <f t="shared" si="1"/>
        <v>7</v>
      </c>
      <c r="B22" t="s">
        <v>672</v>
      </c>
    </row>
    <row r="23" spans="1:2" x14ac:dyDescent="0.15">
      <c r="A23" s="49">
        <f t="shared" si="1"/>
        <v>8</v>
      </c>
      <c r="B23" t="s">
        <v>672</v>
      </c>
    </row>
    <row r="24" spans="1:2" x14ac:dyDescent="0.15">
      <c r="A24" s="49">
        <f t="shared" si="1"/>
        <v>9</v>
      </c>
      <c r="B24" t="s">
        <v>673</v>
      </c>
    </row>
    <row r="25" spans="1:2" x14ac:dyDescent="0.15">
      <c r="A25" s="49">
        <f t="shared" si="1"/>
        <v>10</v>
      </c>
      <c r="B25" t="s">
        <v>673</v>
      </c>
    </row>
    <row r="26" spans="1:2" x14ac:dyDescent="0.15">
      <c r="A26" s="49">
        <f t="shared" si="1"/>
        <v>11</v>
      </c>
      <c r="B26" t="s">
        <v>638</v>
      </c>
    </row>
    <row r="27" spans="1:2" x14ac:dyDescent="0.15">
      <c r="A27" s="49">
        <f t="shared" si="1"/>
        <v>12</v>
      </c>
      <c r="B27" t="s">
        <v>638</v>
      </c>
    </row>
    <row r="29" spans="1:2" x14ac:dyDescent="0.15">
      <c r="A29" s="49" t="s">
        <v>636</v>
      </c>
      <c r="B29" t="s">
        <v>664</v>
      </c>
    </row>
    <row r="30" spans="1:2" x14ac:dyDescent="0.15">
      <c r="A30" s="49">
        <v>1</v>
      </c>
      <c r="B30" t="s">
        <v>680</v>
      </c>
    </row>
    <row r="31" spans="1:2" x14ac:dyDescent="0.15">
      <c r="A31" s="49">
        <f t="shared" ref="A31:A39" si="2">A30+1</f>
        <v>2</v>
      </c>
      <c r="B31" t="s">
        <v>678</v>
      </c>
    </row>
    <row r="32" spans="1:2" x14ac:dyDescent="0.15">
      <c r="A32" s="49">
        <f t="shared" si="2"/>
        <v>3</v>
      </c>
      <c r="B32" t="s">
        <v>679</v>
      </c>
    </row>
    <row r="33" spans="1:2" x14ac:dyDescent="0.15">
      <c r="A33" s="49">
        <f t="shared" si="2"/>
        <v>4</v>
      </c>
      <c r="B33" t="s">
        <v>674</v>
      </c>
    </row>
    <row r="34" spans="1:2" x14ac:dyDescent="0.15">
      <c r="A34" s="49">
        <f t="shared" si="2"/>
        <v>5</v>
      </c>
      <c r="B34" t="s">
        <v>681</v>
      </c>
    </row>
    <row r="35" spans="1:2" x14ac:dyDescent="0.15">
      <c r="A35" s="49">
        <f t="shared" si="2"/>
        <v>6</v>
      </c>
      <c r="B35" t="s">
        <v>683</v>
      </c>
    </row>
    <row r="36" spans="1:2" x14ac:dyDescent="0.15">
      <c r="A36" s="49">
        <f t="shared" si="2"/>
        <v>7</v>
      </c>
      <c r="B36" t="s">
        <v>684</v>
      </c>
    </row>
    <row r="37" spans="1:2" x14ac:dyDescent="0.15">
      <c r="A37" s="49">
        <f t="shared" si="2"/>
        <v>8</v>
      </c>
      <c r="B37" t="s">
        <v>684</v>
      </c>
    </row>
    <row r="38" spans="1:2" x14ac:dyDescent="0.15">
      <c r="A38" s="49">
        <f t="shared" si="2"/>
        <v>9</v>
      </c>
      <c r="B38" t="s">
        <v>682</v>
      </c>
    </row>
    <row r="39" spans="1:2" x14ac:dyDescent="0.15">
      <c r="A39" s="49">
        <f t="shared" si="2"/>
        <v>10</v>
      </c>
      <c r="B39" t="s">
        <v>673</v>
      </c>
    </row>
    <row r="41" spans="1:2" x14ac:dyDescent="0.15">
      <c r="A41" s="49" t="s">
        <v>636</v>
      </c>
      <c r="B41" t="s">
        <v>664</v>
      </c>
    </row>
    <row r="42" spans="1:2" x14ac:dyDescent="0.15">
      <c r="A42" s="49">
        <v>1</v>
      </c>
      <c r="B42" t="s">
        <v>669</v>
      </c>
    </row>
    <row r="43" spans="1:2" x14ac:dyDescent="0.15">
      <c r="A43" s="49">
        <f t="shared" ref="A43:A51" si="3">A42+1</f>
        <v>2</v>
      </c>
      <c r="B43" t="s">
        <v>686</v>
      </c>
    </row>
    <row r="44" spans="1:2" x14ac:dyDescent="0.15">
      <c r="A44" s="49">
        <f t="shared" si="3"/>
        <v>3</v>
      </c>
      <c r="B44" t="s">
        <v>687</v>
      </c>
    </row>
    <row r="45" spans="1:2" x14ac:dyDescent="0.15">
      <c r="A45" s="49">
        <f t="shared" si="3"/>
        <v>4</v>
      </c>
      <c r="B45" t="s">
        <v>688</v>
      </c>
    </row>
    <row r="46" spans="1:2" x14ac:dyDescent="0.15">
      <c r="A46" s="49">
        <f t="shared" si="3"/>
        <v>5</v>
      </c>
      <c r="B46" t="s">
        <v>689</v>
      </c>
    </row>
    <row r="47" spans="1:2" x14ac:dyDescent="0.15">
      <c r="A47" s="49">
        <f t="shared" si="3"/>
        <v>6</v>
      </c>
      <c r="B47" t="s">
        <v>690</v>
      </c>
    </row>
    <row r="48" spans="1:2" x14ac:dyDescent="0.15">
      <c r="A48" s="49">
        <f t="shared" si="3"/>
        <v>7</v>
      </c>
      <c r="B48" t="s">
        <v>716</v>
      </c>
    </row>
    <row r="49" spans="1:2" x14ac:dyDescent="0.15">
      <c r="A49" s="49">
        <f t="shared" si="3"/>
        <v>8</v>
      </c>
      <c r="B49" t="s">
        <v>691</v>
      </c>
    </row>
    <row r="50" spans="1:2" x14ac:dyDescent="0.15">
      <c r="A50" s="49">
        <f t="shared" si="3"/>
        <v>9</v>
      </c>
      <c r="B50" t="s">
        <v>709</v>
      </c>
    </row>
    <row r="51" spans="1:2" x14ac:dyDescent="0.15">
      <c r="A51" s="49">
        <f t="shared" si="3"/>
        <v>10</v>
      </c>
      <c r="B51" t="s">
        <v>681</v>
      </c>
    </row>
    <row r="52" spans="1:2" x14ac:dyDescent="0.15">
      <c r="A52" s="49">
        <v>11</v>
      </c>
      <c r="B52" t="s">
        <v>692</v>
      </c>
    </row>
    <row r="53" spans="1:2" x14ac:dyDescent="0.15">
      <c r="A53" s="49">
        <v>12</v>
      </c>
      <c r="B53" t="s">
        <v>693</v>
      </c>
    </row>
    <row r="55" spans="1:2" x14ac:dyDescent="0.15">
      <c r="A55" s="49" t="s">
        <v>636</v>
      </c>
      <c r="B55" t="s">
        <v>664</v>
      </c>
    </row>
    <row r="56" spans="1:2" x14ac:dyDescent="0.15">
      <c r="A56" s="49">
        <v>1</v>
      </c>
      <c r="B56" t="s">
        <v>776</v>
      </c>
    </row>
    <row r="57" spans="1:2" x14ac:dyDescent="0.15">
      <c r="A57" s="49">
        <f t="shared" ref="A57:A65" si="4">A56+1</f>
        <v>2</v>
      </c>
      <c r="B57" t="s">
        <v>776</v>
      </c>
    </row>
    <row r="58" spans="1:2" x14ac:dyDescent="0.15">
      <c r="A58" s="49">
        <f t="shared" si="4"/>
        <v>3</v>
      </c>
      <c r="B58" t="s">
        <v>776</v>
      </c>
    </row>
    <row r="59" spans="1:2" x14ac:dyDescent="0.15">
      <c r="A59" s="49">
        <f t="shared" si="4"/>
        <v>4</v>
      </c>
      <c r="B59" t="s">
        <v>687</v>
      </c>
    </row>
    <row r="60" spans="1:2" x14ac:dyDescent="0.15">
      <c r="A60" s="49">
        <f t="shared" si="4"/>
        <v>5</v>
      </c>
      <c r="B60" t="s">
        <v>687</v>
      </c>
    </row>
    <row r="61" spans="1:2" x14ac:dyDescent="0.15">
      <c r="A61" s="49">
        <f t="shared" si="4"/>
        <v>6</v>
      </c>
      <c r="B61" t="s">
        <v>777</v>
      </c>
    </row>
    <row r="62" spans="1:2" x14ac:dyDescent="0.15">
      <c r="A62" s="49">
        <f t="shared" si="4"/>
        <v>7</v>
      </c>
      <c r="B62" t="s">
        <v>778</v>
      </c>
    </row>
    <row r="63" spans="1:2" x14ac:dyDescent="0.15">
      <c r="A63" s="49">
        <f t="shared" si="4"/>
        <v>8</v>
      </c>
      <c r="B63" t="s">
        <v>778</v>
      </c>
    </row>
    <row r="64" spans="1:2" x14ac:dyDescent="0.15">
      <c r="A64" s="49">
        <f t="shared" si="4"/>
        <v>9</v>
      </c>
      <c r="B64" t="s">
        <v>682</v>
      </c>
    </row>
    <row r="65" spans="1:2" x14ac:dyDescent="0.15">
      <c r="A65" s="49">
        <f t="shared" si="4"/>
        <v>10</v>
      </c>
      <c r="B65" t="s">
        <v>779</v>
      </c>
    </row>
    <row r="66" spans="1:2" x14ac:dyDescent="0.15">
      <c r="A66" s="49">
        <v>11</v>
      </c>
      <c r="B66" t="s">
        <v>774</v>
      </c>
    </row>
    <row r="67" spans="1:2" x14ac:dyDescent="0.15">
      <c r="A67" s="49">
        <v>12</v>
      </c>
      <c r="B67" t="s">
        <v>774</v>
      </c>
    </row>
    <row r="69" spans="1:2" x14ac:dyDescent="0.15">
      <c r="A69" s="49" t="s">
        <v>636</v>
      </c>
      <c r="B69" t="s">
        <v>664</v>
      </c>
    </row>
    <row r="70" spans="1:2" x14ac:dyDescent="0.15">
      <c r="A70" s="49">
        <v>1</v>
      </c>
      <c r="B70" t="s">
        <v>791</v>
      </c>
    </row>
    <row r="71" spans="1:2" x14ac:dyDescent="0.15">
      <c r="A71" s="49">
        <f t="shared" ref="A71:A79" si="5">A70+1</f>
        <v>2</v>
      </c>
      <c r="B71" t="s">
        <v>776</v>
      </c>
    </row>
    <row r="72" spans="1:2" x14ac:dyDescent="0.15">
      <c r="A72" s="49">
        <f t="shared" si="5"/>
        <v>3</v>
      </c>
      <c r="B72" t="s">
        <v>780</v>
      </c>
    </row>
    <row r="73" spans="1:2" x14ac:dyDescent="0.15">
      <c r="A73" s="49">
        <f t="shared" si="5"/>
        <v>4</v>
      </c>
      <c r="B73" t="s">
        <v>684</v>
      </c>
    </row>
    <row r="74" spans="1:2" x14ac:dyDescent="0.15">
      <c r="A74" s="49">
        <f t="shared" si="5"/>
        <v>5</v>
      </c>
      <c r="B74" t="s">
        <v>781</v>
      </c>
    </row>
    <row r="75" spans="1:2" x14ac:dyDescent="0.15">
      <c r="A75" s="49">
        <f t="shared" si="5"/>
        <v>6</v>
      </c>
      <c r="B75" t="s">
        <v>782</v>
      </c>
    </row>
    <row r="76" spans="1:2" x14ac:dyDescent="0.15">
      <c r="A76" s="49">
        <f t="shared" si="5"/>
        <v>7</v>
      </c>
      <c r="B76" t="s">
        <v>783</v>
      </c>
    </row>
    <row r="77" spans="1:2" x14ac:dyDescent="0.15">
      <c r="A77" s="49">
        <f t="shared" si="5"/>
        <v>8</v>
      </c>
      <c r="B77" t="s">
        <v>784</v>
      </c>
    </row>
    <row r="78" spans="1:2" x14ac:dyDescent="0.15">
      <c r="A78" s="49">
        <f t="shared" si="5"/>
        <v>9</v>
      </c>
      <c r="B78" t="s">
        <v>785</v>
      </c>
    </row>
    <row r="79" spans="1:2" x14ac:dyDescent="0.15">
      <c r="A79" s="49">
        <f t="shared" si="5"/>
        <v>10</v>
      </c>
      <c r="B79" t="s">
        <v>786</v>
      </c>
    </row>
    <row r="80" spans="1:2" x14ac:dyDescent="0.15">
      <c r="A80" s="49">
        <v>11</v>
      </c>
      <c r="B80" t="s">
        <v>787</v>
      </c>
    </row>
    <row r="81" spans="1:7" x14ac:dyDescent="0.15">
      <c r="A81" s="49">
        <v>12</v>
      </c>
      <c r="B81" t="s">
        <v>788</v>
      </c>
    </row>
    <row r="82" spans="1:7" x14ac:dyDescent="0.15">
      <c r="A82" s="49">
        <v>13</v>
      </c>
      <c r="B82" t="s">
        <v>789</v>
      </c>
    </row>
    <row r="83" spans="1:7" x14ac:dyDescent="0.15">
      <c r="A83" s="49">
        <v>14</v>
      </c>
      <c r="B83" t="s">
        <v>790</v>
      </c>
    </row>
    <row r="84" spans="1:7" x14ac:dyDescent="0.15">
      <c r="A84" s="49">
        <v>15</v>
      </c>
      <c r="B84" t="s">
        <v>792</v>
      </c>
    </row>
    <row r="85" spans="1:7" x14ac:dyDescent="0.15">
      <c r="A85" s="49">
        <v>16</v>
      </c>
      <c r="B85" t="s">
        <v>793</v>
      </c>
    </row>
    <row r="87" spans="1:7" x14ac:dyDescent="0.15">
      <c r="A87" s="49" t="s">
        <v>636</v>
      </c>
      <c r="B87" t="s">
        <v>664</v>
      </c>
    </row>
    <row r="88" spans="1:7" ht="20" x14ac:dyDescent="0.2">
      <c r="A88" s="49">
        <v>1</v>
      </c>
      <c r="B88" t="s">
        <v>791</v>
      </c>
      <c r="G88" s="98"/>
    </row>
    <row r="89" spans="1:7" ht="20" x14ac:dyDescent="0.2">
      <c r="A89" s="49">
        <f t="shared" ref="A89:A97" si="6">A88+1</f>
        <v>2</v>
      </c>
      <c r="B89" t="s">
        <v>776</v>
      </c>
      <c r="G89" s="98"/>
    </row>
    <row r="90" spans="1:7" ht="20" x14ac:dyDescent="0.2">
      <c r="A90" s="49">
        <f t="shared" si="6"/>
        <v>3</v>
      </c>
      <c r="B90" t="s">
        <v>780</v>
      </c>
      <c r="G90" s="98"/>
    </row>
    <row r="91" spans="1:7" x14ac:dyDescent="0.15">
      <c r="A91" s="49">
        <f t="shared" si="6"/>
        <v>4</v>
      </c>
      <c r="B91" t="s">
        <v>684</v>
      </c>
    </row>
    <row r="92" spans="1:7" x14ac:dyDescent="0.15">
      <c r="A92" s="49">
        <f t="shared" si="6"/>
        <v>5</v>
      </c>
      <c r="B92" t="s">
        <v>781</v>
      </c>
    </row>
    <row r="93" spans="1:7" x14ac:dyDescent="0.15">
      <c r="A93" s="49">
        <f t="shared" si="6"/>
        <v>6</v>
      </c>
      <c r="B93" t="s">
        <v>782</v>
      </c>
    </row>
    <row r="94" spans="1:7" x14ac:dyDescent="0.15">
      <c r="A94" s="49">
        <f t="shared" si="6"/>
        <v>7</v>
      </c>
      <c r="B94" t="s">
        <v>783</v>
      </c>
    </row>
    <row r="95" spans="1:7" x14ac:dyDescent="0.15">
      <c r="A95" s="49">
        <f t="shared" si="6"/>
        <v>8</v>
      </c>
      <c r="B95" t="s">
        <v>784</v>
      </c>
    </row>
    <row r="96" spans="1:7" x14ac:dyDescent="0.15">
      <c r="A96" s="49">
        <f t="shared" si="6"/>
        <v>9</v>
      </c>
      <c r="B96" t="s">
        <v>785</v>
      </c>
    </row>
    <row r="97" spans="1:2" x14ac:dyDescent="0.15">
      <c r="A97" s="49">
        <f t="shared" si="6"/>
        <v>10</v>
      </c>
      <c r="B97" t="s">
        <v>786</v>
      </c>
    </row>
    <row r="98" spans="1:2" x14ac:dyDescent="0.15">
      <c r="A98" s="49">
        <v>11</v>
      </c>
      <c r="B98" t="s">
        <v>787</v>
      </c>
    </row>
    <row r="99" spans="1:2" x14ac:dyDescent="0.15">
      <c r="A99" s="49">
        <v>12</v>
      </c>
      <c r="B99" t="s">
        <v>788</v>
      </c>
    </row>
    <row r="100" spans="1:2" x14ac:dyDescent="0.15">
      <c r="A100" s="49">
        <v>13</v>
      </c>
      <c r="B100" t="s">
        <v>789</v>
      </c>
    </row>
    <row r="101" spans="1:2" x14ac:dyDescent="0.15">
      <c r="A101" s="49">
        <v>14</v>
      </c>
      <c r="B101" t="s">
        <v>790</v>
      </c>
    </row>
    <row r="102" spans="1:2" x14ac:dyDescent="0.15">
      <c r="A102" s="49">
        <v>15</v>
      </c>
      <c r="B102" t="s">
        <v>792</v>
      </c>
    </row>
    <row r="103" spans="1:2" x14ac:dyDescent="0.15">
      <c r="A103" s="49">
        <v>16</v>
      </c>
      <c r="B103" t="s">
        <v>793</v>
      </c>
    </row>
    <row r="105" spans="1:2" x14ac:dyDescent="0.15">
      <c r="A105" s="49" t="s">
        <v>636</v>
      </c>
      <c r="B105" t="s">
        <v>664</v>
      </c>
    </row>
    <row r="106" spans="1:2" x14ac:dyDescent="0.15">
      <c r="A106" s="49">
        <v>1</v>
      </c>
      <c r="B106" t="s">
        <v>791</v>
      </c>
    </row>
    <row r="107" spans="1:2" x14ac:dyDescent="0.15">
      <c r="A107" s="49">
        <f t="shared" ref="A107:A115" si="7">A106+1</f>
        <v>2</v>
      </c>
      <c r="B107" t="s">
        <v>776</v>
      </c>
    </row>
    <row r="108" spans="1:2" x14ac:dyDescent="0.15">
      <c r="A108" s="49">
        <f t="shared" si="7"/>
        <v>3</v>
      </c>
      <c r="B108" t="s">
        <v>780</v>
      </c>
    </row>
    <row r="109" spans="1:2" x14ac:dyDescent="0.15">
      <c r="A109" s="49">
        <f t="shared" si="7"/>
        <v>4</v>
      </c>
      <c r="B109" t="s">
        <v>684</v>
      </c>
    </row>
    <row r="110" spans="1:2" x14ac:dyDescent="0.15">
      <c r="A110" s="49">
        <f t="shared" si="7"/>
        <v>5</v>
      </c>
      <c r="B110" t="s">
        <v>781</v>
      </c>
    </row>
    <row r="111" spans="1:2" x14ac:dyDescent="0.15">
      <c r="A111" s="49">
        <f t="shared" si="7"/>
        <v>6</v>
      </c>
      <c r="B111" t="s">
        <v>782</v>
      </c>
    </row>
    <row r="112" spans="1:2" x14ac:dyDescent="0.15">
      <c r="A112" s="49">
        <f t="shared" si="7"/>
        <v>7</v>
      </c>
      <c r="B112" t="s">
        <v>783</v>
      </c>
    </row>
    <row r="113" spans="1:2" x14ac:dyDescent="0.15">
      <c r="A113" s="49">
        <f t="shared" si="7"/>
        <v>8</v>
      </c>
      <c r="B113" t="s">
        <v>784</v>
      </c>
    </row>
    <row r="114" spans="1:2" x14ac:dyDescent="0.15">
      <c r="A114" s="49">
        <f t="shared" si="7"/>
        <v>9</v>
      </c>
      <c r="B114" t="s">
        <v>785</v>
      </c>
    </row>
    <row r="115" spans="1:2" x14ac:dyDescent="0.15">
      <c r="A115" s="49">
        <f t="shared" si="7"/>
        <v>10</v>
      </c>
      <c r="B115" t="s">
        <v>786</v>
      </c>
    </row>
    <row r="116" spans="1:2" x14ac:dyDescent="0.15">
      <c r="A116" s="49">
        <v>11</v>
      </c>
      <c r="B116" t="s">
        <v>787</v>
      </c>
    </row>
    <row r="117" spans="1:2" x14ac:dyDescent="0.15">
      <c r="A117" s="49">
        <v>12</v>
      </c>
      <c r="B117" t="s">
        <v>788</v>
      </c>
    </row>
    <row r="118" spans="1:2" x14ac:dyDescent="0.15">
      <c r="A118" s="49">
        <v>13</v>
      </c>
      <c r="B118" t="s">
        <v>789</v>
      </c>
    </row>
    <row r="119" spans="1:2" x14ac:dyDescent="0.15">
      <c r="A119" s="49">
        <v>14</v>
      </c>
      <c r="B119" t="s">
        <v>790</v>
      </c>
    </row>
    <row r="120" spans="1:2" x14ac:dyDescent="0.15">
      <c r="A120" s="49">
        <v>15</v>
      </c>
      <c r="B120" t="s">
        <v>792</v>
      </c>
    </row>
    <row r="121" spans="1:2" x14ac:dyDescent="0.15">
      <c r="A121" s="49">
        <v>16</v>
      </c>
      <c r="B121" t="s">
        <v>793</v>
      </c>
    </row>
  </sheetData>
  <pageMargins left="0.7" right="0.7" top="0.75" bottom="0.75" header="0.3" footer="0.3"/>
  <pageSetup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N1000"/>
  <sheetViews>
    <sheetView workbookViewId="0"/>
  </sheetViews>
  <sheetFormatPr baseColWidth="10" defaultColWidth="14.5" defaultRowHeight="15.75" customHeight="1" x14ac:dyDescent="0.15"/>
  <cols>
    <col min="1" max="9" width="14.5" style="2"/>
    <col min="10" max="10" width="23.1640625" style="2" customWidth="1"/>
    <col min="11" max="11" width="10.5" style="2" customWidth="1"/>
    <col min="12" max="12" width="14.5" style="2"/>
    <col min="13" max="13" width="21.33203125" style="2" customWidth="1"/>
    <col min="14" max="16384" width="14.5" style="2"/>
  </cols>
  <sheetData>
    <row r="1" spans="1:14" ht="15.75" customHeight="1" x14ac:dyDescent="0.15">
      <c r="A1" s="19" t="s">
        <v>505</v>
      </c>
      <c r="B1" s="20"/>
      <c r="C1" s="20"/>
      <c r="D1" s="20"/>
      <c r="E1" s="20"/>
      <c r="G1" s="21" t="s">
        <v>506</v>
      </c>
      <c r="H1" s="22"/>
      <c r="J1" s="48" t="s">
        <v>507</v>
      </c>
      <c r="K1" s="46"/>
      <c r="M1" s="23"/>
      <c r="N1" s="23"/>
    </row>
    <row r="2" spans="1:14" ht="15.75" customHeight="1" x14ac:dyDescent="0.15">
      <c r="A2" s="24" t="s">
        <v>508</v>
      </c>
      <c r="B2" s="24" t="s">
        <v>18</v>
      </c>
      <c r="C2" s="24" t="s">
        <v>19</v>
      </c>
      <c r="D2" s="24" t="s">
        <v>20</v>
      </c>
      <c r="E2" s="24" t="s">
        <v>21</v>
      </c>
      <c r="G2" s="24" t="s">
        <v>509</v>
      </c>
      <c r="H2" s="22" t="s">
        <v>510</v>
      </c>
      <c r="J2" s="46" t="s">
        <v>511</v>
      </c>
      <c r="K2" s="46" t="s">
        <v>627</v>
      </c>
      <c r="M2" s="24" t="s">
        <v>512</v>
      </c>
      <c r="N2" s="24" t="s">
        <v>513</v>
      </c>
    </row>
    <row r="3" spans="1:14" ht="15.75" customHeight="1" x14ac:dyDescent="0.15">
      <c r="A3" s="12">
        <v>1</v>
      </c>
      <c r="B3" s="17">
        <v>25</v>
      </c>
      <c r="C3" s="17">
        <v>50</v>
      </c>
      <c r="D3" s="17">
        <v>75</v>
      </c>
      <c r="E3" s="17">
        <v>100</v>
      </c>
      <c r="G3" s="25">
        <v>0</v>
      </c>
      <c r="H3" s="26">
        <v>10</v>
      </c>
      <c r="J3" s="36">
        <v>1</v>
      </c>
      <c r="K3" s="36">
        <v>1</v>
      </c>
      <c r="M3" s="12" t="s">
        <v>514</v>
      </c>
      <c r="N3" s="12" t="s">
        <v>515</v>
      </c>
    </row>
    <row r="4" spans="1:14" ht="15.75" customHeight="1" x14ac:dyDescent="0.15">
      <c r="A4" s="12">
        <v>2</v>
      </c>
      <c r="B4" s="17">
        <v>50</v>
      </c>
      <c r="C4" s="17">
        <v>100</v>
      </c>
      <c r="D4" s="17">
        <v>150</v>
      </c>
      <c r="E4" s="17">
        <v>200</v>
      </c>
      <c r="G4" s="25" t="s">
        <v>78</v>
      </c>
      <c r="H4" s="26">
        <v>25</v>
      </c>
      <c r="J4" s="36">
        <v>2</v>
      </c>
      <c r="K4" s="36">
        <v>1.5</v>
      </c>
      <c r="M4" s="12" t="s">
        <v>516</v>
      </c>
      <c r="N4" s="12" t="s">
        <v>517</v>
      </c>
    </row>
    <row r="5" spans="1:14" ht="15.75" customHeight="1" x14ac:dyDescent="0.15">
      <c r="A5" s="12">
        <v>3</v>
      </c>
      <c r="B5" s="17">
        <v>75</v>
      </c>
      <c r="C5" s="17">
        <v>150</v>
      </c>
      <c r="D5" s="17">
        <v>225</v>
      </c>
      <c r="E5" s="17">
        <v>400</v>
      </c>
      <c r="G5" s="25" t="s">
        <v>32</v>
      </c>
      <c r="H5" s="26">
        <v>50</v>
      </c>
      <c r="J5" s="36">
        <v>3</v>
      </c>
      <c r="K5" s="36">
        <v>2</v>
      </c>
      <c r="M5" s="12" t="s">
        <v>518</v>
      </c>
      <c r="N5" s="12" t="s">
        <v>519</v>
      </c>
    </row>
    <row r="6" spans="1:14" ht="15.75" customHeight="1" x14ac:dyDescent="0.15">
      <c r="A6" s="12">
        <v>4</v>
      </c>
      <c r="B6" s="17">
        <v>125</v>
      </c>
      <c r="C6" s="17">
        <v>250</v>
      </c>
      <c r="D6" s="17">
        <v>375</v>
      </c>
      <c r="E6" s="17">
        <v>500</v>
      </c>
      <c r="G6" s="25" t="s">
        <v>47</v>
      </c>
      <c r="H6" s="26">
        <v>100</v>
      </c>
      <c r="J6" s="36">
        <v>4</v>
      </c>
      <c r="K6" s="36">
        <v>2</v>
      </c>
      <c r="M6" s="12" t="s">
        <v>520</v>
      </c>
      <c r="N6" s="12" t="s">
        <v>521</v>
      </c>
    </row>
    <row r="7" spans="1:14" ht="15.75" customHeight="1" x14ac:dyDescent="0.15">
      <c r="A7" s="12">
        <v>5</v>
      </c>
      <c r="B7" s="17">
        <v>250</v>
      </c>
      <c r="C7" s="17">
        <v>500</v>
      </c>
      <c r="D7" s="17">
        <v>750</v>
      </c>
      <c r="E7" s="17">
        <v>1100</v>
      </c>
      <c r="G7" s="77">
        <v>1</v>
      </c>
      <c r="H7" s="26">
        <v>200</v>
      </c>
      <c r="J7" s="36">
        <v>5</v>
      </c>
      <c r="K7" s="36">
        <v>2</v>
      </c>
      <c r="M7" s="12"/>
      <c r="N7" s="12"/>
    </row>
    <row r="8" spans="1:14" ht="15.75" customHeight="1" x14ac:dyDescent="0.15">
      <c r="A8" s="12">
        <v>6</v>
      </c>
      <c r="B8" s="17">
        <v>300</v>
      </c>
      <c r="C8" s="17">
        <v>600</v>
      </c>
      <c r="D8" s="17">
        <v>900</v>
      </c>
      <c r="E8" s="17">
        <v>1400</v>
      </c>
      <c r="G8" s="77">
        <v>2</v>
      </c>
      <c r="H8" s="26">
        <v>450</v>
      </c>
      <c r="J8" s="36">
        <v>6</v>
      </c>
      <c r="K8" s="36">
        <v>2</v>
      </c>
      <c r="M8" s="12"/>
      <c r="N8" s="12"/>
    </row>
    <row r="9" spans="1:14" ht="15.75" customHeight="1" x14ac:dyDescent="0.15">
      <c r="A9" s="12">
        <v>7</v>
      </c>
      <c r="B9" s="17">
        <v>350</v>
      </c>
      <c r="C9" s="17">
        <v>750</v>
      </c>
      <c r="D9" s="17">
        <v>1100</v>
      </c>
      <c r="E9" s="17">
        <v>1700</v>
      </c>
      <c r="G9" s="77">
        <v>3</v>
      </c>
      <c r="H9" s="26">
        <v>700</v>
      </c>
      <c r="J9" s="36">
        <v>7</v>
      </c>
      <c r="K9" s="36">
        <v>2.5</v>
      </c>
      <c r="M9" s="12"/>
      <c r="N9" s="12"/>
    </row>
    <row r="10" spans="1:14" ht="15.75" customHeight="1" x14ac:dyDescent="0.15">
      <c r="A10" s="12">
        <v>8</v>
      </c>
      <c r="B10" s="17">
        <v>450</v>
      </c>
      <c r="C10" s="17">
        <v>900</v>
      </c>
      <c r="D10" s="17">
        <v>1400</v>
      </c>
      <c r="E10" s="17">
        <v>2100</v>
      </c>
      <c r="G10" s="77">
        <v>4</v>
      </c>
      <c r="H10" s="26">
        <v>1100</v>
      </c>
      <c r="J10" s="36">
        <v>8</v>
      </c>
      <c r="K10" s="36">
        <v>2.5</v>
      </c>
      <c r="M10" s="12"/>
      <c r="N10" s="12"/>
    </row>
    <row r="11" spans="1:14" ht="15.75" customHeight="1" x14ac:dyDescent="0.15">
      <c r="A11" s="12">
        <v>9</v>
      </c>
      <c r="B11" s="17">
        <v>550</v>
      </c>
      <c r="C11" s="17">
        <v>1100</v>
      </c>
      <c r="D11" s="17">
        <v>1600</v>
      </c>
      <c r="E11" s="17">
        <v>2400</v>
      </c>
      <c r="G11" s="77">
        <v>5</v>
      </c>
      <c r="H11" s="26">
        <v>1800</v>
      </c>
      <c r="J11" s="36">
        <v>9</v>
      </c>
      <c r="K11" s="36">
        <v>2.5</v>
      </c>
      <c r="M11" s="12"/>
      <c r="N11" s="12"/>
    </row>
    <row r="12" spans="1:14" ht="15.75" customHeight="1" x14ac:dyDescent="0.15">
      <c r="A12" s="12">
        <v>10</v>
      </c>
      <c r="B12" s="17">
        <v>600</v>
      </c>
      <c r="C12" s="17">
        <v>1200</v>
      </c>
      <c r="D12" s="17">
        <v>1900</v>
      </c>
      <c r="E12" s="17">
        <v>2800</v>
      </c>
      <c r="G12" s="77">
        <v>6</v>
      </c>
      <c r="H12" s="26">
        <v>2300</v>
      </c>
      <c r="J12" s="36">
        <v>10</v>
      </c>
      <c r="K12" s="36">
        <v>2.5</v>
      </c>
      <c r="M12" s="12"/>
      <c r="N12" s="12"/>
    </row>
    <row r="13" spans="1:14" ht="15.75" customHeight="1" x14ac:dyDescent="0.15">
      <c r="A13" s="12">
        <v>11</v>
      </c>
      <c r="B13" s="17">
        <v>800</v>
      </c>
      <c r="C13" s="17">
        <v>1600</v>
      </c>
      <c r="D13" s="17">
        <v>2400</v>
      </c>
      <c r="E13" s="17">
        <v>3600</v>
      </c>
      <c r="G13" s="77">
        <v>7</v>
      </c>
      <c r="H13" s="26">
        <v>2900</v>
      </c>
      <c r="J13" s="36">
        <v>11</v>
      </c>
      <c r="K13" s="36">
        <v>3</v>
      </c>
      <c r="M13" s="12"/>
      <c r="N13" s="12"/>
    </row>
    <row r="14" spans="1:14" ht="15.75" customHeight="1" x14ac:dyDescent="0.15">
      <c r="A14" s="12">
        <v>12</v>
      </c>
      <c r="B14" s="17">
        <v>1000</v>
      </c>
      <c r="C14" s="17">
        <v>2000</v>
      </c>
      <c r="D14" s="17">
        <v>300</v>
      </c>
      <c r="E14" s="17">
        <v>4500</v>
      </c>
      <c r="G14" s="77">
        <v>8</v>
      </c>
      <c r="H14" s="26">
        <v>3900</v>
      </c>
      <c r="J14" s="36">
        <v>12</v>
      </c>
      <c r="K14" s="36">
        <v>3</v>
      </c>
      <c r="M14" s="12"/>
      <c r="N14" s="12"/>
    </row>
    <row r="15" spans="1:14" ht="15.75" customHeight="1" x14ac:dyDescent="0.15">
      <c r="A15" s="12">
        <v>13</v>
      </c>
      <c r="B15" s="17">
        <v>1100</v>
      </c>
      <c r="C15" s="17">
        <v>2200</v>
      </c>
      <c r="D15" s="17">
        <v>3400</v>
      </c>
      <c r="E15" s="17">
        <v>5100</v>
      </c>
      <c r="G15" s="77">
        <v>9</v>
      </c>
      <c r="H15" s="26">
        <v>5000</v>
      </c>
      <c r="J15" s="36">
        <v>13</v>
      </c>
      <c r="K15" s="36">
        <v>3</v>
      </c>
      <c r="M15" s="12"/>
      <c r="N15" s="12"/>
    </row>
    <row r="16" spans="1:14" ht="15.75" customHeight="1" x14ac:dyDescent="0.15">
      <c r="A16" s="12">
        <v>14</v>
      </c>
      <c r="B16" s="17">
        <v>1250</v>
      </c>
      <c r="C16" s="17">
        <v>2500</v>
      </c>
      <c r="D16" s="17">
        <v>3800</v>
      </c>
      <c r="E16" s="17">
        <v>5700</v>
      </c>
      <c r="G16" s="77">
        <v>10</v>
      </c>
      <c r="H16" s="26">
        <v>5900</v>
      </c>
      <c r="J16" s="36">
        <v>14</v>
      </c>
      <c r="K16" s="36">
        <v>3</v>
      </c>
      <c r="M16" s="12"/>
      <c r="N16" s="12"/>
    </row>
    <row r="17" spans="1:14" ht="15.75" customHeight="1" x14ac:dyDescent="0.15">
      <c r="A17" s="12">
        <v>15</v>
      </c>
      <c r="B17" s="17">
        <v>1400</v>
      </c>
      <c r="C17" s="17">
        <v>2800</v>
      </c>
      <c r="D17" s="17">
        <v>4300</v>
      </c>
      <c r="E17" s="17">
        <v>6400</v>
      </c>
      <c r="G17" s="77">
        <v>11</v>
      </c>
      <c r="H17" s="26">
        <v>7200</v>
      </c>
      <c r="J17" s="36">
        <v>15</v>
      </c>
      <c r="K17" s="47">
        <v>4</v>
      </c>
      <c r="M17" s="12"/>
      <c r="N17" s="12"/>
    </row>
    <row r="18" spans="1:14" ht="15.75" customHeight="1" x14ac:dyDescent="0.15">
      <c r="A18" s="12">
        <v>16</v>
      </c>
      <c r="B18" s="17">
        <v>1600</v>
      </c>
      <c r="C18" s="17">
        <v>3200</v>
      </c>
      <c r="D18" s="17">
        <v>4800</v>
      </c>
      <c r="E18" s="17">
        <v>7200</v>
      </c>
      <c r="G18" s="25">
        <v>12</v>
      </c>
      <c r="H18" s="26">
        <v>8400</v>
      </c>
      <c r="J18" s="12"/>
      <c r="K18" s="12"/>
      <c r="M18" s="12"/>
      <c r="N18" s="12"/>
    </row>
    <row r="19" spans="1:14" ht="15.75" customHeight="1" x14ac:dyDescent="0.15">
      <c r="A19" s="12">
        <v>17</v>
      </c>
      <c r="B19" s="17">
        <v>2000</v>
      </c>
      <c r="C19" s="17">
        <v>3900</v>
      </c>
      <c r="D19" s="17">
        <v>5900</v>
      </c>
      <c r="E19" s="17">
        <v>8800</v>
      </c>
      <c r="G19" s="25">
        <v>13</v>
      </c>
      <c r="H19" s="26">
        <v>10000</v>
      </c>
      <c r="J19" s="12"/>
      <c r="K19" s="12"/>
      <c r="M19" s="12"/>
      <c r="N19" s="12"/>
    </row>
    <row r="20" spans="1:14" ht="15.75" customHeight="1" x14ac:dyDescent="0.15">
      <c r="A20" s="12">
        <v>18</v>
      </c>
      <c r="B20" s="17">
        <v>2100</v>
      </c>
      <c r="C20" s="17">
        <v>4200</v>
      </c>
      <c r="D20" s="17">
        <v>6300</v>
      </c>
      <c r="E20" s="17">
        <v>9500</v>
      </c>
      <c r="G20" s="25">
        <v>14</v>
      </c>
      <c r="H20" s="26">
        <v>11500</v>
      </c>
      <c r="J20" s="12"/>
      <c r="K20" s="12"/>
      <c r="M20" s="12"/>
      <c r="N20" s="12"/>
    </row>
    <row r="21" spans="1:14" ht="15.75" customHeight="1" x14ac:dyDescent="0.15">
      <c r="A21" s="12">
        <v>19</v>
      </c>
      <c r="B21" s="17">
        <v>2400</v>
      </c>
      <c r="C21" s="17">
        <v>4900</v>
      </c>
      <c r="D21" s="17">
        <v>7300</v>
      </c>
      <c r="E21" s="17">
        <v>10900</v>
      </c>
      <c r="G21" s="25">
        <v>15</v>
      </c>
      <c r="H21" s="26">
        <v>13000</v>
      </c>
      <c r="J21" s="12"/>
      <c r="K21" s="12"/>
      <c r="M21" s="12"/>
      <c r="N21" s="12"/>
    </row>
    <row r="22" spans="1:14" ht="15.75" customHeight="1" x14ac:dyDescent="0.15">
      <c r="A22" s="12">
        <v>20</v>
      </c>
      <c r="B22" s="17">
        <v>2800</v>
      </c>
      <c r="C22" s="17">
        <v>5700</v>
      </c>
      <c r="D22" s="17">
        <v>8500</v>
      </c>
      <c r="E22" s="17">
        <v>12700</v>
      </c>
      <c r="G22" s="25">
        <v>16</v>
      </c>
      <c r="H22" s="26">
        <v>15000</v>
      </c>
      <c r="J22" s="12"/>
      <c r="K22" s="12"/>
      <c r="M22" s="12"/>
      <c r="N22" s="12"/>
    </row>
    <row r="23" spans="1:14" ht="15.75" customHeight="1" x14ac:dyDescent="0.15">
      <c r="G23" s="25">
        <v>17</v>
      </c>
      <c r="H23" s="26">
        <v>18000</v>
      </c>
      <c r="J23" s="12"/>
      <c r="K23" s="12"/>
      <c r="M23" s="12"/>
      <c r="N23" s="12"/>
    </row>
    <row r="24" spans="1:14" ht="15.75" customHeight="1" x14ac:dyDescent="0.15">
      <c r="G24" s="25">
        <v>18</v>
      </c>
      <c r="H24" s="26">
        <v>20000</v>
      </c>
      <c r="J24" s="12"/>
      <c r="K24" s="12"/>
      <c r="M24" s="12"/>
      <c r="N24" s="12"/>
    </row>
    <row r="25" spans="1:14" ht="15.75" customHeight="1" x14ac:dyDescent="0.15">
      <c r="G25" s="25">
        <v>19</v>
      </c>
      <c r="H25" s="26">
        <v>22000</v>
      </c>
      <c r="J25" s="12"/>
      <c r="K25" s="12"/>
      <c r="M25" s="12"/>
      <c r="N25" s="12"/>
    </row>
    <row r="26" spans="1:14" ht="15.75" customHeight="1" x14ac:dyDescent="0.15">
      <c r="G26" s="25">
        <v>20</v>
      </c>
      <c r="H26" s="26">
        <v>25000</v>
      </c>
      <c r="J26" s="12"/>
      <c r="K26" s="12"/>
      <c r="M26" s="12"/>
      <c r="N26" s="12"/>
    </row>
    <row r="27" spans="1:14" ht="15.75" customHeight="1" x14ac:dyDescent="0.15">
      <c r="G27" s="25">
        <v>21</v>
      </c>
      <c r="H27" s="26">
        <v>33000</v>
      </c>
      <c r="J27" s="12"/>
      <c r="K27" s="12"/>
      <c r="M27" s="12"/>
      <c r="N27" s="12"/>
    </row>
    <row r="28" spans="1:14" ht="15.75" customHeight="1" x14ac:dyDescent="0.15">
      <c r="G28" s="25">
        <v>22</v>
      </c>
      <c r="H28" s="26">
        <v>41000</v>
      </c>
      <c r="J28" s="12"/>
      <c r="K28" s="12"/>
      <c r="M28" s="12"/>
      <c r="N28" s="12"/>
    </row>
    <row r="29" spans="1:14" ht="15.75" customHeight="1" x14ac:dyDescent="0.15">
      <c r="G29" s="25">
        <v>23</v>
      </c>
      <c r="H29" s="26">
        <v>50000</v>
      </c>
      <c r="J29" s="12"/>
      <c r="K29" s="12"/>
      <c r="M29" s="12"/>
      <c r="N29" s="12"/>
    </row>
    <row r="30" spans="1:14" ht="15.75" customHeight="1" x14ac:dyDescent="0.15">
      <c r="G30" s="25">
        <v>24</v>
      </c>
      <c r="H30" s="26">
        <v>62000</v>
      </c>
      <c r="J30" s="12"/>
      <c r="K30" s="12"/>
      <c r="M30" s="12"/>
      <c r="N30" s="12"/>
    </row>
    <row r="31" spans="1:14" ht="15.75" customHeight="1" x14ac:dyDescent="0.15">
      <c r="G31" s="25">
        <v>25</v>
      </c>
      <c r="H31" s="26">
        <v>75000</v>
      </c>
      <c r="J31" s="12"/>
      <c r="K31" s="12"/>
      <c r="M31" s="12"/>
      <c r="N31" s="12"/>
    </row>
    <row r="32" spans="1:14" ht="15.75" customHeight="1" x14ac:dyDescent="0.15">
      <c r="G32" s="25">
        <v>26</v>
      </c>
      <c r="H32" s="26">
        <v>90000</v>
      </c>
      <c r="J32" s="12"/>
      <c r="K32" s="12"/>
      <c r="M32" s="12"/>
      <c r="N32" s="12"/>
    </row>
    <row r="33" spans="7:14" ht="15.75" customHeight="1" x14ac:dyDescent="0.15">
      <c r="G33" s="25">
        <v>27</v>
      </c>
      <c r="H33" s="26">
        <v>105000</v>
      </c>
      <c r="J33" s="12"/>
      <c r="K33" s="12"/>
      <c r="M33" s="12"/>
      <c r="N33" s="12"/>
    </row>
    <row r="34" spans="7:14" ht="15.75" customHeight="1" x14ac:dyDescent="0.15">
      <c r="G34" s="25">
        <v>28</v>
      </c>
      <c r="H34" s="26">
        <v>120000</v>
      </c>
      <c r="J34" s="12"/>
      <c r="K34" s="12"/>
      <c r="M34" s="12"/>
      <c r="N34" s="12"/>
    </row>
    <row r="35" spans="7:14" ht="15.75" customHeight="1" x14ac:dyDescent="0.15">
      <c r="G35" s="25">
        <v>29</v>
      </c>
      <c r="H35" s="26">
        <v>135000</v>
      </c>
      <c r="J35" s="12"/>
      <c r="K35" s="12"/>
      <c r="M35" s="12"/>
      <c r="N35" s="12"/>
    </row>
    <row r="36" spans="7:14" ht="12.75" customHeight="1" x14ac:dyDescent="0.15">
      <c r="G36" s="25">
        <v>30</v>
      </c>
      <c r="H36" s="26">
        <v>155000</v>
      </c>
      <c r="J36" s="12"/>
      <c r="K36" s="12"/>
      <c r="M36" s="12"/>
      <c r="N36" s="12"/>
    </row>
    <row r="37" spans="7:14" ht="12.75" customHeight="1" x14ac:dyDescent="0.15">
      <c r="G37" s="12"/>
      <c r="H37" s="17"/>
      <c r="J37" s="12"/>
      <c r="K37" s="12"/>
      <c r="M37" s="12"/>
      <c r="N37" s="12"/>
    </row>
    <row r="38" spans="7:14" ht="12.75" customHeight="1" x14ac:dyDescent="0.15">
      <c r="G38" s="12"/>
      <c r="H38" s="17"/>
      <c r="J38" s="12"/>
      <c r="K38" s="12"/>
      <c r="M38" s="12"/>
      <c r="N38" s="12"/>
    </row>
    <row r="39" spans="7:14" ht="12.75" customHeight="1" x14ac:dyDescent="0.15">
      <c r="G39" s="12"/>
      <c r="H39" s="17"/>
      <c r="J39" s="12"/>
      <c r="K39" s="12"/>
      <c r="M39" s="12"/>
      <c r="N39" s="12"/>
    </row>
    <row r="40" spans="7:14" ht="12.75" customHeight="1" x14ac:dyDescent="0.15">
      <c r="G40" s="12"/>
      <c r="H40" s="17"/>
      <c r="J40" s="12"/>
      <c r="K40" s="12"/>
      <c r="M40" s="12"/>
      <c r="N40" s="12"/>
    </row>
    <row r="41" spans="7:14" ht="12.75" customHeight="1" x14ac:dyDescent="0.15">
      <c r="G41" s="12"/>
      <c r="H41" s="17"/>
      <c r="J41" s="12"/>
      <c r="K41" s="12"/>
      <c r="M41" s="12"/>
      <c r="N41" s="12"/>
    </row>
    <row r="42" spans="7:14" ht="12.75" customHeight="1" x14ac:dyDescent="0.15">
      <c r="G42" s="12"/>
      <c r="H42" s="17"/>
      <c r="J42" s="12"/>
      <c r="K42" s="12"/>
      <c r="M42" s="12"/>
      <c r="N42" s="12"/>
    </row>
    <row r="43" spans="7:14" ht="12.75" customHeight="1" x14ac:dyDescent="0.15">
      <c r="G43" s="12"/>
      <c r="H43" s="17"/>
      <c r="J43" s="12"/>
      <c r="K43" s="12"/>
      <c r="M43" s="12"/>
      <c r="N43" s="12"/>
    </row>
    <row r="44" spans="7:14" ht="12.75" customHeight="1" x14ac:dyDescent="0.15">
      <c r="G44" s="12"/>
      <c r="H44" s="17"/>
      <c r="J44" s="12"/>
      <c r="K44" s="12"/>
      <c r="M44" s="12"/>
      <c r="N44" s="12"/>
    </row>
    <row r="45" spans="7:14" ht="12.75" customHeight="1" x14ac:dyDescent="0.15">
      <c r="G45" s="12"/>
      <c r="H45" s="17"/>
      <c r="J45" s="12"/>
      <c r="K45" s="12"/>
      <c r="M45" s="12"/>
      <c r="N45" s="12"/>
    </row>
    <row r="46" spans="7:14" ht="12.75" customHeight="1" x14ac:dyDescent="0.15">
      <c r="G46" s="12"/>
      <c r="H46" s="17"/>
      <c r="J46" s="12"/>
      <c r="K46" s="12"/>
      <c r="M46" s="12"/>
      <c r="N46" s="12"/>
    </row>
    <row r="47" spans="7:14" ht="12.75" customHeight="1" x14ac:dyDescent="0.15">
      <c r="G47" s="12"/>
      <c r="H47" s="17"/>
      <c r="J47" s="12"/>
      <c r="K47" s="12"/>
      <c r="M47" s="12"/>
      <c r="N47" s="12"/>
    </row>
    <row r="48" spans="7:14" ht="12.75" customHeight="1" x14ac:dyDescent="0.15">
      <c r="G48" s="12"/>
      <c r="H48" s="17"/>
      <c r="J48" s="12"/>
      <c r="K48" s="12"/>
      <c r="M48" s="12"/>
      <c r="N48" s="12"/>
    </row>
    <row r="49" spans="7:14" ht="12.75" customHeight="1" x14ac:dyDescent="0.15">
      <c r="G49" s="12"/>
      <c r="H49" s="17"/>
      <c r="J49" s="12"/>
      <c r="K49" s="12"/>
      <c r="M49" s="12"/>
      <c r="N49" s="12"/>
    </row>
    <row r="50" spans="7:14" ht="12.75" customHeight="1" x14ac:dyDescent="0.15">
      <c r="G50" s="12"/>
      <c r="H50" s="17"/>
      <c r="J50" s="12"/>
      <c r="K50" s="12"/>
      <c r="M50" s="12"/>
      <c r="N50" s="12"/>
    </row>
    <row r="51" spans="7:14" ht="12.75" customHeight="1" x14ac:dyDescent="0.15">
      <c r="G51" s="12"/>
      <c r="H51" s="17"/>
      <c r="J51" s="12"/>
      <c r="K51" s="12"/>
      <c r="M51" s="12"/>
      <c r="N51" s="12"/>
    </row>
    <row r="52" spans="7:14" ht="12.75" customHeight="1" x14ac:dyDescent="0.15">
      <c r="G52" s="12"/>
      <c r="H52" s="17"/>
      <c r="J52" s="12"/>
      <c r="K52" s="12"/>
      <c r="M52" s="12"/>
      <c r="N52" s="12"/>
    </row>
    <row r="53" spans="7:14" ht="12.75" customHeight="1" x14ac:dyDescent="0.15">
      <c r="G53" s="12"/>
      <c r="H53" s="17"/>
      <c r="J53" s="12"/>
      <c r="K53" s="12"/>
      <c r="M53" s="12"/>
      <c r="N53" s="12"/>
    </row>
    <row r="54" spans="7:14" ht="12.75" customHeight="1" x14ac:dyDescent="0.15">
      <c r="G54" s="12"/>
      <c r="H54" s="17"/>
      <c r="J54" s="12"/>
      <c r="K54" s="12"/>
      <c r="M54" s="12"/>
      <c r="N54" s="12"/>
    </row>
    <row r="55" spans="7:14" ht="12.75" customHeight="1" x14ac:dyDescent="0.15">
      <c r="G55" s="12"/>
      <c r="H55" s="17"/>
      <c r="J55" s="12"/>
      <c r="K55" s="12"/>
      <c r="M55" s="12"/>
      <c r="N55" s="12"/>
    </row>
    <row r="56" spans="7:14" ht="12.75" customHeight="1" x14ac:dyDescent="0.15">
      <c r="G56" s="12"/>
      <c r="H56" s="17"/>
      <c r="J56" s="12"/>
      <c r="K56" s="12"/>
      <c r="M56" s="12"/>
      <c r="N56" s="12"/>
    </row>
    <row r="57" spans="7:14" ht="12.75" customHeight="1" x14ac:dyDescent="0.15">
      <c r="G57" s="12"/>
      <c r="H57" s="17"/>
      <c r="J57" s="12"/>
      <c r="K57" s="12"/>
      <c r="M57" s="12"/>
      <c r="N57" s="12"/>
    </row>
    <row r="58" spans="7:14" ht="12.75" customHeight="1" x14ac:dyDescent="0.15">
      <c r="G58" s="12"/>
      <c r="H58" s="17"/>
      <c r="J58" s="12"/>
      <c r="K58" s="12"/>
      <c r="M58" s="12"/>
      <c r="N58" s="12"/>
    </row>
    <row r="59" spans="7:14" ht="12.75" customHeight="1" x14ac:dyDescent="0.15">
      <c r="G59" s="12"/>
      <c r="H59" s="17"/>
      <c r="J59" s="12"/>
      <c r="K59" s="12"/>
      <c r="M59" s="12"/>
      <c r="N59" s="12"/>
    </row>
    <row r="60" spans="7:14" ht="12.75" customHeight="1" x14ac:dyDescent="0.15">
      <c r="G60" s="12"/>
      <c r="H60" s="17"/>
      <c r="J60" s="12"/>
      <c r="K60" s="12"/>
      <c r="M60" s="12"/>
      <c r="N60" s="12"/>
    </row>
    <row r="61" spans="7:14" ht="12.75" customHeight="1" x14ac:dyDescent="0.15">
      <c r="G61" s="12"/>
      <c r="H61" s="17"/>
      <c r="J61" s="12"/>
      <c r="K61" s="12"/>
      <c r="M61" s="12"/>
      <c r="N61" s="12"/>
    </row>
    <row r="62" spans="7:14" ht="12.75" customHeight="1" x14ac:dyDescent="0.15">
      <c r="G62" s="12"/>
      <c r="H62" s="17"/>
      <c r="J62" s="12"/>
      <c r="K62" s="12"/>
      <c r="M62" s="12"/>
      <c r="N62" s="12"/>
    </row>
    <row r="63" spans="7:14" ht="12.75" customHeight="1" x14ac:dyDescent="0.15">
      <c r="G63" s="12"/>
      <c r="H63" s="17"/>
      <c r="J63" s="12"/>
      <c r="K63" s="12"/>
      <c r="M63" s="12"/>
      <c r="N63" s="12"/>
    </row>
    <row r="64" spans="7:14" ht="12.75" customHeight="1" x14ac:dyDescent="0.15">
      <c r="G64" s="12"/>
      <c r="H64" s="17"/>
      <c r="J64" s="12"/>
      <c r="K64" s="12"/>
      <c r="M64" s="12"/>
      <c r="N64" s="12"/>
    </row>
    <row r="65" spans="7:14" ht="12.75" customHeight="1" x14ac:dyDescent="0.15">
      <c r="G65" s="12"/>
      <c r="H65" s="17"/>
      <c r="J65" s="12"/>
      <c r="K65" s="12"/>
      <c r="M65" s="12"/>
      <c r="N65" s="12"/>
    </row>
    <row r="66" spans="7:14" ht="12.75" customHeight="1" x14ac:dyDescent="0.15">
      <c r="G66" s="12"/>
      <c r="H66" s="17"/>
      <c r="J66" s="12"/>
      <c r="K66" s="12"/>
      <c r="M66" s="12"/>
      <c r="N66" s="12"/>
    </row>
    <row r="67" spans="7:14" ht="12.75" customHeight="1" x14ac:dyDescent="0.15">
      <c r="G67" s="12"/>
      <c r="H67" s="17"/>
      <c r="J67" s="12"/>
      <c r="K67" s="12"/>
      <c r="M67" s="12"/>
      <c r="N67" s="12"/>
    </row>
    <row r="68" spans="7:14" ht="12.75" customHeight="1" x14ac:dyDescent="0.15">
      <c r="G68" s="12"/>
      <c r="H68" s="17"/>
      <c r="J68" s="12"/>
      <c r="K68" s="12"/>
      <c r="M68" s="12"/>
      <c r="N68" s="12"/>
    </row>
    <row r="69" spans="7:14" ht="12.75" customHeight="1" x14ac:dyDescent="0.15">
      <c r="G69" s="12"/>
      <c r="H69" s="17"/>
      <c r="J69" s="12"/>
      <c r="K69" s="12"/>
      <c r="M69" s="12"/>
      <c r="N69" s="12"/>
    </row>
    <row r="70" spans="7:14" ht="12.75" customHeight="1" x14ac:dyDescent="0.15">
      <c r="G70" s="12"/>
      <c r="H70" s="17"/>
      <c r="J70" s="12"/>
      <c r="K70" s="12"/>
      <c r="M70" s="12"/>
      <c r="N70" s="12"/>
    </row>
    <row r="71" spans="7:14" ht="12.75" customHeight="1" x14ac:dyDescent="0.15">
      <c r="G71" s="12"/>
      <c r="H71" s="17"/>
      <c r="J71" s="12"/>
      <c r="K71" s="12"/>
      <c r="M71" s="12"/>
      <c r="N71" s="12"/>
    </row>
    <row r="72" spans="7:14" ht="12.75" customHeight="1" x14ac:dyDescent="0.15">
      <c r="G72" s="12"/>
      <c r="H72" s="17"/>
      <c r="J72" s="12"/>
      <c r="K72" s="12"/>
      <c r="M72" s="12"/>
      <c r="N72" s="12"/>
    </row>
    <row r="73" spans="7:14" ht="12.75" customHeight="1" x14ac:dyDescent="0.15">
      <c r="G73" s="12"/>
      <c r="H73" s="17"/>
      <c r="J73" s="12"/>
      <c r="K73" s="12"/>
      <c r="M73" s="12"/>
      <c r="N73" s="12"/>
    </row>
    <row r="74" spans="7:14" ht="12.75" customHeight="1" x14ac:dyDescent="0.15">
      <c r="G74" s="12"/>
      <c r="H74" s="17"/>
      <c r="J74" s="12"/>
      <c r="K74" s="12"/>
      <c r="M74" s="12"/>
      <c r="N74" s="12"/>
    </row>
    <row r="75" spans="7:14" ht="12.75" customHeight="1" x14ac:dyDescent="0.15">
      <c r="G75" s="12"/>
      <c r="H75" s="17"/>
      <c r="J75" s="12"/>
      <c r="K75" s="12"/>
      <c r="M75" s="12"/>
      <c r="N75" s="12"/>
    </row>
    <row r="76" spans="7:14" ht="12.75" customHeight="1" x14ac:dyDescent="0.15">
      <c r="G76" s="12"/>
      <c r="H76" s="17"/>
      <c r="J76" s="12"/>
      <c r="K76" s="12"/>
      <c r="M76" s="12"/>
      <c r="N76" s="12"/>
    </row>
    <row r="77" spans="7:14" ht="12.75" customHeight="1" x14ac:dyDescent="0.15">
      <c r="G77" s="12"/>
      <c r="H77" s="17"/>
      <c r="J77" s="12"/>
      <c r="K77" s="12"/>
      <c r="M77" s="12"/>
      <c r="N77" s="12"/>
    </row>
    <row r="78" spans="7:14" ht="12.75" customHeight="1" x14ac:dyDescent="0.15">
      <c r="G78" s="12"/>
      <c r="H78" s="17"/>
      <c r="J78" s="12"/>
      <c r="K78" s="12"/>
      <c r="M78" s="12"/>
      <c r="N78" s="12"/>
    </row>
    <row r="79" spans="7:14" ht="12.75" customHeight="1" x14ac:dyDescent="0.15">
      <c r="G79" s="12"/>
      <c r="H79" s="17"/>
      <c r="J79" s="12"/>
      <c r="K79" s="12"/>
      <c r="M79" s="12"/>
      <c r="N79" s="12"/>
    </row>
    <row r="80" spans="7:14" ht="12.75" customHeight="1" x14ac:dyDescent="0.15">
      <c r="G80" s="12"/>
      <c r="H80" s="17"/>
      <c r="J80" s="12"/>
      <c r="K80" s="12"/>
      <c r="M80" s="12"/>
      <c r="N80" s="12"/>
    </row>
    <row r="81" spans="7:14" ht="12.75" customHeight="1" x14ac:dyDescent="0.15">
      <c r="G81" s="12"/>
      <c r="H81" s="17"/>
      <c r="J81" s="12"/>
      <c r="K81" s="12"/>
      <c r="M81" s="12"/>
      <c r="N81" s="12"/>
    </row>
    <row r="82" spans="7:14" ht="12.75" customHeight="1" x14ac:dyDescent="0.15">
      <c r="G82" s="12"/>
      <c r="H82" s="17"/>
      <c r="J82" s="12"/>
      <c r="K82" s="12"/>
      <c r="M82" s="12"/>
      <c r="N82" s="12"/>
    </row>
    <row r="83" spans="7:14" ht="12.75" customHeight="1" x14ac:dyDescent="0.15">
      <c r="G83" s="12"/>
      <c r="H83" s="17"/>
      <c r="J83" s="12"/>
      <c r="K83" s="12"/>
      <c r="M83" s="12"/>
      <c r="N83" s="12"/>
    </row>
    <row r="84" spans="7:14" ht="12.75" customHeight="1" x14ac:dyDescent="0.15">
      <c r="G84" s="12"/>
      <c r="H84" s="17"/>
      <c r="J84" s="12"/>
      <c r="K84" s="12"/>
      <c r="M84" s="12"/>
      <c r="N84" s="12"/>
    </row>
    <row r="85" spans="7:14" ht="12.75" customHeight="1" x14ac:dyDescent="0.15">
      <c r="G85" s="12"/>
      <c r="H85" s="17"/>
      <c r="J85" s="12"/>
      <c r="K85" s="12"/>
      <c r="M85" s="12"/>
      <c r="N85" s="12"/>
    </row>
    <row r="86" spans="7:14" ht="12.75" customHeight="1" x14ac:dyDescent="0.15">
      <c r="G86" s="12"/>
      <c r="H86" s="17"/>
      <c r="J86" s="12"/>
      <c r="K86" s="12"/>
      <c r="M86" s="12"/>
      <c r="N86" s="12"/>
    </row>
    <row r="87" spans="7:14" ht="12.75" customHeight="1" x14ac:dyDescent="0.15">
      <c r="G87" s="12"/>
      <c r="H87" s="17"/>
      <c r="J87" s="12"/>
      <c r="K87" s="12"/>
      <c r="M87" s="12"/>
      <c r="N87" s="12"/>
    </row>
    <row r="88" spans="7:14" ht="12.75" customHeight="1" x14ac:dyDescent="0.15">
      <c r="G88" s="12"/>
      <c r="H88" s="17"/>
      <c r="J88" s="12"/>
      <c r="K88" s="12"/>
      <c r="M88" s="12"/>
      <c r="N88" s="12"/>
    </row>
    <row r="89" spans="7:14" ht="12.75" customHeight="1" x14ac:dyDescent="0.15">
      <c r="G89" s="12"/>
      <c r="H89" s="17"/>
      <c r="J89" s="12"/>
      <c r="K89" s="12"/>
      <c r="M89" s="12"/>
      <c r="N89" s="12"/>
    </row>
    <row r="90" spans="7:14" ht="12.75" customHeight="1" x14ac:dyDescent="0.15">
      <c r="G90" s="12"/>
      <c r="H90" s="17"/>
      <c r="J90" s="12"/>
      <c r="K90" s="12"/>
      <c r="M90" s="12"/>
      <c r="N90" s="12"/>
    </row>
    <row r="91" spans="7:14" ht="12.75" customHeight="1" x14ac:dyDescent="0.15">
      <c r="G91" s="12"/>
      <c r="H91" s="17"/>
      <c r="J91" s="12"/>
      <c r="K91" s="12"/>
      <c r="M91" s="12"/>
      <c r="N91" s="12"/>
    </row>
    <row r="92" spans="7:14" ht="12.75" customHeight="1" x14ac:dyDescent="0.15">
      <c r="G92" s="12"/>
      <c r="H92" s="17"/>
      <c r="J92" s="12"/>
      <c r="K92" s="12"/>
      <c r="M92" s="12"/>
      <c r="N92" s="12"/>
    </row>
    <row r="93" spans="7:14" ht="12.75" customHeight="1" x14ac:dyDescent="0.15">
      <c r="G93" s="12"/>
      <c r="H93" s="17"/>
      <c r="J93" s="12"/>
      <c r="K93" s="12"/>
      <c r="M93" s="12"/>
      <c r="N93" s="12"/>
    </row>
    <row r="94" spans="7:14" ht="12.75" customHeight="1" x14ac:dyDescent="0.15">
      <c r="G94" s="12"/>
      <c r="H94" s="17"/>
      <c r="J94" s="12"/>
      <c r="K94" s="12"/>
      <c r="M94" s="12"/>
      <c r="N94" s="12"/>
    </row>
    <row r="95" spans="7:14" ht="12.75" customHeight="1" x14ac:dyDescent="0.15">
      <c r="G95" s="12"/>
      <c r="H95" s="17"/>
      <c r="J95" s="12"/>
      <c r="K95" s="12"/>
      <c r="M95" s="12"/>
      <c r="N95" s="12"/>
    </row>
    <row r="96" spans="7:14" ht="12.75" customHeight="1" x14ac:dyDescent="0.15">
      <c r="G96" s="12"/>
      <c r="H96" s="17"/>
      <c r="J96" s="12"/>
      <c r="K96" s="12"/>
      <c r="M96" s="12"/>
      <c r="N96" s="12"/>
    </row>
    <row r="97" spans="7:14" ht="12.75" customHeight="1" x14ac:dyDescent="0.15">
      <c r="G97" s="12"/>
      <c r="H97" s="17"/>
      <c r="J97" s="12"/>
      <c r="K97" s="12"/>
      <c r="M97" s="12"/>
      <c r="N97" s="12"/>
    </row>
    <row r="98" spans="7:14" ht="12.75" customHeight="1" x14ac:dyDescent="0.15">
      <c r="G98" s="12"/>
      <c r="H98" s="17"/>
      <c r="J98" s="12"/>
      <c r="K98" s="12"/>
      <c r="M98" s="12"/>
      <c r="N98" s="12"/>
    </row>
    <row r="99" spans="7:14" ht="12.75" customHeight="1" x14ac:dyDescent="0.15">
      <c r="G99" s="12"/>
      <c r="H99" s="17"/>
      <c r="J99" s="12"/>
      <c r="K99" s="12"/>
      <c r="M99" s="12"/>
      <c r="N99" s="12"/>
    </row>
    <row r="100" spans="7:14" ht="12.75" customHeight="1" x14ac:dyDescent="0.15">
      <c r="G100" s="12"/>
      <c r="H100" s="17"/>
      <c r="J100" s="12"/>
      <c r="K100" s="12"/>
      <c r="M100" s="12"/>
      <c r="N100" s="12"/>
    </row>
    <row r="101" spans="7:14" ht="12.75" customHeight="1" x14ac:dyDescent="0.15">
      <c r="G101" s="12"/>
      <c r="H101" s="17"/>
      <c r="J101" s="12"/>
      <c r="K101" s="12"/>
      <c r="M101" s="12"/>
      <c r="N101" s="12"/>
    </row>
    <row r="102" spans="7:14" ht="12.75" customHeight="1" x14ac:dyDescent="0.15">
      <c r="G102" s="12"/>
      <c r="H102" s="17"/>
      <c r="J102" s="12"/>
      <c r="K102" s="12"/>
      <c r="M102" s="12"/>
      <c r="N102" s="12"/>
    </row>
    <row r="103" spans="7:14" ht="12.75" customHeight="1" x14ac:dyDescent="0.15">
      <c r="G103" s="12"/>
      <c r="H103" s="17"/>
      <c r="J103" s="12"/>
      <c r="K103" s="12"/>
      <c r="M103" s="12"/>
      <c r="N103" s="12"/>
    </row>
    <row r="104" spans="7:14" ht="12.75" customHeight="1" x14ac:dyDescent="0.15">
      <c r="G104" s="12"/>
      <c r="H104" s="17"/>
      <c r="J104" s="12"/>
      <c r="K104" s="12"/>
      <c r="M104" s="12"/>
      <c r="N104" s="12"/>
    </row>
    <row r="105" spans="7:14" ht="12.75" customHeight="1" x14ac:dyDescent="0.15">
      <c r="G105" s="12"/>
      <c r="H105" s="17"/>
      <c r="J105" s="12"/>
      <c r="K105" s="12"/>
      <c r="M105" s="12"/>
      <c r="N105" s="12"/>
    </row>
    <row r="106" spans="7:14" ht="12.75" customHeight="1" x14ac:dyDescent="0.15">
      <c r="G106" s="12"/>
      <c r="H106" s="17"/>
      <c r="J106" s="12"/>
      <c r="K106" s="12"/>
      <c r="M106" s="12"/>
      <c r="N106" s="12"/>
    </row>
    <row r="107" spans="7:14" ht="12.75" customHeight="1" x14ac:dyDescent="0.15">
      <c r="G107" s="12"/>
      <c r="H107" s="17"/>
      <c r="J107" s="12"/>
      <c r="K107" s="12"/>
      <c r="M107" s="12"/>
      <c r="N107" s="12"/>
    </row>
    <row r="108" spans="7:14" ht="12.75" customHeight="1" x14ac:dyDescent="0.15">
      <c r="G108" s="12"/>
      <c r="H108" s="17"/>
      <c r="J108" s="12"/>
      <c r="K108" s="12"/>
      <c r="M108" s="12"/>
      <c r="N108" s="12"/>
    </row>
    <row r="109" spans="7:14" ht="12.75" customHeight="1" x14ac:dyDescent="0.15">
      <c r="G109" s="12"/>
      <c r="H109" s="17"/>
      <c r="J109" s="12"/>
      <c r="K109" s="12"/>
      <c r="M109" s="12"/>
      <c r="N109" s="12"/>
    </row>
    <row r="110" spans="7:14" ht="12.75" customHeight="1" x14ac:dyDescent="0.15">
      <c r="G110" s="12"/>
      <c r="H110" s="17"/>
      <c r="J110" s="12"/>
      <c r="K110" s="12"/>
      <c r="M110" s="12"/>
      <c r="N110" s="12"/>
    </row>
    <row r="111" spans="7:14" ht="12.75" customHeight="1" x14ac:dyDescent="0.15">
      <c r="G111" s="12"/>
      <c r="H111" s="17"/>
      <c r="J111" s="12"/>
      <c r="K111" s="12"/>
      <c r="M111" s="12"/>
      <c r="N111" s="12"/>
    </row>
    <row r="112" spans="7:14" ht="12.75" customHeight="1" x14ac:dyDescent="0.15">
      <c r="G112" s="12"/>
      <c r="H112" s="17"/>
      <c r="J112" s="12"/>
      <c r="K112" s="12"/>
      <c r="M112" s="12"/>
      <c r="N112" s="12"/>
    </row>
    <row r="113" spans="7:14" ht="12.75" customHeight="1" x14ac:dyDescent="0.15">
      <c r="G113" s="12"/>
      <c r="H113" s="17"/>
      <c r="J113" s="12"/>
      <c r="K113" s="12"/>
      <c r="M113" s="12"/>
      <c r="N113" s="12"/>
    </row>
    <row r="114" spans="7:14" ht="12.75" customHeight="1" x14ac:dyDescent="0.15">
      <c r="G114" s="12"/>
      <c r="H114" s="17"/>
      <c r="J114" s="12"/>
      <c r="K114" s="12"/>
      <c r="M114" s="12"/>
      <c r="N114" s="12"/>
    </row>
    <row r="115" spans="7:14" ht="12.75" customHeight="1" x14ac:dyDescent="0.15">
      <c r="G115" s="12"/>
      <c r="H115" s="17"/>
      <c r="J115" s="12"/>
      <c r="K115" s="12"/>
      <c r="M115" s="12"/>
      <c r="N115" s="12"/>
    </row>
    <row r="116" spans="7:14" ht="12.75" customHeight="1" x14ac:dyDescent="0.15">
      <c r="G116" s="12"/>
      <c r="H116" s="17"/>
      <c r="J116" s="12"/>
      <c r="K116" s="12"/>
      <c r="M116" s="12"/>
      <c r="N116" s="12"/>
    </row>
    <row r="117" spans="7:14" ht="12.75" customHeight="1" x14ac:dyDescent="0.15">
      <c r="G117" s="12"/>
      <c r="H117" s="17"/>
      <c r="J117" s="12"/>
      <c r="K117" s="12"/>
      <c r="M117" s="12"/>
      <c r="N117" s="12"/>
    </row>
    <row r="118" spans="7:14" ht="12.75" customHeight="1" x14ac:dyDescent="0.15">
      <c r="G118" s="12"/>
      <c r="H118" s="17"/>
      <c r="J118" s="12"/>
      <c r="K118" s="12"/>
      <c r="M118" s="12"/>
      <c r="N118" s="12"/>
    </row>
    <row r="119" spans="7:14" ht="12.75" customHeight="1" x14ac:dyDescent="0.15">
      <c r="G119" s="12"/>
      <c r="H119" s="17"/>
      <c r="J119" s="12"/>
      <c r="K119" s="12"/>
      <c r="M119" s="12"/>
      <c r="N119" s="12"/>
    </row>
    <row r="120" spans="7:14" ht="12.75" customHeight="1" x14ac:dyDescent="0.15">
      <c r="G120" s="12"/>
      <c r="H120" s="17"/>
      <c r="J120" s="12"/>
      <c r="K120" s="12"/>
      <c r="M120" s="12"/>
      <c r="N120" s="12"/>
    </row>
    <row r="121" spans="7:14" ht="12.75" customHeight="1" x14ac:dyDescent="0.15">
      <c r="G121" s="12"/>
      <c r="H121" s="17"/>
      <c r="J121" s="12"/>
      <c r="K121" s="12"/>
      <c r="M121" s="12"/>
      <c r="N121" s="12"/>
    </row>
    <row r="122" spans="7:14" ht="12.75" customHeight="1" x14ac:dyDescent="0.15">
      <c r="G122" s="12"/>
      <c r="H122" s="17"/>
      <c r="J122" s="12"/>
      <c r="K122" s="12"/>
      <c r="M122" s="12"/>
      <c r="N122" s="12"/>
    </row>
    <row r="123" spans="7:14" ht="12.75" customHeight="1" x14ac:dyDescent="0.15">
      <c r="G123" s="12"/>
      <c r="H123" s="17"/>
      <c r="J123" s="12"/>
      <c r="K123" s="12"/>
      <c r="M123" s="12"/>
      <c r="N123" s="12"/>
    </row>
    <row r="124" spans="7:14" ht="12.75" customHeight="1" x14ac:dyDescent="0.15">
      <c r="G124" s="12"/>
      <c r="H124" s="17"/>
      <c r="J124" s="12"/>
      <c r="K124" s="12"/>
      <c r="M124" s="12"/>
      <c r="N124" s="12"/>
    </row>
    <row r="125" spans="7:14" ht="12.75" customHeight="1" x14ac:dyDescent="0.15">
      <c r="G125" s="12"/>
      <c r="H125" s="17"/>
      <c r="J125" s="12"/>
      <c r="K125" s="12"/>
      <c r="M125" s="12"/>
      <c r="N125" s="12"/>
    </row>
    <row r="126" spans="7:14" ht="12.75" customHeight="1" x14ac:dyDescent="0.15">
      <c r="G126" s="12"/>
      <c r="H126" s="17"/>
      <c r="J126" s="12"/>
      <c r="K126" s="12"/>
      <c r="M126" s="12"/>
      <c r="N126" s="12"/>
    </row>
    <row r="127" spans="7:14" ht="12.75" customHeight="1" x14ac:dyDescent="0.15">
      <c r="G127" s="12"/>
      <c r="H127" s="17"/>
      <c r="J127" s="12"/>
      <c r="K127" s="12"/>
      <c r="M127" s="12"/>
      <c r="N127" s="12"/>
    </row>
    <row r="128" spans="7:14" ht="12.75" customHeight="1" x14ac:dyDescent="0.15">
      <c r="G128" s="12"/>
      <c r="H128" s="17"/>
      <c r="J128" s="12"/>
      <c r="K128" s="12"/>
      <c r="M128" s="12"/>
      <c r="N128" s="12"/>
    </row>
    <row r="129" spans="7:14" ht="12.75" customHeight="1" x14ac:dyDescent="0.15">
      <c r="G129" s="12"/>
      <c r="H129" s="17"/>
      <c r="J129" s="12"/>
      <c r="K129" s="12"/>
      <c r="M129" s="12"/>
      <c r="N129" s="12"/>
    </row>
    <row r="130" spans="7:14" ht="12.75" customHeight="1" x14ac:dyDescent="0.15">
      <c r="G130" s="12"/>
      <c r="H130" s="17"/>
      <c r="J130" s="12"/>
      <c r="K130" s="12"/>
      <c r="M130" s="12"/>
      <c r="N130" s="12"/>
    </row>
    <row r="131" spans="7:14" ht="12.75" customHeight="1" x14ac:dyDescent="0.15">
      <c r="G131" s="12"/>
      <c r="H131" s="17"/>
      <c r="J131" s="12"/>
      <c r="K131" s="12"/>
      <c r="M131" s="12"/>
      <c r="N131" s="12"/>
    </row>
    <row r="132" spans="7:14" ht="12.75" customHeight="1" x14ac:dyDescent="0.15">
      <c r="G132" s="12"/>
      <c r="H132" s="17"/>
      <c r="J132" s="12"/>
      <c r="K132" s="12"/>
      <c r="M132" s="12"/>
      <c r="N132" s="12"/>
    </row>
    <row r="133" spans="7:14" ht="12.75" customHeight="1" x14ac:dyDescent="0.15">
      <c r="G133" s="12"/>
      <c r="H133" s="17"/>
      <c r="J133" s="12"/>
      <c r="K133" s="12"/>
      <c r="M133" s="12"/>
      <c r="N133" s="12"/>
    </row>
    <row r="134" spans="7:14" ht="12.75" customHeight="1" x14ac:dyDescent="0.15">
      <c r="G134" s="12"/>
      <c r="H134" s="17"/>
      <c r="J134" s="12"/>
      <c r="K134" s="12"/>
      <c r="M134" s="12"/>
      <c r="N134" s="12"/>
    </row>
    <row r="135" spans="7:14" ht="12.75" customHeight="1" x14ac:dyDescent="0.15">
      <c r="G135" s="12"/>
      <c r="H135" s="17"/>
      <c r="J135" s="12"/>
      <c r="K135" s="12"/>
      <c r="M135" s="12"/>
      <c r="N135" s="12"/>
    </row>
    <row r="136" spans="7:14" ht="12.75" customHeight="1" x14ac:dyDescent="0.15">
      <c r="G136" s="12"/>
      <c r="H136" s="17"/>
      <c r="J136" s="12"/>
      <c r="K136" s="12"/>
      <c r="M136" s="12"/>
      <c r="N136" s="12"/>
    </row>
    <row r="137" spans="7:14" ht="12.75" customHeight="1" x14ac:dyDescent="0.15">
      <c r="G137" s="12"/>
      <c r="H137" s="17"/>
      <c r="J137" s="12"/>
      <c r="K137" s="12"/>
      <c r="M137" s="12"/>
      <c r="N137" s="12"/>
    </row>
    <row r="138" spans="7:14" ht="12.75" customHeight="1" x14ac:dyDescent="0.15">
      <c r="G138" s="12"/>
      <c r="H138" s="17"/>
      <c r="J138" s="12"/>
      <c r="K138" s="12"/>
      <c r="M138" s="12"/>
      <c r="N138" s="12"/>
    </row>
    <row r="139" spans="7:14" ht="12.75" customHeight="1" x14ac:dyDescent="0.15">
      <c r="G139" s="12"/>
      <c r="H139" s="17"/>
      <c r="J139" s="12"/>
      <c r="K139" s="12"/>
      <c r="M139" s="12"/>
      <c r="N139" s="12"/>
    </row>
    <row r="140" spans="7:14" ht="12.75" customHeight="1" x14ac:dyDescent="0.15">
      <c r="G140" s="12"/>
      <c r="H140" s="17"/>
      <c r="J140" s="12"/>
      <c r="K140" s="12"/>
      <c r="M140" s="12"/>
      <c r="N140" s="12"/>
    </row>
    <row r="141" spans="7:14" ht="12.75" customHeight="1" x14ac:dyDescent="0.15">
      <c r="G141" s="12"/>
      <c r="H141" s="17"/>
      <c r="J141" s="12"/>
      <c r="K141" s="12"/>
      <c r="M141" s="12"/>
      <c r="N141" s="12"/>
    </row>
    <row r="142" spans="7:14" ht="12.75" customHeight="1" x14ac:dyDescent="0.15">
      <c r="G142" s="12"/>
      <c r="H142" s="17"/>
      <c r="J142" s="12"/>
      <c r="K142" s="12"/>
      <c r="M142" s="12"/>
      <c r="N142" s="12"/>
    </row>
    <row r="143" spans="7:14" ht="12.75" customHeight="1" x14ac:dyDescent="0.15">
      <c r="G143" s="12"/>
      <c r="H143" s="17"/>
      <c r="J143" s="12"/>
      <c r="K143" s="12"/>
      <c r="M143" s="12"/>
      <c r="N143" s="12"/>
    </row>
    <row r="144" spans="7:14" ht="12.75" customHeight="1" x14ac:dyDescent="0.15">
      <c r="G144" s="12"/>
      <c r="H144" s="17"/>
      <c r="J144" s="12"/>
      <c r="K144" s="12"/>
      <c r="M144" s="12"/>
      <c r="N144" s="12"/>
    </row>
    <row r="145" spans="7:14" ht="12.75" customHeight="1" x14ac:dyDescent="0.15">
      <c r="G145" s="12"/>
      <c r="H145" s="17"/>
      <c r="J145" s="12"/>
      <c r="K145" s="12"/>
      <c r="M145" s="12"/>
      <c r="N145" s="12"/>
    </row>
    <row r="146" spans="7:14" ht="12.75" customHeight="1" x14ac:dyDescent="0.15">
      <c r="G146" s="12"/>
      <c r="H146" s="17"/>
      <c r="J146" s="12"/>
      <c r="K146" s="12"/>
      <c r="M146" s="12"/>
      <c r="N146" s="12"/>
    </row>
    <row r="147" spans="7:14" ht="12.75" customHeight="1" x14ac:dyDescent="0.15">
      <c r="G147" s="12"/>
      <c r="H147" s="17"/>
      <c r="J147" s="12"/>
      <c r="K147" s="12"/>
      <c r="M147" s="12"/>
      <c r="N147" s="12"/>
    </row>
    <row r="148" spans="7:14" ht="12.75" customHeight="1" x14ac:dyDescent="0.15">
      <c r="G148" s="12"/>
      <c r="H148" s="17"/>
      <c r="J148" s="12"/>
      <c r="K148" s="12"/>
      <c r="M148" s="12"/>
      <c r="N148" s="12"/>
    </row>
    <row r="149" spans="7:14" ht="12.75" customHeight="1" x14ac:dyDescent="0.15">
      <c r="G149" s="12"/>
      <c r="H149" s="17"/>
      <c r="J149" s="12"/>
      <c r="K149" s="12"/>
      <c r="M149" s="12"/>
      <c r="N149" s="12"/>
    </row>
    <row r="150" spans="7:14" ht="12.75" customHeight="1" x14ac:dyDescent="0.15">
      <c r="G150" s="12"/>
      <c r="H150" s="17"/>
      <c r="J150" s="12"/>
      <c r="K150" s="12"/>
      <c r="M150" s="12"/>
      <c r="N150" s="12"/>
    </row>
    <row r="151" spans="7:14" ht="12.75" customHeight="1" x14ac:dyDescent="0.15">
      <c r="G151" s="12"/>
      <c r="H151" s="17"/>
      <c r="J151" s="12"/>
      <c r="K151" s="12"/>
      <c r="M151" s="12"/>
      <c r="N151" s="12"/>
    </row>
    <row r="152" spans="7:14" ht="12.75" customHeight="1" x14ac:dyDescent="0.15">
      <c r="G152" s="12"/>
      <c r="H152" s="17"/>
      <c r="J152" s="12"/>
      <c r="K152" s="12"/>
      <c r="M152" s="12"/>
      <c r="N152" s="12"/>
    </row>
    <row r="153" spans="7:14" ht="12.75" customHeight="1" x14ac:dyDescent="0.15">
      <c r="G153" s="12"/>
      <c r="H153" s="17"/>
      <c r="J153" s="12"/>
      <c r="K153" s="12"/>
      <c r="M153" s="12"/>
      <c r="N153" s="12"/>
    </row>
    <row r="154" spans="7:14" ht="12.75" customHeight="1" x14ac:dyDescent="0.15">
      <c r="G154" s="12"/>
      <c r="H154" s="17"/>
      <c r="J154" s="12"/>
      <c r="K154" s="12"/>
      <c r="M154" s="12"/>
      <c r="N154" s="12"/>
    </row>
    <row r="155" spans="7:14" ht="12.75" customHeight="1" x14ac:dyDescent="0.15">
      <c r="G155" s="12"/>
      <c r="H155" s="17"/>
      <c r="J155" s="12"/>
      <c r="K155" s="12"/>
      <c r="M155" s="12"/>
      <c r="N155" s="12"/>
    </row>
    <row r="156" spans="7:14" ht="12.75" customHeight="1" x14ac:dyDescent="0.15">
      <c r="G156" s="12"/>
      <c r="H156" s="17"/>
      <c r="J156" s="12"/>
      <c r="K156" s="12"/>
      <c r="M156" s="12"/>
      <c r="N156" s="12"/>
    </row>
    <row r="157" spans="7:14" ht="12.75" customHeight="1" x14ac:dyDescent="0.15">
      <c r="G157" s="12"/>
      <c r="H157" s="17"/>
      <c r="J157" s="12"/>
      <c r="K157" s="12"/>
      <c r="M157" s="12"/>
      <c r="N157" s="12"/>
    </row>
    <row r="158" spans="7:14" ht="12.75" customHeight="1" x14ac:dyDescent="0.15">
      <c r="G158" s="12"/>
      <c r="H158" s="17"/>
      <c r="J158" s="12"/>
      <c r="K158" s="12"/>
      <c r="M158" s="12"/>
      <c r="N158" s="12"/>
    </row>
    <row r="159" spans="7:14" ht="12.75" customHeight="1" x14ac:dyDescent="0.15">
      <c r="G159" s="12"/>
      <c r="H159" s="17"/>
      <c r="J159" s="12"/>
      <c r="K159" s="12"/>
      <c r="M159" s="12"/>
      <c r="N159" s="12"/>
    </row>
    <row r="160" spans="7:14" ht="12.75" customHeight="1" x14ac:dyDescent="0.15">
      <c r="G160" s="12"/>
      <c r="H160" s="17"/>
      <c r="J160" s="12"/>
      <c r="K160" s="12"/>
      <c r="M160" s="12"/>
      <c r="N160" s="12"/>
    </row>
    <row r="161" spans="7:14" ht="12.75" customHeight="1" x14ac:dyDescent="0.15">
      <c r="G161" s="12"/>
      <c r="H161" s="17"/>
      <c r="J161" s="12"/>
      <c r="K161" s="12"/>
      <c r="M161" s="12"/>
      <c r="N161" s="12"/>
    </row>
    <row r="162" spans="7:14" ht="12.75" customHeight="1" x14ac:dyDescent="0.15">
      <c r="G162" s="12"/>
      <c r="H162" s="17"/>
      <c r="J162" s="12"/>
      <c r="K162" s="12"/>
      <c r="M162" s="12"/>
      <c r="N162" s="12"/>
    </row>
    <row r="163" spans="7:14" ht="12.75" customHeight="1" x14ac:dyDescent="0.15">
      <c r="G163" s="12"/>
      <c r="H163" s="17"/>
      <c r="J163" s="12"/>
      <c r="K163" s="12"/>
      <c r="M163" s="12"/>
      <c r="N163" s="12"/>
    </row>
    <row r="164" spans="7:14" ht="12.75" customHeight="1" x14ac:dyDescent="0.15">
      <c r="G164" s="12"/>
      <c r="H164" s="17"/>
      <c r="J164" s="12"/>
      <c r="K164" s="12"/>
      <c r="M164" s="12"/>
      <c r="N164" s="12"/>
    </row>
    <row r="165" spans="7:14" ht="12.75" customHeight="1" x14ac:dyDescent="0.15">
      <c r="G165" s="12"/>
      <c r="H165" s="17"/>
      <c r="J165" s="12"/>
      <c r="K165" s="12"/>
      <c r="M165" s="12"/>
      <c r="N165" s="12"/>
    </row>
    <row r="166" spans="7:14" ht="12.75" customHeight="1" x14ac:dyDescent="0.15">
      <c r="G166" s="12"/>
      <c r="H166" s="17"/>
      <c r="J166" s="12"/>
      <c r="K166" s="12"/>
      <c r="M166" s="12"/>
      <c r="N166" s="12"/>
    </row>
    <row r="167" spans="7:14" ht="12.75" customHeight="1" x14ac:dyDescent="0.15">
      <c r="G167" s="12"/>
      <c r="H167" s="17"/>
      <c r="J167" s="12"/>
      <c r="K167" s="12"/>
      <c r="M167" s="12"/>
      <c r="N167" s="12"/>
    </row>
    <row r="168" spans="7:14" ht="12.75" customHeight="1" x14ac:dyDescent="0.15">
      <c r="G168" s="12"/>
      <c r="H168" s="17"/>
      <c r="J168" s="12"/>
      <c r="K168" s="12"/>
      <c r="M168" s="12"/>
      <c r="N168" s="12"/>
    </row>
    <row r="169" spans="7:14" ht="12.75" customHeight="1" x14ac:dyDescent="0.15">
      <c r="G169" s="12"/>
      <c r="H169" s="17"/>
      <c r="J169" s="12"/>
      <c r="K169" s="12"/>
      <c r="M169" s="12"/>
      <c r="N169" s="12"/>
    </row>
    <row r="170" spans="7:14" ht="12.75" customHeight="1" x14ac:dyDescent="0.15">
      <c r="G170" s="12"/>
      <c r="H170" s="17"/>
      <c r="J170" s="12"/>
      <c r="K170" s="12"/>
      <c r="M170" s="12"/>
      <c r="N170" s="12"/>
    </row>
    <row r="171" spans="7:14" ht="12.75" customHeight="1" x14ac:dyDescent="0.15">
      <c r="G171" s="12"/>
      <c r="H171" s="17"/>
      <c r="J171" s="12"/>
      <c r="K171" s="12"/>
      <c r="M171" s="12"/>
      <c r="N171" s="12"/>
    </row>
    <row r="172" spans="7:14" ht="12.75" customHeight="1" x14ac:dyDescent="0.15">
      <c r="G172" s="12"/>
      <c r="H172" s="17"/>
      <c r="J172" s="12"/>
      <c r="K172" s="12"/>
      <c r="M172" s="12"/>
      <c r="N172" s="12"/>
    </row>
    <row r="173" spans="7:14" ht="12.75" customHeight="1" x14ac:dyDescent="0.15">
      <c r="G173" s="12"/>
      <c r="H173" s="17"/>
      <c r="J173" s="12"/>
      <c r="K173" s="12"/>
      <c r="M173" s="12"/>
      <c r="N173" s="12"/>
    </row>
    <row r="174" spans="7:14" ht="12.75" customHeight="1" x14ac:dyDescent="0.15">
      <c r="G174" s="12"/>
      <c r="H174" s="17"/>
      <c r="J174" s="12"/>
      <c r="K174" s="12"/>
      <c r="M174" s="12"/>
      <c r="N174" s="12"/>
    </row>
    <row r="175" spans="7:14" ht="12.75" customHeight="1" x14ac:dyDescent="0.15">
      <c r="G175" s="12"/>
      <c r="H175" s="17"/>
      <c r="J175" s="12"/>
      <c r="K175" s="12"/>
      <c r="M175" s="12"/>
      <c r="N175" s="12"/>
    </row>
    <row r="176" spans="7:14" ht="12.75" customHeight="1" x14ac:dyDescent="0.15">
      <c r="G176" s="12"/>
      <c r="H176" s="17"/>
      <c r="J176" s="12"/>
      <c r="K176" s="12"/>
      <c r="M176" s="12"/>
      <c r="N176" s="12"/>
    </row>
    <row r="177" spans="7:14" ht="12.75" customHeight="1" x14ac:dyDescent="0.15">
      <c r="G177" s="12"/>
      <c r="H177" s="17"/>
      <c r="J177" s="12"/>
      <c r="K177" s="12"/>
      <c r="M177" s="12"/>
      <c r="N177" s="12"/>
    </row>
    <row r="178" spans="7:14" ht="12.75" customHeight="1" x14ac:dyDescent="0.15">
      <c r="G178" s="12"/>
      <c r="H178" s="17"/>
      <c r="J178" s="12"/>
      <c r="K178" s="12"/>
      <c r="M178" s="12"/>
      <c r="N178" s="12"/>
    </row>
    <row r="179" spans="7:14" ht="12.75" customHeight="1" x14ac:dyDescent="0.15">
      <c r="G179" s="12"/>
      <c r="H179" s="17"/>
      <c r="J179" s="12"/>
      <c r="K179" s="12"/>
      <c r="M179" s="12"/>
      <c r="N179" s="12"/>
    </row>
    <row r="180" spans="7:14" ht="12.75" customHeight="1" x14ac:dyDescent="0.15">
      <c r="G180" s="12"/>
      <c r="H180" s="17"/>
      <c r="J180" s="12"/>
      <c r="K180" s="12"/>
      <c r="M180" s="12"/>
      <c r="N180" s="12"/>
    </row>
    <row r="181" spans="7:14" ht="12.75" customHeight="1" x14ac:dyDescent="0.15">
      <c r="G181" s="12"/>
      <c r="H181" s="17"/>
      <c r="J181" s="12"/>
      <c r="K181" s="12"/>
      <c r="M181" s="12"/>
      <c r="N181" s="12"/>
    </row>
    <row r="182" spans="7:14" ht="12.75" customHeight="1" x14ac:dyDescent="0.15">
      <c r="G182" s="12"/>
      <c r="H182" s="17"/>
      <c r="J182" s="12"/>
      <c r="K182" s="12"/>
      <c r="M182" s="12"/>
      <c r="N182" s="12"/>
    </row>
    <row r="183" spans="7:14" ht="12.75" customHeight="1" x14ac:dyDescent="0.15">
      <c r="G183" s="12"/>
      <c r="H183" s="17"/>
      <c r="J183" s="12"/>
      <c r="K183" s="12"/>
      <c r="M183" s="12"/>
      <c r="N183" s="12"/>
    </row>
    <row r="184" spans="7:14" ht="12.75" customHeight="1" x14ac:dyDescent="0.15">
      <c r="G184" s="12"/>
      <c r="H184" s="17"/>
      <c r="J184" s="12"/>
      <c r="K184" s="12"/>
      <c r="M184" s="12"/>
      <c r="N184" s="12"/>
    </row>
    <row r="185" spans="7:14" ht="12.75" customHeight="1" x14ac:dyDescent="0.15">
      <c r="G185" s="12"/>
      <c r="H185" s="17"/>
      <c r="J185" s="12"/>
      <c r="K185" s="12"/>
      <c r="M185" s="12"/>
      <c r="N185" s="12"/>
    </row>
    <row r="186" spans="7:14" ht="12.75" customHeight="1" x14ac:dyDescent="0.15">
      <c r="G186" s="12"/>
      <c r="H186" s="17"/>
      <c r="J186" s="12"/>
      <c r="K186" s="12"/>
      <c r="M186" s="12"/>
      <c r="N186" s="12"/>
    </row>
    <row r="187" spans="7:14" ht="12.75" customHeight="1" x14ac:dyDescent="0.15">
      <c r="G187" s="12"/>
      <c r="H187" s="17"/>
      <c r="J187" s="12"/>
      <c r="K187" s="12"/>
      <c r="M187" s="12"/>
      <c r="N187" s="12"/>
    </row>
    <row r="188" spans="7:14" ht="12.75" customHeight="1" x14ac:dyDescent="0.15">
      <c r="G188" s="12"/>
      <c r="H188" s="17"/>
      <c r="J188" s="12"/>
      <c r="K188" s="12"/>
      <c r="M188" s="12"/>
      <c r="N188" s="12"/>
    </row>
    <row r="189" spans="7:14" ht="12.75" customHeight="1" x14ac:dyDescent="0.15">
      <c r="G189" s="12"/>
      <c r="H189" s="17"/>
      <c r="J189" s="12"/>
      <c r="K189" s="12"/>
      <c r="M189" s="12"/>
      <c r="N189" s="12"/>
    </row>
    <row r="190" spans="7:14" ht="12.75" customHeight="1" x14ac:dyDescent="0.15">
      <c r="G190" s="12"/>
      <c r="H190" s="17"/>
      <c r="J190" s="12"/>
      <c r="K190" s="12"/>
      <c r="M190" s="12"/>
      <c r="N190" s="12"/>
    </row>
    <row r="191" spans="7:14" ht="12.75" customHeight="1" x14ac:dyDescent="0.15">
      <c r="G191" s="12"/>
      <c r="H191" s="17"/>
      <c r="J191" s="12"/>
      <c r="K191" s="12"/>
      <c r="M191" s="12"/>
      <c r="N191" s="12"/>
    </row>
    <row r="192" spans="7:14" ht="12.75" customHeight="1" x14ac:dyDescent="0.15">
      <c r="G192" s="12"/>
      <c r="H192" s="17"/>
      <c r="J192" s="12"/>
      <c r="K192" s="12"/>
      <c r="M192" s="12"/>
      <c r="N192" s="12"/>
    </row>
    <row r="193" spans="7:14" ht="12.75" customHeight="1" x14ac:dyDescent="0.15">
      <c r="G193" s="12"/>
      <c r="H193" s="17"/>
      <c r="J193" s="12"/>
      <c r="K193" s="12"/>
      <c r="M193" s="12"/>
      <c r="N193" s="12"/>
    </row>
    <row r="194" spans="7:14" ht="12.75" customHeight="1" x14ac:dyDescent="0.15">
      <c r="G194" s="12"/>
      <c r="H194" s="17"/>
      <c r="J194" s="12"/>
      <c r="K194" s="12"/>
      <c r="M194" s="12"/>
      <c r="N194" s="12"/>
    </row>
    <row r="195" spans="7:14" ht="12.75" customHeight="1" x14ac:dyDescent="0.15">
      <c r="G195" s="12"/>
      <c r="H195" s="17"/>
      <c r="J195" s="12"/>
      <c r="K195" s="12"/>
      <c r="M195" s="12"/>
      <c r="N195" s="12"/>
    </row>
    <row r="196" spans="7:14" ht="12.75" customHeight="1" x14ac:dyDescent="0.15">
      <c r="G196" s="12"/>
      <c r="H196" s="17"/>
      <c r="J196" s="12"/>
      <c r="K196" s="12"/>
      <c r="M196" s="12"/>
      <c r="N196" s="12"/>
    </row>
    <row r="197" spans="7:14" ht="12.75" customHeight="1" x14ac:dyDescent="0.15">
      <c r="G197" s="12"/>
      <c r="H197" s="17"/>
      <c r="J197" s="12"/>
      <c r="K197" s="12"/>
      <c r="M197" s="12"/>
      <c r="N197" s="12"/>
    </row>
    <row r="198" spans="7:14" ht="12.75" customHeight="1" x14ac:dyDescent="0.15">
      <c r="G198" s="12"/>
      <c r="H198" s="17"/>
      <c r="J198" s="12"/>
      <c r="K198" s="12"/>
      <c r="M198" s="12"/>
      <c r="N198" s="12"/>
    </row>
    <row r="199" spans="7:14" ht="12.75" customHeight="1" x14ac:dyDescent="0.15">
      <c r="G199" s="12"/>
      <c r="H199" s="17"/>
      <c r="J199" s="12"/>
      <c r="K199" s="12"/>
      <c r="M199" s="12"/>
      <c r="N199" s="12"/>
    </row>
    <row r="200" spans="7:14" ht="12.75" customHeight="1" x14ac:dyDescent="0.15">
      <c r="G200" s="12"/>
      <c r="H200" s="17"/>
      <c r="J200" s="12"/>
      <c r="K200" s="12"/>
      <c r="M200" s="12"/>
      <c r="N200" s="12"/>
    </row>
    <row r="201" spans="7:14" ht="12.75" customHeight="1" x14ac:dyDescent="0.15">
      <c r="G201" s="12"/>
      <c r="H201" s="17"/>
      <c r="J201" s="12"/>
      <c r="K201" s="12"/>
      <c r="M201" s="12"/>
      <c r="N201" s="12"/>
    </row>
    <row r="202" spans="7:14" ht="12.75" customHeight="1" x14ac:dyDescent="0.15">
      <c r="G202" s="12"/>
      <c r="H202" s="17"/>
      <c r="J202" s="12"/>
      <c r="K202" s="12"/>
      <c r="M202" s="12"/>
      <c r="N202" s="12"/>
    </row>
    <row r="203" spans="7:14" ht="12.75" customHeight="1" x14ac:dyDescent="0.15">
      <c r="G203" s="12"/>
      <c r="H203" s="17"/>
      <c r="J203" s="12"/>
      <c r="K203" s="12"/>
      <c r="M203" s="12"/>
      <c r="N203" s="12"/>
    </row>
    <row r="204" spans="7:14" ht="12.75" customHeight="1" x14ac:dyDescent="0.15">
      <c r="G204" s="12"/>
      <c r="H204" s="17"/>
      <c r="J204" s="12"/>
      <c r="K204" s="12"/>
      <c r="M204" s="12"/>
      <c r="N204" s="12"/>
    </row>
    <row r="205" spans="7:14" ht="12.75" customHeight="1" x14ac:dyDescent="0.15">
      <c r="G205" s="12"/>
      <c r="H205" s="17"/>
      <c r="J205" s="12"/>
      <c r="K205" s="12"/>
      <c r="M205" s="12"/>
      <c r="N205" s="12"/>
    </row>
    <row r="206" spans="7:14" ht="12.75" customHeight="1" x14ac:dyDescent="0.15">
      <c r="G206" s="12"/>
      <c r="H206" s="17"/>
      <c r="J206" s="12"/>
      <c r="K206" s="12"/>
      <c r="M206" s="12"/>
      <c r="N206" s="12"/>
    </row>
    <row r="207" spans="7:14" ht="12.75" customHeight="1" x14ac:dyDescent="0.15">
      <c r="G207" s="12"/>
      <c r="H207" s="17"/>
      <c r="J207" s="12"/>
      <c r="K207" s="12"/>
      <c r="M207" s="12"/>
      <c r="N207" s="12"/>
    </row>
    <row r="208" spans="7:14" ht="12.75" customHeight="1" x14ac:dyDescent="0.15">
      <c r="G208" s="12"/>
      <c r="H208" s="17"/>
      <c r="J208" s="12"/>
      <c r="K208" s="12"/>
      <c r="M208" s="12"/>
      <c r="N208" s="12"/>
    </row>
    <row r="209" spans="7:14" ht="12.75" customHeight="1" x14ac:dyDescent="0.15">
      <c r="G209" s="12"/>
      <c r="H209" s="17"/>
      <c r="J209" s="12"/>
      <c r="K209" s="12"/>
      <c r="M209" s="12"/>
      <c r="N209" s="12"/>
    </row>
    <row r="210" spans="7:14" ht="12.75" customHeight="1" x14ac:dyDescent="0.15">
      <c r="G210" s="12"/>
      <c r="H210" s="17"/>
      <c r="J210" s="12"/>
      <c r="K210" s="12"/>
      <c r="M210" s="12"/>
      <c r="N210" s="12"/>
    </row>
    <row r="211" spans="7:14" ht="12.75" customHeight="1" x14ac:dyDescent="0.15">
      <c r="G211" s="12"/>
      <c r="H211" s="17"/>
      <c r="J211" s="12"/>
      <c r="K211" s="12"/>
      <c r="M211" s="12"/>
      <c r="N211" s="12"/>
    </row>
    <row r="212" spans="7:14" ht="12.75" customHeight="1" x14ac:dyDescent="0.15">
      <c r="G212" s="12"/>
      <c r="H212" s="17"/>
      <c r="J212" s="12"/>
      <c r="K212" s="12"/>
      <c r="M212" s="12"/>
      <c r="N212" s="12"/>
    </row>
    <row r="213" spans="7:14" ht="12.75" customHeight="1" x14ac:dyDescent="0.15">
      <c r="G213" s="12"/>
      <c r="H213" s="17"/>
      <c r="J213" s="12"/>
      <c r="K213" s="12"/>
      <c r="M213" s="12"/>
      <c r="N213" s="12"/>
    </row>
    <row r="214" spans="7:14" ht="12.75" customHeight="1" x14ac:dyDescent="0.15">
      <c r="G214" s="12"/>
      <c r="H214" s="17"/>
      <c r="J214" s="12"/>
      <c r="K214" s="12"/>
      <c r="M214" s="12"/>
      <c r="N214" s="12"/>
    </row>
    <row r="215" spans="7:14" ht="12.75" customHeight="1" x14ac:dyDescent="0.15">
      <c r="G215" s="12"/>
      <c r="H215" s="17"/>
      <c r="J215" s="12"/>
      <c r="K215" s="12"/>
      <c r="M215" s="12"/>
      <c r="N215" s="12"/>
    </row>
    <row r="216" spans="7:14" ht="12.75" customHeight="1" x14ac:dyDescent="0.15">
      <c r="G216" s="12"/>
      <c r="H216" s="17"/>
      <c r="J216" s="12"/>
      <c r="K216" s="12"/>
      <c r="M216" s="12"/>
      <c r="N216" s="12"/>
    </row>
    <row r="217" spans="7:14" ht="12.75" customHeight="1" x14ac:dyDescent="0.15">
      <c r="G217" s="12"/>
      <c r="H217" s="17"/>
      <c r="J217" s="12"/>
      <c r="K217" s="12"/>
      <c r="M217" s="12"/>
      <c r="N217" s="12"/>
    </row>
    <row r="218" spans="7:14" ht="12.75" customHeight="1" x14ac:dyDescent="0.15">
      <c r="G218" s="12"/>
      <c r="H218" s="17"/>
      <c r="J218" s="12"/>
      <c r="K218" s="12"/>
      <c r="M218" s="12"/>
      <c r="N218" s="12"/>
    </row>
    <row r="219" spans="7:14" ht="12.75" customHeight="1" x14ac:dyDescent="0.15">
      <c r="G219" s="12"/>
      <c r="H219" s="17"/>
      <c r="J219" s="12"/>
      <c r="K219" s="12"/>
      <c r="M219" s="12"/>
      <c r="N219" s="12"/>
    </row>
    <row r="220" spans="7:14" ht="12.75" customHeight="1" x14ac:dyDescent="0.15">
      <c r="G220" s="12"/>
      <c r="H220" s="17"/>
      <c r="J220" s="12"/>
      <c r="K220" s="12"/>
      <c r="M220" s="12"/>
      <c r="N220" s="12"/>
    </row>
    <row r="221" spans="7:14" ht="12.75" customHeight="1" x14ac:dyDescent="0.15">
      <c r="G221" s="12"/>
      <c r="H221" s="17"/>
      <c r="J221" s="12"/>
      <c r="K221" s="12"/>
      <c r="M221" s="12"/>
      <c r="N221" s="12"/>
    </row>
    <row r="222" spans="7:14" ht="12.75" customHeight="1" x14ac:dyDescent="0.15">
      <c r="G222" s="12"/>
      <c r="H222" s="17"/>
      <c r="J222" s="12"/>
      <c r="K222" s="12"/>
      <c r="M222" s="12"/>
      <c r="N222" s="12"/>
    </row>
    <row r="223" spans="7:14" ht="12.75" customHeight="1" x14ac:dyDescent="0.15">
      <c r="G223" s="12"/>
      <c r="H223" s="17"/>
      <c r="J223" s="12"/>
      <c r="K223" s="12"/>
      <c r="M223" s="12"/>
      <c r="N223" s="12"/>
    </row>
    <row r="224" spans="7:14" ht="12.75" customHeight="1" x14ac:dyDescent="0.15">
      <c r="G224" s="12"/>
      <c r="H224" s="17"/>
      <c r="J224" s="12"/>
      <c r="K224" s="12"/>
      <c r="M224" s="12"/>
      <c r="N224" s="12"/>
    </row>
    <row r="225" spans="7:14" ht="12.75" customHeight="1" x14ac:dyDescent="0.15">
      <c r="G225" s="12"/>
      <c r="H225" s="17"/>
      <c r="J225" s="12"/>
      <c r="K225" s="12"/>
      <c r="M225" s="12"/>
      <c r="N225" s="12"/>
    </row>
    <row r="226" spans="7:14" ht="12.75" customHeight="1" x14ac:dyDescent="0.15">
      <c r="G226" s="12"/>
      <c r="H226" s="17"/>
      <c r="J226" s="12"/>
      <c r="K226" s="12"/>
      <c r="M226" s="12"/>
      <c r="N226" s="12"/>
    </row>
    <row r="227" spans="7:14" ht="12.75" customHeight="1" x14ac:dyDescent="0.15">
      <c r="G227" s="12"/>
      <c r="H227" s="17"/>
      <c r="J227" s="12"/>
      <c r="K227" s="12"/>
      <c r="M227" s="12"/>
      <c r="N227" s="12"/>
    </row>
    <row r="228" spans="7:14" ht="12.75" customHeight="1" x14ac:dyDescent="0.15">
      <c r="G228" s="12"/>
      <c r="H228" s="17"/>
      <c r="J228" s="12"/>
      <c r="K228" s="12"/>
      <c r="M228" s="12"/>
      <c r="N228" s="12"/>
    </row>
    <row r="229" spans="7:14" ht="12.75" customHeight="1" x14ac:dyDescent="0.15">
      <c r="G229" s="12"/>
      <c r="H229" s="17"/>
      <c r="J229" s="12"/>
      <c r="K229" s="12"/>
      <c r="M229" s="12"/>
      <c r="N229" s="12"/>
    </row>
    <row r="230" spans="7:14" ht="12.75" customHeight="1" x14ac:dyDescent="0.15">
      <c r="G230" s="12"/>
      <c r="H230" s="17"/>
      <c r="J230" s="12"/>
      <c r="K230" s="12"/>
      <c r="M230" s="12"/>
      <c r="N230" s="12"/>
    </row>
    <row r="231" spans="7:14" ht="12.75" customHeight="1" x14ac:dyDescent="0.15">
      <c r="G231" s="12"/>
      <c r="H231" s="17"/>
      <c r="J231" s="12"/>
      <c r="K231" s="12"/>
      <c r="M231" s="12"/>
      <c r="N231" s="12"/>
    </row>
    <row r="232" spans="7:14" ht="12.75" customHeight="1" x14ac:dyDescent="0.15">
      <c r="G232" s="12"/>
      <c r="H232" s="17"/>
      <c r="J232" s="12"/>
      <c r="K232" s="12"/>
      <c r="M232" s="12"/>
      <c r="N232" s="12"/>
    </row>
    <row r="233" spans="7:14" ht="12.75" customHeight="1" x14ac:dyDescent="0.15">
      <c r="G233" s="12"/>
      <c r="H233" s="17"/>
      <c r="J233" s="12"/>
      <c r="K233" s="12"/>
      <c r="M233" s="12"/>
      <c r="N233" s="12"/>
    </row>
    <row r="234" spans="7:14" ht="12.75" customHeight="1" x14ac:dyDescent="0.15">
      <c r="G234" s="12"/>
      <c r="H234" s="17"/>
      <c r="J234" s="12"/>
      <c r="K234" s="12"/>
      <c r="M234" s="12"/>
      <c r="N234" s="12"/>
    </row>
    <row r="235" spans="7:14" ht="12.75" customHeight="1" x14ac:dyDescent="0.15">
      <c r="G235" s="12"/>
      <c r="H235" s="17"/>
      <c r="J235" s="12"/>
      <c r="K235" s="12"/>
      <c r="M235" s="12"/>
      <c r="N235" s="12"/>
    </row>
    <row r="236" spans="7:14" ht="12.75" customHeight="1" x14ac:dyDescent="0.15">
      <c r="G236" s="12"/>
      <c r="H236" s="17"/>
      <c r="J236" s="12"/>
      <c r="K236" s="12"/>
      <c r="M236" s="12"/>
      <c r="N236" s="12"/>
    </row>
    <row r="237" spans="7:14" ht="12.75" customHeight="1" x14ac:dyDescent="0.15">
      <c r="G237" s="12"/>
      <c r="H237" s="17"/>
      <c r="J237" s="12"/>
      <c r="K237" s="12"/>
      <c r="M237" s="12"/>
      <c r="N237" s="12"/>
    </row>
    <row r="238" spans="7:14" ht="12.75" customHeight="1" x14ac:dyDescent="0.15">
      <c r="G238" s="12"/>
      <c r="H238" s="17"/>
      <c r="J238" s="12"/>
      <c r="K238" s="12"/>
      <c r="M238" s="12"/>
      <c r="N238" s="12"/>
    </row>
    <row r="239" spans="7:14" ht="12.75" customHeight="1" x14ac:dyDescent="0.15">
      <c r="G239" s="12"/>
      <c r="H239" s="17"/>
      <c r="J239" s="12"/>
      <c r="K239" s="12"/>
      <c r="M239" s="12"/>
      <c r="N239" s="12"/>
    </row>
    <row r="240" spans="7:14" ht="12.75" customHeight="1" x14ac:dyDescent="0.15">
      <c r="G240" s="12"/>
      <c r="H240" s="17"/>
      <c r="J240" s="12"/>
      <c r="K240" s="12"/>
      <c r="M240" s="12"/>
      <c r="N240" s="12"/>
    </row>
    <row r="241" spans="7:14" ht="12.75" customHeight="1" x14ac:dyDescent="0.15">
      <c r="G241" s="12"/>
      <c r="H241" s="17"/>
      <c r="J241" s="12"/>
      <c r="K241" s="12"/>
      <c r="M241" s="12"/>
      <c r="N241" s="12"/>
    </row>
    <row r="242" spans="7:14" ht="12.75" customHeight="1" x14ac:dyDescent="0.15">
      <c r="G242" s="12"/>
      <c r="H242" s="17"/>
      <c r="J242" s="12"/>
      <c r="K242" s="12"/>
      <c r="M242" s="12"/>
      <c r="N242" s="12"/>
    </row>
    <row r="243" spans="7:14" ht="12.75" customHeight="1" x14ac:dyDescent="0.15">
      <c r="G243" s="12"/>
      <c r="H243" s="17"/>
      <c r="J243" s="12"/>
      <c r="K243" s="12"/>
      <c r="M243" s="12"/>
      <c r="N243" s="12"/>
    </row>
    <row r="244" spans="7:14" ht="12.75" customHeight="1" x14ac:dyDescent="0.15">
      <c r="G244" s="12"/>
      <c r="H244" s="17"/>
      <c r="J244" s="12"/>
      <c r="K244" s="12"/>
      <c r="M244" s="12"/>
      <c r="N244" s="12"/>
    </row>
    <row r="245" spans="7:14" ht="12.75" customHeight="1" x14ac:dyDescent="0.15">
      <c r="G245" s="12"/>
      <c r="H245" s="17"/>
      <c r="J245" s="12"/>
      <c r="K245" s="12"/>
      <c r="M245" s="12"/>
      <c r="N245" s="12"/>
    </row>
    <row r="246" spans="7:14" ht="12.75" customHeight="1" x14ac:dyDescent="0.15">
      <c r="G246" s="12"/>
      <c r="H246" s="17"/>
      <c r="J246" s="12"/>
      <c r="K246" s="12"/>
      <c r="M246" s="12"/>
      <c r="N246" s="12"/>
    </row>
    <row r="247" spans="7:14" ht="12.75" customHeight="1" x14ac:dyDescent="0.15">
      <c r="G247" s="12"/>
      <c r="H247" s="17"/>
      <c r="J247" s="12"/>
      <c r="K247" s="12"/>
      <c r="M247" s="12"/>
      <c r="N247" s="12"/>
    </row>
    <row r="248" spans="7:14" ht="12.75" customHeight="1" x14ac:dyDescent="0.15">
      <c r="G248" s="12"/>
      <c r="H248" s="17"/>
      <c r="J248" s="12"/>
      <c r="K248" s="12"/>
      <c r="M248" s="12"/>
      <c r="N248" s="12"/>
    </row>
    <row r="249" spans="7:14" ht="12.75" customHeight="1" x14ac:dyDescent="0.15">
      <c r="G249" s="12"/>
      <c r="H249" s="17"/>
      <c r="J249" s="12"/>
      <c r="K249" s="12"/>
      <c r="M249" s="12"/>
      <c r="N249" s="12"/>
    </row>
    <row r="250" spans="7:14" ht="12.75" customHeight="1" x14ac:dyDescent="0.15">
      <c r="G250" s="12"/>
      <c r="H250" s="17"/>
      <c r="J250" s="12"/>
      <c r="K250" s="12"/>
      <c r="M250" s="12"/>
      <c r="N250" s="12"/>
    </row>
    <row r="251" spans="7:14" ht="12.75" customHeight="1" x14ac:dyDescent="0.15">
      <c r="G251" s="12"/>
      <c r="H251" s="17"/>
      <c r="J251" s="12"/>
      <c r="K251" s="12"/>
      <c r="M251" s="12"/>
      <c r="N251" s="12"/>
    </row>
    <row r="252" spans="7:14" ht="12.75" customHeight="1" x14ac:dyDescent="0.15">
      <c r="G252" s="12"/>
      <c r="H252" s="17"/>
      <c r="J252" s="12"/>
      <c r="K252" s="12"/>
      <c r="M252" s="12"/>
      <c r="N252" s="12"/>
    </row>
    <row r="253" spans="7:14" ht="12.75" customHeight="1" x14ac:dyDescent="0.15">
      <c r="G253" s="12"/>
      <c r="H253" s="17"/>
      <c r="J253" s="12"/>
      <c r="K253" s="12"/>
      <c r="M253" s="12"/>
      <c r="N253" s="12"/>
    </row>
    <row r="254" spans="7:14" ht="12.75" customHeight="1" x14ac:dyDescent="0.15">
      <c r="G254" s="12"/>
      <c r="H254" s="17"/>
      <c r="J254" s="12"/>
      <c r="K254" s="12"/>
      <c r="M254" s="12"/>
      <c r="N254" s="12"/>
    </row>
    <row r="255" spans="7:14" ht="12.75" customHeight="1" x14ac:dyDescent="0.15">
      <c r="G255" s="12"/>
      <c r="H255" s="17"/>
      <c r="J255" s="12"/>
      <c r="K255" s="12"/>
      <c r="M255" s="12"/>
      <c r="N255" s="12"/>
    </row>
    <row r="256" spans="7:14" ht="12.75" customHeight="1" x14ac:dyDescent="0.15">
      <c r="G256" s="12"/>
      <c r="H256" s="17"/>
      <c r="J256" s="12"/>
      <c r="K256" s="12"/>
      <c r="M256" s="12"/>
      <c r="N256" s="12"/>
    </row>
    <row r="257" spans="7:14" ht="12.75" customHeight="1" x14ac:dyDescent="0.15">
      <c r="G257" s="12"/>
      <c r="H257" s="17"/>
      <c r="J257" s="12"/>
      <c r="K257" s="12"/>
      <c r="M257" s="12"/>
      <c r="N257" s="12"/>
    </row>
    <row r="258" spans="7:14" ht="12.75" customHeight="1" x14ac:dyDescent="0.15">
      <c r="G258" s="12"/>
      <c r="H258" s="17"/>
      <c r="J258" s="12"/>
      <c r="K258" s="12"/>
      <c r="M258" s="12"/>
      <c r="N258" s="12"/>
    </row>
    <row r="259" spans="7:14" ht="12.75" customHeight="1" x14ac:dyDescent="0.15">
      <c r="G259" s="12"/>
      <c r="H259" s="17"/>
      <c r="J259" s="12"/>
      <c r="K259" s="12"/>
      <c r="M259" s="12"/>
      <c r="N259" s="12"/>
    </row>
    <row r="260" spans="7:14" ht="12.75" customHeight="1" x14ac:dyDescent="0.15">
      <c r="G260" s="12"/>
      <c r="H260" s="17"/>
      <c r="J260" s="12"/>
      <c r="K260" s="12"/>
      <c r="M260" s="12"/>
      <c r="N260" s="12"/>
    </row>
    <row r="261" spans="7:14" ht="12.75" customHeight="1" x14ac:dyDescent="0.15">
      <c r="G261" s="12"/>
      <c r="H261" s="17"/>
      <c r="J261" s="12"/>
      <c r="K261" s="12"/>
      <c r="M261" s="12"/>
      <c r="N261" s="12"/>
    </row>
    <row r="262" spans="7:14" ht="12.75" customHeight="1" x14ac:dyDescent="0.15">
      <c r="G262" s="12"/>
      <c r="H262" s="17"/>
      <c r="J262" s="12"/>
      <c r="K262" s="12"/>
      <c r="M262" s="12"/>
      <c r="N262" s="12"/>
    </row>
    <row r="263" spans="7:14" ht="12.75" customHeight="1" x14ac:dyDescent="0.15">
      <c r="G263" s="12"/>
      <c r="H263" s="17"/>
      <c r="J263" s="12"/>
      <c r="K263" s="12"/>
      <c r="M263" s="12"/>
      <c r="N263" s="12"/>
    </row>
    <row r="264" spans="7:14" ht="12.75" customHeight="1" x14ac:dyDescent="0.15">
      <c r="G264" s="12"/>
      <c r="H264" s="17"/>
      <c r="J264" s="12"/>
      <c r="K264" s="12"/>
      <c r="M264" s="12"/>
      <c r="N264" s="12"/>
    </row>
    <row r="265" spans="7:14" ht="12.75" customHeight="1" x14ac:dyDescent="0.15">
      <c r="G265" s="12"/>
      <c r="H265" s="17"/>
      <c r="J265" s="12"/>
      <c r="K265" s="12"/>
      <c r="M265" s="12"/>
      <c r="N265" s="12"/>
    </row>
    <row r="266" spans="7:14" ht="12.75" customHeight="1" x14ac:dyDescent="0.15">
      <c r="G266" s="12"/>
      <c r="H266" s="17"/>
      <c r="J266" s="12"/>
      <c r="K266" s="12"/>
      <c r="M266" s="12"/>
      <c r="N266" s="12"/>
    </row>
    <row r="267" spans="7:14" ht="12.75" customHeight="1" x14ac:dyDescent="0.15">
      <c r="G267" s="12"/>
      <c r="H267" s="17"/>
      <c r="J267" s="12"/>
      <c r="K267" s="12"/>
      <c r="M267" s="12"/>
      <c r="N267" s="12"/>
    </row>
    <row r="268" spans="7:14" ht="12.75" customHeight="1" x14ac:dyDescent="0.15">
      <c r="G268" s="12"/>
      <c r="H268" s="17"/>
      <c r="J268" s="12"/>
      <c r="K268" s="12"/>
      <c r="M268" s="12"/>
      <c r="N268" s="12"/>
    </row>
    <row r="269" spans="7:14" ht="12.75" customHeight="1" x14ac:dyDescent="0.15">
      <c r="G269" s="12"/>
      <c r="H269" s="17"/>
      <c r="J269" s="12"/>
      <c r="K269" s="12"/>
      <c r="M269" s="12"/>
      <c r="N269" s="12"/>
    </row>
    <row r="270" spans="7:14" ht="12.75" customHeight="1" x14ac:dyDescent="0.15">
      <c r="G270" s="12"/>
      <c r="H270" s="17"/>
      <c r="J270" s="12"/>
      <c r="K270" s="12"/>
      <c r="M270" s="12"/>
      <c r="N270" s="12"/>
    </row>
    <row r="271" spans="7:14" ht="12.75" customHeight="1" x14ac:dyDescent="0.15">
      <c r="G271" s="12"/>
      <c r="H271" s="17"/>
      <c r="J271" s="12"/>
      <c r="K271" s="12"/>
      <c r="M271" s="12"/>
      <c r="N271" s="12"/>
    </row>
    <row r="272" spans="7:14" ht="12.75" customHeight="1" x14ac:dyDescent="0.15">
      <c r="G272" s="12"/>
      <c r="H272" s="17"/>
      <c r="J272" s="12"/>
      <c r="K272" s="12"/>
      <c r="M272" s="12"/>
      <c r="N272" s="12"/>
    </row>
    <row r="273" spans="7:14" ht="12.75" customHeight="1" x14ac:dyDescent="0.15">
      <c r="G273" s="12"/>
      <c r="H273" s="17"/>
      <c r="J273" s="12"/>
      <c r="K273" s="12"/>
      <c r="M273" s="12"/>
      <c r="N273" s="12"/>
    </row>
    <row r="274" spans="7:14" ht="12.75" customHeight="1" x14ac:dyDescent="0.15">
      <c r="G274" s="12"/>
      <c r="H274" s="17"/>
      <c r="J274" s="12"/>
      <c r="K274" s="12"/>
      <c r="M274" s="12"/>
      <c r="N274" s="12"/>
    </row>
    <row r="275" spans="7:14" ht="12.75" customHeight="1" x14ac:dyDescent="0.15">
      <c r="G275" s="12"/>
      <c r="H275" s="17"/>
      <c r="J275" s="12"/>
      <c r="K275" s="12"/>
      <c r="M275" s="12"/>
      <c r="N275" s="12"/>
    </row>
    <row r="276" spans="7:14" ht="12.75" customHeight="1" x14ac:dyDescent="0.15">
      <c r="G276" s="12"/>
      <c r="H276" s="17"/>
      <c r="J276" s="12"/>
      <c r="K276" s="12"/>
      <c r="M276" s="12"/>
      <c r="N276" s="12"/>
    </row>
    <row r="277" spans="7:14" ht="12.75" customHeight="1" x14ac:dyDescent="0.15">
      <c r="G277" s="12"/>
      <c r="H277" s="17"/>
      <c r="J277" s="12"/>
      <c r="K277" s="12"/>
      <c r="M277" s="12"/>
      <c r="N277" s="12"/>
    </row>
    <row r="278" spans="7:14" ht="12.75" customHeight="1" x14ac:dyDescent="0.15">
      <c r="G278" s="12"/>
      <c r="H278" s="17"/>
      <c r="J278" s="12"/>
      <c r="K278" s="12"/>
      <c r="M278" s="12"/>
      <c r="N278" s="12"/>
    </row>
    <row r="279" spans="7:14" ht="12.75" customHeight="1" x14ac:dyDescent="0.15">
      <c r="G279" s="12"/>
      <c r="H279" s="17"/>
      <c r="J279" s="12"/>
      <c r="K279" s="12"/>
      <c r="M279" s="12"/>
      <c r="N279" s="12"/>
    </row>
    <row r="280" spans="7:14" ht="12.75" customHeight="1" x14ac:dyDescent="0.15">
      <c r="G280" s="12"/>
      <c r="H280" s="17"/>
      <c r="J280" s="12"/>
      <c r="K280" s="12"/>
      <c r="M280" s="12"/>
      <c r="N280" s="12"/>
    </row>
    <row r="281" spans="7:14" ht="12.75" customHeight="1" x14ac:dyDescent="0.15">
      <c r="G281" s="12"/>
      <c r="H281" s="17"/>
      <c r="J281" s="12"/>
      <c r="K281" s="12"/>
      <c r="M281" s="12"/>
      <c r="N281" s="12"/>
    </row>
    <row r="282" spans="7:14" ht="12.75" customHeight="1" x14ac:dyDescent="0.15">
      <c r="G282" s="12"/>
      <c r="H282" s="17"/>
      <c r="J282" s="12"/>
      <c r="K282" s="12"/>
      <c r="M282" s="12"/>
      <c r="N282" s="12"/>
    </row>
    <row r="283" spans="7:14" ht="12.75" customHeight="1" x14ac:dyDescent="0.15">
      <c r="G283" s="12"/>
      <c r="H283" s="17"/>
      <c r="J283" s="12"/>
      <c r="K283" s="12"/>
      <c r="M283" s="12"/>
      <c r="N283" s="12"/>
    </row>
    <row r="284" spans="7:14" ht="12.75" customHeight="1" x14ac:dyDescent="0.15">
      <c r="G284" s="12"/>
      <c r="H284" s="17"/>
      <c r="J284" s="12"/>
      <c r="K284" s="12"/>
      <c r="M284" s="12"/>
      <c r="N284" s="12"/>
    </row>
    <row r="285" spans="7:14" ht="12.75" customHeight="1" x14ac:dyDescent="0.15">
      <c r="G285" s="12"/>
      <c r="H285" s="17"/>
      <c r="J285" s="12"/>
      <c r="K285" s="12"/>
      <c r="M285" s="12"/>
      <c r="N285" s="12"/>
    </row>
    <row r="286" spans="7:14" ht="12.75" customHeight="1" x14ac:dyDescent="0.15">
      <c r="G286" s="12"/>
      <c r="H286" s="17"/>
      <c r="J286" s="12"/>
      <c r="K286" s="12"/>
      <c r="M286" s="12"/>
      <c r="N286" s="12"/>
    </row>
    <row r="287" spans="7:14" ht="12.75" customHeight="1" x14ac:dyDescent="0.15">
      <c r="G287" s="12"/>
      <c r="H287" s="17"/>
      <c r="J287" s="12"/>
      <c r="K287" s="12"/>
      <c r="M287" s="12"/>
      <c r="N287" s="12"/>
    </row>
    <row r="288" spans="7:14" ht="12.75" customHeight="1" x14ac:dyDescent="0.15">
      <c r="G288" s="12"/>
      <c r="H288" s="17"/>
      <c r="J288" s="12"/>
      <c r="K288" s="12"/>
      <c r="M288" s="12"/>
      <c r="N288" s="12"/>
    </row>
    <row r="289" spans="7:14" ht="12.75" customHeight="1" x14ac:dyDescent="0.15">
      <c r="G289" s="12"/>
      <c r="H289" s="17"/>
      <c r="J289" s="12"/>
      <c r="K289" s="12"/>
      <c r="M289" s="12"/>
      <c r="N289" s="12"/>
    </row>
    <row r="290" spans="7:14" ht="12.75" customHeight="1" x14ac:dyDescent="0.15">
      <c r="G290" s="12"/>
      <c r="H290" s="17"/>
      <c r="J290" s="12"/>
      <c r="K290" s="12"/>
      <c r="M290" s="12"/>
      <c r="N290" s="12"/>
    </row>
    <row r="291" spans="7:14" ht="12.75" customHeight="1" x14ac:dyDescent="0.15">
      <c r="G291" s="12"/>
      <c r="H291" s="17"/>
      <c r="J291" s="12"/>
      <c r="K291" s="12"/>
      <c r="M291" s="12"/>
      <c r="N291" s="12"/>
    </row>
    <row r="292" spans="7:14" ht="12.75" customHeight="1" x14ac:dyDescent="0.15">
      <c r="G292" s="12"/>
      <c r="H292" s="17"/>
      <c r="J292" s="12"/>
      <c r="K292" s="12"/>
      <c r="M292" s="12"/>
      <c r="N292" s="12"/>
    </row>
    <row r="293" spans="7:14" ht="12.75" customHeight="1" x14ac:dyDescent="0.15">
      <c r="G293" s="12"/>
      <c r="H293" s="17"/>
      <c r="J293" s="12"/>
      <c r="K293" s="12"/>
      <c r="M293" s="12"/>
      <c r="N293" s="12"/>
    </row>
    <row r="294" spans="7:14" ht="12.75" customHeight="1" x14ac:dyDescent="0.15">
      <c r="G294" s="12"/>
      <c r="H294" s="17"/>
      <c r="J294" s="12"/>
      <c r="K294" s="12"/>
      <c r="M294" s="12"/>
      <c r="N294" s="12"/>
    </row>
    <row r="295" spans="7:14" ht="12.75" customHeight="1" x14ac:dyDescent="0.15">
      <c r="G295" s="12"/>
      <c r="H295" s="17"/>
      <c r="J295" s="12"/>
      <c r="K295" s="12"/>
      <c r="M295" s="12"/>
      <c r="N295" s="12"/>
    </row>
    <row r="296" spans="7:14" ht="12.75" customHeight="1" x14ac:dyDescent="0.15">
      <c r="G296" s="12"/>
      <c r="H296" s="17"/>
      <c r="J296" s="12"/>
      <c r="K296" s="12"/>
      <c r="M296" s="12"/>
      <c r="N296" s="12"/>
    </row>
    <row r="297" spans="7:14" ht="12.75" customHeight="1" x14ac:dyDescent="0.15">
      <c r="G297" s="12"/>
      <c r="H297" s="17"/>
      <c r="J297" s="12"/>
      <c r="K297" s="12"/>
      <c r="M297" s="12"/>
      <c r="N297" s="12"/>
    </row>
    <row r="298" spans="7:14" ht="12.75" customHeight="1" x14ac:dyDescent="0.15">
      <c r="G298" s="12"/>
      <c r="H298" s="17"/>
      <c r="J298" s="12"/>
      <c r="K298" s="12"/>
      <c r="M298" s="12"/>
      <c r="N298" s="12"/>
    </row>
    <row r="299" spans="7:14" ht="12.75" customHeight="1" x14ac:dyDescent="0.15">
      <c r="G299" s="12"/>
      <c r="H299" s="17"/>
      <c r="J299" s="12"/>
      <c r="K299" s="12"/>
      <c r="M299" s="12"/>
      <c r="N299" s="12"/>
    </row>
    <row r="300" spans="7:14" ht="12.75" customHeight="1" x14ac:dyDescent="0.15">
      <c r="G300" s="12"/>
      <c r="H300" s="17"/>
      <c r="J300" s="12"/>
      <c r="K300" s="12"/>
      <c r="M300" s="12"/>
      <c r="N300" s="12"/>
    </row>
    <row r="301" spans="7:14" ht="12.75" customHeight="1" x14ac:dyDescent="0.15">
      <c r="G301" s="12"/>
      <c r="H301" s="17"/>
      <c r="J301" s="12"/>
      <c r="K301" s="12"/>
      <c r="M301" s="12"/>
      <c r="N301" s="12"/>
    </row>
    <row r="302" spans="7:14" ht="12.75" customHeight="1" x14ac:dyDescent="0.15">
      <c r="G302" s="12"/>
      <c r="H302" s="17"/>
      <c r="J302" s="12"/>
      <c r="K302" s="12"/>
      <c r="M302" s="12"/>
      <c r="N302" s="12"/>
    </row>
    <row r="303" spans="7:14" ht="12.75" customHeight="1" x14ac:dyDescent="0.15">
      <c r="G303" s="12"/>
      <c r="H303" s="17"/>
      <c r="J303" s="12"/>
      <c r="K303" s="12"/>
      <c r="M303" s="12"/>
      <c r="N303" s="12"/>
    </row>
    <row r="304" spans="7:14" ht="12.75" customHeight="1" x14ac:dyDescent="0.15">
      <c r="G304" s="12"/>
      <c r="H304" s="17"/>
      <c r="J304" s="12"/>
      <c r="K304" s="12"/>
      <c r="M304" s="12"/>
      <c r="N304" s="12"/>
    </row>
    <row r="305" spans="7:14" ht="12.75" customHeight="1" x14ac:dyDescent="0.15">
      <c r="G305" s="12"/>
      <c r="H305" s="17"/>
      <c r="J305" s="12"/>
      <c r="K305" s="12"/>
      <c r="M305" s="12"/>
      <c r="N305" s="12"/>
    </row>
    <row r="306" spans="7:14" ht="12.75" customHeight="1" x14ac:dyDescent="0.15">
      <c r="G306" s="12"/>
      <c r="H306" s="17"/>
      <c r="J306" s="12"/>
      <c r="K306" s="12"/>
      <c r="M306" s="12"/>
      <c r="N306" s="12"/>
    </row>
    <row r="307" spans="7:14" ht="12.75" customHeight="1" x14ac:dyDescent="0.15">
      <c r="G307" s="12"/>
      <c r="H307" s="17"/>
      <c r="J307" s="12"/>
      <c r="K307" s="12"/>
      <c r="M307" s="12"/>
      <c r="N307" s="12"/>
    </row>
    <row r="308" spans="7:14" ht="12.75" customHeight="1" x14ac:dyDescent="0.15">
      <c r="G308" s="12"/>
      <c r="H308" s="17"/>
      <c r="J308" s="12"/>
      <c r="K308" s="12"/>
      <c r="M308" s="12"/>
      <c r="N308" s="12"/>
    </row>
    <row r="309" spans="7:14" ht="12.75" customHeight="1" x14ac:dyDescent="0.15">
      <c r="G309" s="12"/>
      <c r="H309" s="17"/>
      <c r="J309" s="12"/>
      <c r="K309" s="12"/>
      <c r="M309" s="12"/>
      <c r="N309" s="12"/>
    </row>
    <row r="310" spans="7:14" ht="12.75" customHeight="1" x14ac:dyDescent="0.15">
      <c r="G310" s="12"/>
      <c r="H310" s="17"/>
      <c r="J310" s="12"/>
      <c r="K310" s="12"/>
      <c r="M310" s="12"/>
      <c r="N310" s="12"/>
    </row>
    <row r="311" spans="7:14" ht="12.75" customHeight="1" x14ac:dyDescent="0.15">
      <c r="G311" s="12"/>
      <c r="H311" s="17"/>
      <c r="J311" s="12"/>
      <c r="K311" s="12"/>
      <c r="M311" s="12"/>
      <c r="N311" s="12"/>
    </row>
    <row r="312" spans="7:14" ht="12.75" customHeight="1" x14ac:dyDescent="0.15">
      <c r="G312" s="12"/>
      <c r="H312" s="17"/>
      <c r="J312" s="12"/>
      <c r="K312" s="12"/>
      <c r="M312" s="12"/>
      <c r="N312" s="12"/>
    </row>
    <row r="313" spans="7:14" ht="12.75" customHeight="1" x14ac:dyDescent="0.15">
      <c r="G313" s="12"/>
      <c r="H313" s="17"/>
      <c r="J313" s="12"/>
      <c r="K313" s="12"/>
      <c r="M313" s="12"/>
      <c r="N313" s="12"/>
    </row>
    <row r="314" spans="7:14" ht="12.75" customHeight="1" x14ac:dyDescent="0.15">
      <c r="G314" s="12"/>
      <c r="H314" s="17"/>
      <c r="J314" s="12"/>
      <c r="K314" s="12"/>
      <c r="M314" s="12"/>
      <c r="N314" s="12"/>
    </row>
    <row r="315" spans="7:14" ht="12.75" customHeight="1" x14ac:dyDescent="0.15">
      <c r="G315" s="12"/>
      <c r="H315" s="17"/>
      <c r="J315" s="12"/>
      <c r="K315" s="12"/>
      <c r="M315" s="12"/>
      <c r="N315" s="12"/>
    </row>
    <row r="316" spans="7:14" ht="12.75" customHeight="1" x14ac:dyDescent="0.15">
      <c r="G316" s="12"/>
      <c r="H316" s="17"/>
      <c r="J316" s="12"/>
      <c r="K316" s="12"/>
      <c r="M316" s="12"/>
      <c r="N316" s="12"/>
    </row>
    <row r="317" spans="7:14" ht="12.75" customHeight="1" x14ac:dyDescent="0.15">
      <c r="G317" s="12"/>
      <c r="H317" s="17"/>
      <c r="J317" s="12"/>
      <c r="K317" s="12"/>
      <c r="M317" s="12"/>
      <c r="N317" s="12"/>
    </row>
    <row r="318" spans="7:14" ht="12.75" customHeight="1" x14ac:dyDescent="0.15">
      <c r="G318" s="12"/>
      <c r="H318" s="17"/>
      <c r="J318" s="12"/>
      <c r="K318" s="12"/>
      <c r="M318" s="12"/>
      <c r="N318" s="12"/>
    </row>
    <row r="319" spans="7:14" ht="12.75" customHeight="1" x14ac:dyDescent="0.15">
      <c r="G319" s="12"/>
      <c r="H319" s="17"/>
      <c r="J319" s="12"/>
      <c r="K319" s="12"/>
      <c r="M319" s="12"/>
      <c r="N319" s="12"/>
    </row>
    <row r="320" spans="7:14" ht="12.75" customHeight="1" x14ac:dyDescent="0.15">
      <c r="G320" s="12"/>
      <c r="H320" s="17"/>
      <c r="J320" s="12"/>
      <c r="K320" s="12"/>
      <c r="M320" s="12"/>
      <c r="N320" s="12"/>
    </row>
    <row r="321" spans="7:14" ht="12.75" customHeight="1" x14ac:dyDescent="0.15">
      <c r="G321" s="12"/>
      <c r="H321" s="17"/>
      <c r="J321" s="12"/>
      <c r="K321" s="12"/>
      <c r="M321" s="12"/>
      <c r="N321" s="12"/>
    </row>
    <row r="322" spans="7:14" ht="12.75" customHeight="1" x14ac:dyDescent="0.15">
      <c r="G322" s="12"/>
      <c r="H322" s="17"/>
      <c r="J322" s="12"/>
      <c r="K322" s="12"/>
      <c r="M322" s="12"/>
      <c r="N322" s="12"/>
    </row>
    <row r="323" spans="7:14" ht="12.75" customHeight="1" x14ac:dyDescent="0.15">
      <c r="G323" s="12"/>
      <c r="H323" s="17"/>
      <c r="J323" s="12"/>
      <c r="K323" s="12"/>
      <c r="M323" s="12"/>
      <c r="N323" s="12"/>
    </row>
    <row r="324" spans="7:14" ht="12.75" customHeight="1" x14ac:dyDescent="0.15">
      <c r="G324" s="12"/>
      <c r="H324" s="17"/>
      <c r="J324" s="12"/>
      <c r="K324" s="12"/>
      <c r="M324" s="12"/>
      <c r="N324" s="12"/>
    </row>
    <row r="325" spans="7:14" ht="12.75" customHeight="1" x14ac:dyDescent="0.15">
      <c r="G325" s="12"/>
      <c r="H325" s="17"/>
      <c r="J325" s="12"/>
      <c r="K325" s="12"/>
      <c r="M325" s="12"/>
      <c r="N325" s="12"/>
    </row>
    <row r="326" spans="7:14" ht="12.75" customHeight="1" x14ac:dyDescent="0.15">
      <c r="G326" s="12"/>
      <c r="H326" s="17"/>
      <c r="J326" s="12"/>
      <c r="K326" s="12"/>
      <c r="M326" s="12"/>
      <c r="N326" s="12"/>
    </row>
    <row r="327" spans="7:14" ht="12.75" customHeight="1" x14ac:dyDescent="0.15">
      <c r="G327" s="12"/>
      <c r="H327" s="17"/>
      <c r="J327" s="12"/>
      <c r="K327" s="12"/>
      <c r="M327" s="12"/>
      <c r="N327" s="12"/>
    </row>
    <row r="328" spans="7:14" ht="12.75" customHeight="1" x14ac:dyDescent="0.15">
      <c r="G328" s="12"/>
      <c r="H328" s="17"/>
      <c r="J328" s="12"/>
      <c r="K328" s="12"/>
      <c r="M328" s="12"/>
      <c r="N328" s="12"/>
    </row>
    <row r="329" spans="7:14" ht="12.75" customHeight="1" x14ac:dyDescent="0.15">
      <c r="G329" s="12"/>
      <c r="H329" s="17"/>
      <c r="J329" s="12"/>
      <c r="K329" s="12"/>
      <c r="M329" s="12"/>
      <c r="N329" s="12"/>
    </row>
    <row r="330" spans="7:14" ht="12.75" customHeight="1" x14ac:dyDescent="0.15">
      <c r="G330" s="12"/>
      <c r="H330" s="17"/>
      <c r="J330" s="12"/>
      <c r="K330" s="12"/>
      <c r="M330" s="12"/>
      <c r="N330" s="12"/>
    </row>
    <row r="331" spans="7:14" ht="12.75" customHeight="1" x14ac:dyDescent="0.15">
      <c r="G331" s="12"/>
      <c r="H331" s="17"/>
      <c r="J331" s="12"/>
      <c r="K331" s="12"/>
      <c r="M331" s="12"/>
      <c r="N331" s="12"/>
    </row>
    <row r="332" spans="7:14" ht="12.75" customHeight="1" x14ac:dyDescent="0.15">
      <c r="G332" s="12"/>
      <c r="H332" s="17"/>
      <c r="J332" s="12"/>
      <c r="K332" s="12"/>
      <c r="M332" s="12"/>
      <c r="N332" s="12"/>
    </row>
    <row r="333" spans="7:14" ht="12.75" customHeight="1" x14ac:dyDescent="0.15">
      <c r="G333" s="12"/>
      <c r="H333" s="17"/>
      <c r="J333" s="12"/>
      <c r="K333" s="12"/>
      <c r="M333" s="12"/>
      <c r="N333" s="12"/>
    </row>
    <row r="334" spans="7:14" ht="12.75" customHeight="1" x14ac:dyDescent="0.15">
      <c r="G334" s="12"/>
      <c r="H334" s="17"/>
      <c r="J334" s="12"/>
      <c r="K334" s="12"/>
      <c r="M334" s="12"/>
      <c r="N334" s="12"/>
    </row>
    <row r="335" spans="7:14" ht="12.75" customHeight="1" x14ac:dyDescent="0.15">
      <c r="G335" s="12"/>
      <c r="H335" s="17"/>
      <c r="J335" s="12"/>
      <c r="K335" s="12"/>
      <c r="M335" s="12"/>
      <c r="N335" s="12"/>
    </row>
    <row r="336" spans="7:14" ht="12.75" customHeight="1" x14ac:dyDescent="0.15">
      <c r="G336" s="12"/>
      <c r="H336" s="17"/>
      <c r="J336" s="12"/>
      <c r="K336" s="12"/>
      <c r="M336" s="12"/>
      <c r="N336" s="12"/>
    </row>
    <row r="337" spans="7:14" ht="12.75" customHeight="1" x14ac:dyDescent="0.15">
      <c r="G337" s="12"/>
      <c r="H337" s="17"/>
      <c r="J337" s="12"/>
      <c r="K337" s="12"/>
      <c r="M337" s="12"/>
      <c r="N337" s="12"/>
    </row>
    <row r="338" spans="7:14" ht="12.75" customHeight="1" x14ac:dyDescent="0.15">
      <c r="G338" s="12"/>
      <c r="H338" s="17"/>
      <c r="J338" s="12"/>
      <c r="K338" s="12"/>
      <c r="M338" s="12"/>
      <c r="N338" s="12"/>
    </row>
    <row r="339" spans="7:14" ht="12.75" customHeight="1" x14ac:dyDescent="0.15">
      <c r="G339" s="12"/>
      <c r="H339" s="17"/>
      <c r="J339" s="12"/>
      <c r="K339" s="12"/>
      <c r="M339" s="12"/>
      <c r="N339" s="12"/>
    </row>
    <row r="340" spans="7:14" ht="12.75" customHeight="1" x14ac:dyDescent="0.15">
      <c r="G340" s="12"/>
      <c r="H340" s="17"/>
      <c r="J340" s="12"/>
      <c r="K340" s="12"/>
      <c r="M340" s="12"/>
      <c r="N340" s="12"/>
    </row>
    <row r="341" spans="7:14" ht="12.75" customHeight="1" x14ac:dyDescent="0.15">
      <c r="G341" s="12"/>
      <c r="H341" s="17"/>
      <c r="J341" s="12"/>
      <c r="K341" s="12"/>
      <c r="M341" s="12"/>
      <c r="N341" s="12"/>
    </row>
    <row r="342" spans="7:14" ht="12.75" customHeight="1" x14ac:dyDescent="0.15">
      <c r="G342" s="12"/>
      <c r="H342" s="17"/>
      <c r="J342" s="12"/>
      <c r="K342" s="12"/>
      <c r="M342" s="12"/>
      <c r="N342" s="12"/>
    </row>
    <row r="343" spans="7:14" ht="12.75" customHeight="1" x14ac:dyDescent="0.15">
      <c r="G343" s="12"/>
      <c r="H343" s="17"/>
      <c r="J343" s="12"/>
      <c r="K343" s="12"/>
      <c r="M343" s="12"/>
      <c r="N343" s="12"/>
    </row>
    <row r="344" spans="7:14" ht="12.75" customHeight="1" x14ac:dyDescent="0.15">
      <c r="G344" s="12"/>
      <c r="H344" s="17"/>
      <c r="J344" s="12"/>
      <c r="K344" s="12"/>
      <c r="M344" s="12"/>
      <c r="N344" s="12"/>
    </row>
    <row r="345" spans="7:14" ht="12.75" customHeight="1" x14ac:dyDescent="0.15">
      <c r="G345" s="12"/>
      <c r="H345" s="17"/>
      <c r="J345" s="12"/>
      <c r="K345" s="12"/>
      <c r="M345" s="12"/>
      <c r="N345" s="12"/>
    </row>
    <row r="346" spans="7:14" ht="12.75" customHeight="1" x14ac:dyDescent="0.15">
      <c r="G346" s="12"/>
      <c r="H346" s="17"/>
      <c r="J346" s="12"/>
      <c r="K346" s="12"/>
      <c r="M346" s="12"/>
      <c r="N346" s="12"/>
    </row>
    <row r="347" spans="7:14" ht="12.75" customHeight="1" x14ac:dyDescent="0.15">
      <c r="G347" s="12"/>
      <c r="H347" s="17"/>
      <c r="J347" s="12"/>
      <c r="K347" s="12"/>
      <c r="M347" s="12"/>
      <c r="N347" s="12"/>
    </row>
    <row r="348" spans="7:14" ht="12.75" customHeight="1" x14ac:dyDescent="0.15">
      <c r="G348" s="12"/>
      <c r="H348" s="17"/>
      <c r="J348" s="12"/>
      <c r="K348" s="12"/>
      <c r="M348" s="12"/>
      <c r="N348" s="12"/>
    </row>
    <row r="349" spans="7:14" ht="12.75" customHeight="1" x14ac:dyDescent="0.15">
      <c r="G349" s="12"/>
      <c r="H349" s="17"/>
      <c r="J349" s="12"/>
      <c r="K349" s="12"/>
      <c r="M349" s="12"/>
      <c r="N349" s="12"/>
    </row>
    <row r="350" spans="7:14" ht="12.75" customHeight="1" x14ac:dyDescent="0.15">
      <c r="G350" s="12"/>
      <c r="H350" s="17"/>
      <c r="J350" s="12"/>
      <c r="K350" s="12"/>
      <c r="M350" s="12"/>
      <c r="N350" s="12"/>
    </row>
    <row r="351" spans="7:14" ht="12.75" customHeight="1" x14ac:dyDescent="0.15">
      <c r="G351" s="12"/>
      <c r="H351" s="17"/>
      <c r="J351" s="12"/>
      <c r="K351" s="12"/>
      <c r="M351" s="12"/>
      <c r="N351" s="12"/>
    </row>
    <row r="352" spans="7:14" ht="12.75" customHeight="1" x14ac:dyDescent="0.15">
      <c r="G352" s="12"/>
      <c r="H352" s="17"/>
      <c r="J352" s="12"/>
      <c r="K352" s="12"/>
      <c r="M352" s="12"/>
      <c r="N352" s="12"/>
    </row>
    <row r="353" spans="7:14" ht="12.75" customHeight="1" x14ac:dyDescent="0.15">
      <c r="G353" s="12"/>
      <c r="H353" s="17"/>
      <c r="J353" s="12"/>
      <c r="K353" s="12"/>
      <c r="M353" s="12"/>
      <c r="N353" s="12"/>
    </row>
    <row r="354" spans="7:14" ht="12.75" customHeight="1" x14ac:dyDescent="0.15">
      <c r="G354" s="12"/>
      <c r="H354" s="17"/>
      <c r="J354" s="12"/>
      <c r="K354" s="12"/>
      <c r="M354" s="12"/>
      <c r="N354" s="12"/>
    </row>
    <row r="355" spans="7:14" ht="12.75" customHeight="1" x14ac:dyDescent="0.15">
      <c r="G355" s="12"/>
      <c r="H355" s="17"/>
      <c r="J355" s="12"/>
      <c r="K355" s="12"/>
      <c r="M355" s="12"/>
      <c r="N355" s="12"/>
    </row>
    <row r="356" spans="7:14" ht="12.75" customHeight="1" x14ac:dyDescent="0.15">
      <c r="G356" s="12"/>
      <c r="H356" s="17"/>
      <c r="J356" s="12"/>
      <c r="K356" s="12"/>
      <c r="M356" s="12"/>
      <c r="N356" s="12"/>
    </row>
    <row r="357" spans="7:14" ht="12.75" customHeight="1" x14ac:dyDescent="0.15">
      <c r="G357" s="12"/>
      <c r="H357" s="17"/>
      <c r="J357" s="12"/>
      <c r="K357" s="12"/>
      <c r="M357" s="12"/>
      <c r="N357" s="12"/>
    </row>
    <row r="358" spans="7:14" ht="12.75" customHeight="1" x14ac:dyDescent="0.15">
      <c r="G358" s="12"/>
      <c r="H358" s="17"/>
      <c r="J358" s="12"/>
      <c r="K358" s="12"/>
      <c r="M358" s="12"/>
      <c r="N358" s="12"/>
    </row>
    <row r="359" spans="7:14" ht="12.75" customHeight="1" x14ac:dyDescent="0.15">
      <c r="G359" s="12"/>
      <c r="H359" s="17"/>
      <c r="J359" s="12"/>
      <c r="K359" s="12"/>
      <c r="M359" s="12"/>
      <c r="N359" s="12"/>
    </row>
    <row r="360" spans="7:14" ht="12.75" customHeight="1" x14ac:dyDescent="0.15">
      <c r="G360" s="12"/>
      <c r="H360" s="17"/>
      <c r="J360" s="12"/>
      <c r="K360" s="12"/>
      <c r="M360" s="12"/>
      <c r="N360" s="12"/>
    </row>
    <row r="361" spans="7:14" ht="12.75" customHeight="1" x14ac:dyDescent="0.15">
      <c r="G361" s="12"/>
      <c r="H361" s="17"/>
      <c r="J361" s="12"/>
      <c r="K361" s="12"/>
      <c r="M361" s="12"/>
      <c r="N361" s="12"/>
    </row>
    <row r="362" spans="7:14" ht="12.75" customHeight="1" x14ac:dyDescent="0.15">
      <c r="G362" s="12"/>
      <c r="H362" s="17"/>
      <c r="J362" s="12"/>
      <c r="K362" s="12"/>
      <c r="M362" s="12"/>
      <c r="N362" s="12"/>
    </row>
    <row r="363" spans="7:14" ht="12.75" customHeight="1" x14ac:dyDescent="0.15">
      <c r="G363" s="12"/>
      <c r="H363" s="17"/>
      <c r="J363" s="12"/>
      <c r="K363" s="12"/>
      <c r="M363" s="12"/>
      <c r="N363" s="12"/>
    </row>
    <row r="364" spans="7:14" ht="12.75" customHeight="1" x14ac:dyDescent="0.15">
      <c r="G364" s="12"/>
      <c r="H364" s="17"/>
      <c r="J364" s="12"/>
      <c r="K364" s="12"/>
      <c r="M364" s="12"/>
      <c r="N364" s="12"/>
    </row>
    <row r="365" spans="7:14" ht="12.75" customHeight="1" x14ac:dyDescent="0.15">
      <c r="G365" s="12"/>
      <c r="H365" s="17"/>
      <c r="J365" s="12"/>
      <c r="K365" s="12"/>
      <c r="M365" s="12"/>
      <c r="N365" s="12"/>
    </row>
    <row r="366" spans="7:14" ht="12.75" customHeight="1" x14ac:dyDescent="0.15">
      <c r="G366" s="12"/>
      <c r="H366" s="17"/>
      <c r="J366" s="12"/>
      <c r="K366" s="12"/>
      <c r="M366" s="12"/>
      <c r="N366" s="12"/>
    </row>
    <row r="367" spans="7:14" ht="12.75" customHeight="1" x14ac:dyDescent="0.15">
      <c r="G367" s="12"/>
      <c r="H367" s="17"/>
      <c r="J367" s="12"/>
      <c r="K367" s="12"/>
      <c r="M367" s="12"/>
      <c r="N367" s="12"/>
    </row>
    <row r="368" spans="7:14" ht="12.75" customHeight="1" x14ac:dyDescent="0.15">
      <c r="G368" s="12"/>
      <c r="H368" s="17"/>
      <c r="J368" s="12"/>
      <c r="K368" s="12"/>
      <c r="M368" s="12"/>
      <c r="N368" s="12"/>
    </row>
    <row r="369" spans="7:14" ht="12.75" customHeight="1" x14ac:dyDescent="0.15">
      <c r="G369" s="12"/>
      <c r="H369" s="17"/>
      <c r="J369" s="12"/>
      <c r="K369" s="12"/>
      <c r="M369" s="12"/>
      <c r="N369" s="12"/>
    </row>
    <row r="370" spans="7:14" ht="12.75" customHeight="1" x14ac:dyDescent="0.15">
      <c r="G370" s="12"/>
      <c r="H370" s="17"/>
      <c r="J370" s="12"/>
      <c r="K370" s="12"/>
      <c r="M370" s="12"/>
      <c r="N370" s="12"/>
    </row>
    <row r="371" spans="7:14" ht="12.75" customHeight="1" x14ac:dyDescent="0.15">
      <c r="G371" s="12"/>
      <c r="H371" s="17"/>
      <c r="J371" s="12"/>
      <c r="K371" s="12"/>
      <c r="M371" s="12"/>
      <c r="N371" s="12"/>
    </row>
    <row r="372" spans="7:14" ht="12.75" customHeight="1" x14ac:dyDescent="0.15">
      <c r="G372" s="12"/>
      <c r="H372" s="17"/>
      <c r="J372" s="12"/>
      <c r="K372" s="12"/>
      <c r="M372" s="12"/>
      <c r="N372" s="12"/>
    </row>
    <row r="373" spans="7:14" ht="12.75" customHeight="1" x14ac:dyDescent="0.15">
      <c r="G373" s="12"/>
      <c r="H373" s="17"/>
      <c r="J373" s="12"/>
      <c r="K373" s="12"/>
      <c r="M373" s="12"/>
      <c r="N373" s="12"/>
    </row>
    <row r="374" spans="7:14" ht="12.75" customHeight="1" x14ac:dyDescent="0.15">
      <c r="G374" s="12"/>
      <c r="H374" s="17"/>
      <c r="J374" s="12"/>
      <c r="K374" s="12"/>
      <c r="M374" s="12"/>
      <c r="N374" s="12"/>
    </row>
    <row r="375" spans="7:14" ht="12.75" customHeight="1" x14ac:dyDescent="0.15">
      <c r="G375" s="12"/>
      <c r="H375" s="17"/>
      <c r="J375" s="12"/>
      <c r="K375" s="12"/>
      <c r="M375" s="12"/>
      <c r="N375" s="12"/>
    </row>
    <row r="376" spans="7:14" ht="12.75" customHeight="1" x14ac:dyDescent="0.15">
      <c r="G376" s="12"/>
      <c r="H376" s="17"/>
      <c r="J376" s="12"/>
      <c r="K376" s="12"/>
      <c r="M376" s="12"/>
      <c r="N376" s="12"/>
    </row>
    <row r="377" spans="7:14" ht="12.75" customHeight="1" x14ac:dyDescent="0.15">
      <c r="G377" s="12"/>
      <c r="H377" s="17"/>
      <c r="J377" s="12"/>
      <c r="K377" s="12"/>
      <c r="M377" s="12"/>
      <c r="N377" s="12"/>
    </row>
    <row r="378" spans="7:14" ht="12.75" customHeight="1" x14ac:dyDescent="0.15">
      <c r="G378" s="12"/>
      <c r="H378" s="17"/>
      <c r="J378" s="12"/>
      <c r="K378" s="12"/>
      <c r="M378" s="12"/>
      <c r="N378" s="12"/>
    </row>
    <row r="379" spans="7:14" ht="12.75" customHeight="1" x14ac:dyDescent="0.15">
      <c r="G379" s="12"/>
      <c r="H379" s="17"/>
      <c r="J379" s="12"/>
      <c r="K379" s="12"/>
      <c r="M379" s="12"/>
      <c r="N379" s="12"/>
    </row>
    <row r="380" spans="7:14" ht="12.75" customHeight="1" x14ac:dyDescent="0.15">
      <c r="G380" s="12"/>
      <c r="H380" s="17"/>
      <c r="J380" s="12"/>
      <c r="K380" s="12"/>
      <c r="M380" s="12"/>
      <c r="N380" s="12"/>
    </row>
    <row r="381" spans="7:14" ht="12.75" customHeight="1" x14ac:dyDescent="0.15">
      <c r="G381" s="12"/>
      <c r="H381" s="17"/>
      <c r="J381" s="12"/>
      <c r="K381" s="12"/>
      <c r="M381" s="12"/>
      <c r="N381" s="12"/>
    </row>
    <row r="382" spans="7:14" ht="12.75" customHeight="1" x14ac:dyDescent="0.15">
      <c r="G382" s="12"/>
      <c r="H382" s="17"/>
      <c r="J382" s="12"/>
      <c r="K382" s="12"/>
      <c r="M382" s="12"/>
      <c r="N382" s="12"/>
    </row>
    <row r="383" spans="7:14" ht="12.75" customHeight="1" x14ac:dyDescent="0.15">
      <c r="G383" s="12"/>
      <c r="H383" s="17"/>
      <c r="J383" s="12"/>
      <c r="K383" s="12"/>
      <c r="M383" s="12"/>
      <c r="N383" s="12"/>
    </row>
    <row r="384" spans="7:14" ht="12.75" customHeight="1" x14ac:dyDescent="0.15">
      <c r="G384" s="12"/>
      <c r="H384" s="17"/>
      <c r="J384" s="12"/>
      <c r="K384" s="12"/>
      <c r="M384" s="12"/>
      <c r="N384" s="12"/>
    </row>
    <row r="385" spans="7:14" ht="12.75" customHeight="1" x14ac:dyDescent="0.15">
      <c r="G385" s="12"/>
      <c r="H385" s="17"/>
      <c r="J385" s="12"/>
      <c r="K385" s="12"/>
      <c r="M385" s="12"/>
      <c r="N385" s="12"/>
    </row>
    <row r="386" spans="7:14" ht="12.75" customHeight="1" x14ac:dyDescent="0.15">
      <c r="G386" s="12"/>
      <c r="H386" s="17"/>
      <c r="J386" s="12"/>
      <c r="K386" s="12"/>
      <c r="M386" s="12"/>
      <c r="N386" s="12"/>
    </row>
    <row r="387" spans="7:14" ht="12.75" customHeight="1" x14ac:dyDescent="0.15">
      <c r="G387" s="12"/>
      <c r="H387" s="17"/>
      <c r="J387" s="12"/>
      <c r="K387" s="12"/>
      <c r="M387" s="12"/>
      <c r="N387" s="12"/>
    </row>
    <row r="388" spans="7:14" ht="12.75" customHeight="1" x14ac:dyDescent="0.15">
      <c r="G388" s="12"/>
      <c r="H388" s="17"/>
      <c r="J388" s="12"/>
      <c r="K388" s="12"/>
      <c r="M388" s="12"/>
      <c r="N388" s="12"/>
    </row>
    <row r="389" spans="7:14" ht="12.75" customHeight="1" x14ac:dyDescent="0.15">
      <c r="G389" s="12"/>
      <c r="H389" s="17"/>
      <c r="J389" s="12"/>
      <c r="K389" s="12"/>
      <c r="M389" s="12"/>
      <c r="N389" s="12"/>
    </row>
    <row r="390" spans="7:14" ht="12.75" customHeight="1" x14ac:dyDescent="0.15">
      <c r="G390" s="12"/>
      <c r="H390" s="17"/>
      <c r="J390" s="12"/>
      <c r="K390" s="12"/>
      <c r="M390" s="12"/>
      <c r="N390" s="12"/>
    </row>
    <row r="391" spans="7:14" ht="12.75" customHeight="1" x14ac:dyDescent="0.15">
      <c r="G391" s="12"/>
      <c r="H391" s="17"/>
      <c r="J391" s="12"/>
      <c r="K391" s="12"/>
      <c r="M391" s="12"/>
      <c r="N391" s="12"/>
    </row>
    <row r="392" spans="7:14" ht="12.75" customHeight="1" x14ac:dyDescent="0.15">
      <c r="G392" s="12"/>
      <c r="H392" s="17"/>
      <c r="J392" s="12"/>
      <c r="K392" s="12"/>
      <c r="M392" s="12"/>
      <c r="N392" s="12"/>
    </row>
    <row r="393" spans="7:14" ht="12.75" customHeight="1" x14ac:dyDescent="0.15">
      <c r="G393" s="12"/>
      <c r="H393" s="17"/>
      <c r="J393" s="12"/>
      <c r="K393" s="12"/>
      <c r="M393" s="12"/>
      <c r="N393" s="12"/>
    </row>
    <row r="394" spans="7:14" ht="12.75" customHeight="1" x14ac:dyDescent="0.15">
      <c r="G394" s="12"/>
      <c r="H394" s="17"/>
      <c r="J394" s="12"/>
      <c r="K394" s="12"/>
      <c r="M394" s="12"/>
      <c r="N394" s="12"/>
    </row>
    <row r="395" spans="7:14" ht="12.75" customHeight="1" x14ac:dyDescent="0.15">
      <c r="G395" s="12"/>
      <c r="H395" s="17"/>
      <c r="J395" s="12"/>
      <c r="K395" s="12"/>
      <c r="M395" s="12"/>
      <c r="N395" s="12"/>
    </row>
    <row r="396" spans="7:14" ht="12.75" customHeight="1" x14ac:dyDescent="0.15">
      <c r="G396" s="12"/>
      <c r="H396" s="17"/>
      <c r="J396" s="12"/>
      <c r="K396" s="12"/>
      <c r="M396" s="12"/>
      <c r="N396" s="12"/>
    </row>
    <row r="397" spans="7:14" ht="12.75" customHeight="1" x14ac:dyDescent="0.15">
      <c r="G397" s="12"/>
      <c r="H397" s="17"/>
      <c r="J397" s="12"/>
      <c r="K397" s="12"/>
      <c r="M397" s="12"/>
      <c r="N397" s="12"/>
    </row>
    <row r="398" spans="7:14" ht="12.75" customHeight="1" x14ac:dyDescent="0.15">
      <c r="G398" s="12"/>
      <c r="H398" s="17"/>
      <c r="J398" s="12"/>
      <c r="K398" s="12"/>
      <c r="M398" s="12"/>
      <c r="N398" s="12"/>
    </row>
    <row r="399" spans="7:14" ht="12.75" customHeight="1" x14ac:dyDescent="0.15">
      <c r="G399" s="12"/>
      <c r="H399" s="17"/>
      <c r="J399" s="12"/>
      <c r="K399" s="12"/>
      <c r="M399" s="12"/>
      <c r="N399" s="12"/>
    </row>
    <row r="400" spans="7:14" ht="12.75" customHeight="1" x14ac:dyDescent="0.15">
      <c r="G400" s="12"/>
      <c r="H400" s="17"/>
      <c r="J400" s="12"/>
      <c r="K400" s="12"/>
      <c r="M400" s="12"/>
      <c r="N400" s="12"/>
    </row>
    <row r="401" spans="7:14" ht="12.75" customHeight="1" x14ac:dyDescent="0.15">
      <c r="G401" s="12"/>
      <c r="H401" s="17"/>
      <c r="J401" s="12"/>
      <c r="K401" s="12"/>
      <c r="M401" s="12"/>
      <c r="N401" s="12"/>
    </row>
    <row r="402" spans="7:14" ht="12.75" customHeight="1" x14ac:dyDescent="0.15">
      <c r="G402" s="12"/>
      <c r="H402" s="17"/>
      <c r="J402" s="12"/>
      <c r="K402" s="12"/>
      <c r="M402" s="12"/>
      <c r="N402" s="12"/>
    </row>
    <row r="403" spans="7:14" ht="12.75" customHeight="1" x14ac:dyDescent="0.15">
      <c r="G403" s="12"/>
      <c r="H403" s="17"/>
      <c r="J403" s="12"/>
      <c r="K403" s="12"/>
      <c r="M403" s="12"/>
      <c r="N403" s="12"/>
    </row>
    <row r="404" spans="7:14" ht="12.75" customHeight="1" x14ac:dyDescent="0.15">
      <c r="G404" s="12"/>
      <c r="H404" s="17"/>
      <c r="J404" s="12"/>
      <c r="K404" s="12"/>
      <c r="M404" s="12"/>
      <c r="N404" s="12"/>
    </row>
    <row r="405" spans="7:14" ht="12.75" customHeight="1" x14ac:dyDescent="0.15">
      <c r="G405" s="12"/>
      <c r="H405" s="17"/>
      <c r="J405" s="12"/>
      <c r="K405" s="12"/>
      <c r="M405" s="12"/>
      <c r="N405" s="12"/>
    </row>
    <row r="406" spans="7:14" ht="12.75" customHeight="1" x14ac:dyDescent="0.15">
      <c r="G406" s="12"/>
      <c r="H406" s="17"/>
      <c r="J406" s="12"/>
      <c r="K406" s="12"/>
      <c r="M406" s="12"/>
      <c r="N406" s="12"/>
    </row>
    <row r="407" spans="7:14" ht="12.75" customHeight="1" x14ac:dyDescent="0.15">
      <c r="G407" s="12"/>
      <c r="H407" s="17"/>
      <c r="J407" s="12"/>
      <c r="K407" s="12"/>
      <c r="M407" s="12"/>
      <c r="N407" s="12"/>
    </row>
    <row r="408" spans="7:14" ht="12.75" customHeight="1" x14ac:dyDescent="0.15">
      <c r="G408" s="12"/>
      <c r="H408" s="17"/>
      <c r="J408" s="12"/>
      <c r="K408" s="12"/>
      <c r="M408" s="12"/>
      <c r="N408" s="12"/>
    </row>
    <row r="409" spans="7:14" ht="12.75" customHeight="1" x14ac:dyDescent="0.15">
      <c r="G409" s="12"/>
      <c r="H409" s="17"/>
      <c r="J409" s="12"/>
      <c r="K409" s="12"/>
      <c r="M409" s="12"/>
      <c r="N409" s="12"/>
    </row>
    <row r="410" spans="7:14" ht="12.75" customHeight="1" x14ac:dyDescent="0.15">
      <c r="G410" s="12"/>
      <c r="H410" s="17"/>
      <c r="J410" s="12"/>
      <c r="K410" s="12"/>
      <c r="M410" s="12"/>
      <c r="N410" s="12"/>
    </row>
    <row r="411" spans="7:14" ht="12.75" customHeight="1" x14ac:dyDescent="0.15">
      <c r="G411" s="12"/>
      <c r="H411" s="17"/>
      <c r="J411" s="12"/>
      <c r="K411" s="12"/>
      <c r="M411" s="12"/>
      <c r="N411" s="12"/>
    </row>
    <row r="412" spans="7:14" ht="12.75" customHeight="1" x14ac:dyDescent="0.15">
      <c r="G412" s="12"/>
      <c r="H412" s="17"/>
      <c r="J412" s="12"/>
      <c r="K412" s="12"/>
      <c r="M412" s="12"/>
      <c r="N412" s="12"/>
    </row>
    <row r="413" spans="7:14" ht="12.75" customHeight="1" x14ac:dyDescent="0.15">
      <c r="G413" s="12"/>
      <c r="H413" s="17"/>
      <c r="J413" s="12"/>
      <c r="K413" s="12"/>
      <c r="M413" s="12"/>
      <c r="N413" s="12"/>
    </row>
    <row r="414" spans="7:14" ht="12.75" customHeight="1" x14ac:dyDescent="0.15">
      <c r="G414" s="12"/>
      <c r="H414" s="17"/>
      <c r="J414" s="12"/>
      <c r="K414" s="12"/>
      <c r="M414" s="12"/>
      <c r="N414" s="12"/>
    </row>
    <row r="415" spans="7:14" ht="12.75" customHeight="1" x14ac:dyDescent="0.15">
      <c r="G415" s="12"/>
      <c r="H415" s="17"/>
      <c r="J415" s="12"/>
      <c r="K415" s="12"/>
      <c r="M415" s="12"/>
      <c r="N415" s="12"/>
    </row>
    <row r="416" spans="7:14" ht="12.75" customHeight="1" x14ac:dyDescent="0.15">
      <c r="G416" s="12"/>
      <c r="H416" s="17"/>
      <c r="J416" s="12"/>
      <c r="K416" s="12"/>
      <c r="M416" s="12"/>
      <c r="N416" s="12"/>
    </row>
    <row r="417" spans="7:14" ht="12.75" customHeight="1" x14ac:dyDescent="0.15">
      <c r="G417" s="12"/>
      <c r="H417" s="17"/>
      <c r="J417" s="12"/>
      <c r="K417" s="12"/>
      <c r="M417" s="12"/>
      <c r="N417" s="12"/>
    </row>
    <row r="418" spans="7:14" ht="12.75" customHeight="1" x14ac:dyDescent="0.15">
      <c r="G418" s="12"/>
      <c r="H418" s="17"/>
      <c r="J418" s="12"/>
      <c r="K418" s="12"/>
      <c r="M418" s="12"/>
      <c r="N418" s="12"/>
    </row>
    <row r="419" spans="7:14" ht="12.75" customHeight="1" x14ac:dyDescent="0.15">
      <c r="G419" s="12"/>
      <c r="H419" s="17"/>
      <c r="J419" s="12"/>
      <c r="K419" s="12"/>
      <c r="M419" s="12"/>
      <c r="N419" s="12"/>
    </row>
    <row r="420" spans="7:14" ht="12.75" customHeight="1" x14ac:dyDescent="0.15">
      <c r="G420" s="12"/>
      <c r="H420" s="17"/>
      <c r="J420" s="12"/>
      <c r="K420" s="12"/>
      <c r="M420" s="12"/>
      <c r="N420" s="12"/>
    </row>
    <row r="421" spans="7:14" ht="12.75" customHeight="1" x14ac:dyDescent="0.15">
      <c r="G421" s="12"/>
      <c r="H421" s="17"/>
      <c r="J421" s="12"/>
      <c r="K421" s="12"/>
      <c r="M421" s="12"/>
      <c r="N421" s="12"/>
    </row>
    <row r="422" spans="7:14" ht="12.75" customHeight="1" x14ac:dyDescent="0.15">
      <c r="G422" s="12"/>
      <c r="H422" s="17"/>
      <c r="J422" s="12"/>
      <c r="K422" s="12"/>
      <c r="M422" s="12"/>
      <c r="N422" s="12"/>
    </row>
    <row r="423" spans="7:14" ht="12.75" customHeight="1" x14ac:dyDescent="0.15">
      <c r="G423" s="12"/>
      <c r="H423" s="17"/>
      <c r="J423" s="12"/>
      <c r="K423" s="12"/>
      <c r="M423" s="12"/>
      <c r="N423" s="12"/>
    </row>
    <row r="424" spans="7:14" ht="12.75" customHeight="1" x14ac:dyDescent="0.15">
      <c r="G424" s="12"/>
      <c r="H424" s="17"/>
      <c r="J424" s="12"/>
      <c r="K424" s="12"/>
      <c r="M424" s="12"/>
      <c r="N424" s="12"/>
    </row>
    <row r="425" spans="7:14" ht="12.75" customHeight="1" x14ac:dyDescent="0.15">
      <c r="G425" s="12"/>
      <c r="H425" s="17"/>
      <c r="J425" s="12"/>
      <c r="K425" s="12"/>
      <c r="M425" s="12"/>
      <c r="N425" s="12"/>
    </row>
    <row r="426" spans="7:14" ht="12.75" customHeight="1" x14ac:dyDescent="0.15">
      <c r="G426" s="12"/>
      <c r="H426" s="17"/>
      <c r="J426" s="12"/>
      <c r="K426" s="12"/>
      <c r="M426" s="12"/>
      <c r="N426" s="12"/>
    </row>
    <row r="427" spans="7:14" ht="12.75" customHeight="1" x14ac:dyDescent="0.15">
      <c r="G427" s="12"/>
      <c r="H427" s="17"/>
      <c r="J427" s="12"/>
      <c r="K427" s="12"/>
      <c r="M427" s="12"/>
      <c r="N427" s="12"/>
    </row>
    <row r="428" spans="7:14" ht="12.75" customHeight="1" x14ac:dyDescent="0.15">
      <c r="G428" s="12"/>
      <c r="H428" s="17"/>
      <c r="J428" s="12"/>
      <c r="K428" s="12"/>
      <c r="M428" s="12"/>
      <c r="N428" s="12"/>
    </row>
    <row r="429" spans="7:14" ht="12.75" customHeight="1" x14ac:dyDescent="0.15">
      <c r="G429" s="12"/>
      <c r="H429" s="17"/>
      <c r="J429" s="12"/>
      <c r="K429" s="12"/>
      <c r="M429" s="12"/>
      <c r="N429" s="12"/>
    </row>
    <row r="430" spans="7:14" ht="12.75" customHeight="1" x14ac:dyDescent="0.15">
      <c r="G430" s="12"/>
      <c r="H430" s="17"/>
      <c r="J430" s="12"/>
      <c r="K430" s="12"/>
      <c r="M430" s="12"/>
      <c r="N430" s="12"/>
    </row>
    <row r="431" spans="7:14" ht="12.75" customHeight="1" x14ac:dyDescent="0.15">
      <c r="G431" s="12"/>
      <c r="H431" s="17"/>
      <c r="J431" s="12"/>
      <c r="K431" s="12"/>
      <c r="M431" s="12"/>
      <c r="N431" s="12"/>
    </row>
    <row r="432" spans="7:14" ht="12.75" customHeight="1" x14ac:dyDescent="0.15">
      <c r="G432" s="12"/>
      <c r="H432" s="17"/>
      <c r="J432" s="12"/>
      <c r="K432" s="12"/>
      <c r="M432" s="12"/>
      <c r="N432" s="12"/>
    </row>
    <row r="433" spans="7:14" ht="12.75" customHeight="1" x14ac:dyDescent="0.15">
      <c r="G433" s="12"/>
      <c r="H433" s="17"/>
      <c r="J433" s="12"/>
      <c r="K433" s="12"/>
      <c r="M433" s="12"/>
      <c r="N433" s="12"/>
    </row>
    <row r="434" spans="7:14" ht="12.75" customHeight="1" x14ac:dyDescent="0.15">
      <c r="G434" s="12"/>
      <c r="H434" s="17"/>
      <c r="J434" s="12"/>
      <c r="K434" s="12"/>
      <c r="M434" s="12"/>
      <c r="N434" s="12"/>
    </row>
    <row r="435" spans="7:14" ht="12.75" customHeight="1" x14ac:dyDescent="0.15">
      <c r="G435" s="12"/>
      <c r="H435" s="17"/>
      <c r="J435" s="12"/>
      <c r="K435" s="12"/>
      <c r="M435" s="12"/>
      <c r="N435" s="12"/>
    </row>
    <row r="436" spans="7:14" ht="12.75" customHeight="1" x14ac:dyDescent="0.15">
      <c r="G436" s="12"/>
      <c r="H436" s="17"/>
      <c r="J436" s="12"/>
      <c r="K436" s="12"/>
      <c r="M436" s="12"/>
      <c r="N436" s="12"/>
    </row>
    <row r="437" spans="7:14" ht="12.75" customHeight="1" x14ac:dyDescent="0.15">
      <c r="G437" s="12"/>
      <c r="H437" s="17"/>
      <c r="J437" s="12"/>
      <c r="K437" s="12"/>
      <c r="M437" s="12"/>
      <c r="N437" s="12"/>
    </row>
    <row r="438" spans="7:14" ht="12.75" customHeight="1" x14ac:dyDescent="0.15">
      <c r="G438" s="12"/>
      <c r="H438" s="17"/>
      <c r="J438" s="12"/>
      <c r="K438" s="12"/>
      <c r="M438" s="12"/>
      <c r="N438" s="12"/>
    </row>
    <row r="439" spans="7:14" ht="12.75" customHeight="1" x14ac:dyDescent="0.15">
      <c r="G439" s="12"/>
      <c r="H439" s="17"/>
      <c r="J439" s="12"/>
      <c r="K439" s="12"/>
      <c r="M439" s="12"/>
      <c r="N439" s="12"/>
    </row>
    <row r="440" spans="7:14" ht="12.75" customHeight="1" x14ac:dyDescent="0.15">
      <c r="G440" s="12"/>
      <c r="H440" s="17"/>
      <c r="J440" s="12"/>
      <c r="K440" s="12"/>
      <c r="M440" s="12"/>
      <c r="N440" s="12"/>
    </row>
    <row r="441" spans="7:14" ht="12.75" customHeight="1" x14ac:dyDescent="0.15">
      <c r="G441" s="12"/>
      <c r="H441" s="17"/>
      <c r="J441" s="12"/>
      <c r="K441" s="12"/>
      <c r="M441" s="12"/>
      <c r="N441" s="12"/>
    </row>
    <row r="442" spans="7:14" ht="12.75" customHeight="1" x14ac:dyDescent="0.15">
      <c r="G442" s="12"/>
      <c r="H442" s="17"/>
      <c r="J442" s="12"/>
      <c r="K442" s="12"/>
      <c r="M442" s="12"/>
      <c r="N442" s="12"/>
    </row>
    <row r="443" spans="7:14" ht="12.75" customHeight="1" x14ac:dyDescent="0.15">
      <c r="G443" s="12"/>
      <c r="H443" s="17"/>
      <c r="J443" s="12"/>
      <c r="K443" s="12"/>
      <c r="M443" s="12"/>
      <c r="N443" s="12"/>
    </row>
    <row r="444" spans="7:14" ht="12.75" customHeight="1" x14ac:dyDescent="0.15">
      <c r="G444" s="12"/>
      <c r="H444" s="17"/>
      <c r="J444" s="12"/>
      <c r="K444" s="12"/>
      <c r="M444" s="12"/>
      <c r="N444" s="12"/>
    </row>
    <row r="445" spans="7:14" ht="12.75" customHeight="1" x14ac:dyDescent="0.15">
      <c r="G445" s="12"/>
      <c r="H445" s="17"/>
      <c r="J445" s="12"/>
      <c r="K445" s="12"/>
      <c r="M445" s="12"/>
      <c r="N445" s="12"/>
    </row>
    <row r="446" spans="7:14" ht="12.75" customHeight="1" x14ac:dyDescent="0.15">
      <c r="G446" s="12"/>
      <c r="H446" s="17"/>
      <c r="J446" s="12"/>
      <c r="K446" s="12"/>
      <c r="M446" s="12"/>
      <c r="N446" s="12"/>
    </row>
    <row r="447" spans="7:14" ht="12.75" customHeight="1" x14ac:dyDescent="0.15">
      <c r="G447" s="12"/>
      <c r="H447" s="17"/>
      <c r="J447" s="12"/>
      <c r="K447" s="12"/>
      <c r="M447" s="12"/>
      <c r="N447" s="12"/>
    </row>
    <row r="448" spans="7:14" ht="12.75" customHeight="1" x14ac:dyDescent="0.15">
      <c r="G448" s="12"/>
      <c r="H448" s="17"/>
      <c r="J448" s="12"/>
      <c r="K448" s="12"/>
      <c r="M448" s="12"/>
      <c r="N448" s="12"/>
    </row>
    <row r="449" spans="7:14" ht="12.75" customHeight="1" x14ac:dyDescent="0.15">
      <c r="G449" s="12"/>
      <c r="H449" s="17"/>
      <c r="J449" s="12"/>
      <c r="K449" s="12"/>
      <c r="M449" s="12"/>
      <c r="N449" s="12"/>
    </row>
    <row r="450" spans="7:14" ht="12.75" customHeight="1" x14ac:dyDescent="0.15">
      <c r="G450" s="12"/>
      <c r="H450" s="17"/>
      <c r="J450" s="12"/>
      <c r="K450" s="12"/>
      <c r="M450" s="12"/>
      <c r="N450" s="12"/>
    </row>
    <row r="451" spans="7:14" ht="12.75" customHeight="1" x14ac:dyDescent="0.15">
      <c r="G451" s="12"/>
      <c r="H451" s="17"/>
      <c r="J451" s="12"/>
      <c r="K451" s="12"/>
      <c r="M451" s="12"/>
      <c r="N451" s="12"/>
    </row>
    <row r="452" spans="7:14" ht="12.75" customHeight="1" x14ac:dyDescent="0.15">
      <c r="G452" s="12"/>
      <c r="H452" s="17"/>
      <c r="J452" s="12"/>
      <c r="K452" s="12"/>
      <c r="M452" s="12"/>
      <c r="N452" s="12"/>
    </row>
    <row r="453" spans="7:14" ht="12.75" customHeight="1" x14ac:dyDescent="0.15">
      <c r="G453" s="12"/>
      <c r="H453" s="17"/>
      <c r="J453" s="12"/>
      <c r="K453" s="12"/>
      <c r="M453" s="12"/>
      <c r="N453" s="12"/>
    </row>
    <row r="454" spans="7:14" ht="12.75" customHeight="1" x14ac:dyDescent="0.15">
      <c r="G454" s="12"/>
      <c r="H454" s="17"/>
      <c r="J454" s="12"/>
      <c r="K454" s="12"/>
      <c r="M454" s="12"/>
      <c r="N454" s="12"/>
    </row>
    <row r="455" spans="7:14" ht="12.75" customHeight="1" x14ac:dyDescent="0.15">
      <c r="G455" s="12"/>
      <c r="H455" s="17"/>
      <c r="J455" s="12"/>
      <c r="K455" s="12"/>
      <c r="M455" s="12"/>
      <c r="N455" s="12"/>
    </row>
    <row r="456" spans="7:14" ht="12.75" customHeight="1" x14ac:dyDescent="0.15">
      <c r="G456" s="12"/>
      <c r="H456" s="17"/>
      <c r="J456" s="12"/>
      <c r="K456" s="12"/>
      <c r="M456" s="12"/>
      <c r="N456" s="12"/>
    </row>
    <row r="457" spans="7:14" ht="12.75" customHeight="1" x14ac:dyDescent="0.15">
      <c r="G457" s="12"/>
      <c r="H457" s="17"/>
      <c r="J457" s="12"/>
      <c r="K457" s="12"/>
      <c r="M457" s="12"/>
      <c r="N457" s="12"/>
    </row>
    <row r="458" spans="7:14" ht="12.75" customHeight="1" x14ac:dyDescent="0.15">
      <c r="G458" s="12"/>
      <c r="H458" s="17"/>
      <c r="J458" s="12"/>
      <c r="K458" s="12"/>
      <c r="M458" s="12"/>
      <c r="N458" s="12"/>
    </row>
    <row r="459" spans="7:14" ht="12.75" customHeight="1" x14ac:dyDescent="0.15">
      <c r="G459" s="12"/>
      <c r="H459" s="17"/>
      <c r="J459" s="12"/>
      <c r="K459" s="12"/>
      <c r="M459" s="12"/>
      <c r="N459" s="12"/>
    </row>
    <row r="460" spans="7:14" ht="12.75" customHeight="1" x14ac:dyDescent="0.15">
      <c r="G460" s="12"/>
      <c r="H460" s="17"/>
      <c r="J460" s="12"/>
      <c r="K460" s="12"/>
      <c r="M460" s="12"/>
      <c r="N460" s="12"/>
    </row>
    <row r="461" spans="7:14" ht="12.75" customHeight="1" x14ac:dyDescent="0.15">
      <c r="G461" s="12"/>
      <c r="H461" s="17"/>
      <c r="J461" s="12"/>
      <c r="K461" s="12"/>
      <c r="M461" s="12"/>
      <c r="N461" s="12"/>
    </row>
    <row r="462" spans="7:14" ht="12.75" customHeight="1" x14ac:dyDescent="0.15">
      <c r="G462" s="12"/>
      <c r="H462" s="17"/>
      <c r="J462" s="12"/>
      <c r="K462" s="12"/>
      <c r="M462" s="12"/>
      <c r="N462" s="12"/>
    </row>
    <row r="463" spans="7:14" ht="12.75" customHeight="1" x14ac:dyDescent="0.15">
      <c r="G463" s="12"/>
      <c r="H463" s="17"/>
      <c r="J463" s="12"/>
      <c r="K463" s="12"/>
      <c r="M463" s="12"/>
      <c r="N463" s="12"/>
    </row>
    <row r="464" spans="7:14" ht="12.75" customHeight="1" x14ac:dyDescent="0.15">
      <c r="G464" s="12"/>
      <c r="H464" s="17"/>
      <c r="J464" s="12"/>
      <c r="K464" s="12"/>
      <c r="M464" s="12"/>
      <c r="N464" s="12"/>
    </row>
    <row r="465" spans="7:14" ht="12.75" customHeight="1" x14ac:dyDescent="0.15">
      <c r="G465" s="12"/>
      <c r="H465" s="17"/>
      <c r="J465" s="12"/>
      <c r="K465" s="12"/>
      <c r="M465" s="12"/>
      <c r="N465" s="12"/>
    </row>
    <row r="466" spans="7:14" ht="12.75" customHeight="1" x14ac:dyDescent="0.15">
      <c r="G466" s="12"/>
      <c r="H466" s="17"/>
      <c r="J466" s="12"/>
      <c r="K466" s="12"/>
      <c r="M466" s="12"/>
      <c r="N466" s="12"/>
    </row>
    <row r="467" spans="7:14" ht="12.75" customHeight="1" x14ac:dyDescent="0.15">
      <c r="G467" s="12"/>
      <c r="H467" s="17"/>
      <c r="J467" s="12"/>
      <c r="K467" s="12"/>
      <c r="M467" s="12"/>
      <c r="N467" s="12"/>
    </row>
    <row r="468" spans="7:14" ht="12.75" customHeight="1" x14ac:dyDescent="0.15">
      <c r="G468" s="12"/>
      <c r="H468" s="17"/>
      <c r="J468" s="12"/>
      <c r="K468" s="12"/>
      <c r="M468" s="12"/>
      <c r="N468" s="12"/>
    </row>
    <row r="469" spans="7:14" ht="12.75" customHeight="1" x14ac:dyDescent="0.15">
      <c r="G469" s="12"/>
      <c r="H469" s="17"/>
      <c r="J469" s="12"/>
      <c r="K469" s="12"/>
      <c r="M469" s="12"/>
      <c r="N469" s="12"/>
    </row>
    <row r="470" spans="7:14" ht="12.75" customHeight="1" x14ac:dyDescent="0.15">
      <c r="G470" s="12"/>
      <c r="H470" s="17"/>
      <c r="J470" s="12"/>
      <c r="K470" s="12"/>
      <c r="M470" s="12"/>
      <c r="N470" s="12"/>
    </row>
    <row r="471" spans="7:14" ht="12.75" customHeight="1" x14ac:dyDescent="0.15">
      <c r="G471" s="12"/>
      <c r="H471" s="17"/>
      <c r="J471" s="12"/>
      <c r="K471" s="12"/>
      <c r="M471" s="12"/>
      <c r="N471" s="12"/>
    </row>
    <row r="472" spans="7:14" ht="12.75" customHeight="1" x14ac:dyDescent="0.15">
      <c r="G472" s="12"/>
      <c r="H472" s="17"/>
      <c r="J472" s="12"/>
      <c r="K472" s="12"/>
      <c r="M472" s="12"/>
      <c r="N472" s="12"/>
    </row>
    <row r="473" spans="7:14" ht="12.75" customHeight="1" x14ac:dyDescent="0.15">
      <c r="G473" s="12"/>
      <c r="H473" s="17"/>
      <c r="J473" s="12"/>
      <c r="K473" s="12"/>
      <c r="M473" s="12"/>
      <c r="N473" s="12"/>
    </row>
    <row r="474" spans="7:14" ht="12.75" customHeight="1" x14ac:dyDescent="0.15">
      <c r="G474" s="12"/>
      <c r="H474" s="17"/>
      <c r="J474" s="12"/>
      <c r="K474" s="12"/>
      <c r="M474" s="12"/>
      <c r="N474" s="12"/>
    </row>
    <row r="475" spans="7:14" ht="12.75" customHeight="1" x14ac:dyDescent="0.15">
      <c r="G475" s="12"/>
      <c r="H475" s="17"/>
      <c r="J475" s="12"/>
      <c r="K475" s="12"/>
      <c r="M475" s="12"/>
      <c r="N475" s="12"/>
    </row>
    <row r="476" spans="7:14" ht="12.75" customHeight="1" x14ac:dyDescent="0.15">
      <c r="G476" s="12"/>
      <c r="H476" s="17"/>
      <c r="J476" s="12"/>
      <c r="K476" s="12"/>
      <c r="M476" s="12"/>
      <c r="N476" s="12"/>
    </row>
    <row r="477" spans="7:14" ht="12.75" customHeight="1" x14ac:dyDescent="0.15">
      <c r="G477" s="12"/>
      <c r="H477" s="17"/>
      <c r="J477" s="12"/>
      <c r="K477" s="12"/>
      <c r="M477" s="12"/>
      <c r="N477" s="12"/>
    </row>
    <row r="478" spans="7:14" ht="12.75" customHeight="1" x14ac:dyDescent="0.15">
      <c r="G478" s="12"/>
      <c r="H478" s="17"/>
      <c r="J478" s="12"/>
      <c r="K478" s="12"/>
      <c r="M478" s="12"/>
      <c r="N478" s="12"/>
    </row>
    <row r="479" spans="7:14" ht="12.75" customHeight="1" x14ac:dyDescent="0.15">
      <c r="G479" s="12"/>
      <c r="H479" s="17"/>
      <c r="J479" s="12"/>
      <c r="K479" s="12"/>
      <c r="M479" s="12"/>
      <c r="N479" s="12"/>
    </row>
    <row r="480" spans="7:14" ht="12.75" customHeight="1" x14ac:dyDescent="0.15">
      <c r="G480" s="12"/>
      <c r="H480" s="17"/>
      <c r="J480" s="12"/>
      <c r="K480" s="12"/>
      <c r="M480" s="12"/>
      <c r="N480" s="12"/>
    </row>
    <row r="481" spans="7:14" ht="12.75" customHeight="1" x14ac:dyDescent="0.15">
      <c r="G481" s="12"/>
      <c r="H481" s="17"/>
      <c r="J481" s="12"/>
      <c r="K481" s="12"/>
      <c r="M481" s="12"/>
      <c r="N481" s="12"/>
    </row>
    <row r="482" spans="7:14" ht="12.75" customHeight="1" x14ac:dyDescent="0.15">
      <c r="G482" s="12"/>
      <c r="H482" s="17"/>
      <c r="J482" s="12"/>
      <c r="K482" s="12"/>
      <c r="M482" s="12"/>
      <c r="N482" s="12"/>
    </row>
    <row r="483" spans="7:14" ht="12.75" customHeight="1" x14ac:dyDescent="0.15">
      <c r="G483" s="12"/>
      <c r="H483" s="17"/>
      <c r="J483" s="12"/>
      <c r="K483" s="12"/>
      <c r="M483" s="12"/>
      <c r="N483" s="12"/>
    </row>
    <row r="484" spans="7:14" ht="12.75" customHeight="1" x14ac:dyDescent="0.15">
      <c r="G484" s="12"/>
      <c r="H484" s="17"/>
      <c r="J484" s="12"/>
      <c r="K484" s="12"/>
      <c r="M484" s="12"/>
      <c r="N484" s="12"/>
    </row>
    <row r="485" spans="7:14" ht="12.75" customHeight="1" x14ac:dyDescent="0.15">
      <c r="G485" s="12"/>
      <c r="H485" s="17"/>
      <c r="J485" s="12"/>
      <c r="K485" s="12"/>
      <c r="M485" s="12"/>
      <c r="N485" s="12"/>
    </row>
    <row r="486" spans="7:14" ht="12.75" customHeight="1" x14ac:dyDescent="0.15">
      <c r="G486" s="12"/>
      <c r="H486" s="17"/>
      <c r="J486" s="12"/>
      <c r="K486" s="12"/>
      <c r="M486" s="12"/>
      <c r="N486" s="12"/>
    </row>
    <row r="487" spans="7:14" ht="12.75" customHeight="1" x14ac:dyDescent="0.15">
      <c r="G487" s="12"/>
      <c r="H487" s="17"/>
      <c r="J487" s="12"/>
      <c r="K487" s="12"/>
      <c r="M487" s="12"/>
      <c r="N487" s="12"/>
    </row>
    <row r="488" spans="7:14" ht="12.75" customHeight="1" x14ac:dyDescent="0.15">
      <c r="G488" s="12"/>
      <c r="H488" s="17"/>
      <c r="J488" s="12"/>
      <c r="K488" s="12"/>
      <c r="M488" s="12"/>
      <c r="N488" s="12"/>
    </row>
    <row r="489" spans="7:14" ht="12.75" customHeight="1" x14ac:dyDescent="0.15">
      <c r="G489" s="12"/>
      <c r="H489" s="17"/>
      <c r="J489" s="12"/>
      <c r="K489" s="12"/>
      <c r="M489" s="12"/>
      <c r="N489" s="12"/>
    </row>
    <row r="490" spans="7:14" ht="12.75" customHeight="1" x14ac:dyDescent="0.15">
      <c r="G490" s="12"/>
      <c r="H490" s="17"/>
      <c r="J490" s="12"/>
      <c r="K490" s="12"/>
      <c r="M490" s="12"/>
      <c r="N490" s="12"/>
    </row>
    <row r="491" spans="7:14" ht="12.75" customHeight="1" x14ac:dyDescent="0.15">
      <c r="G491" s="12"/>
      <c r="H491" s="17"/>
      <c r="J491" s="12"/>
      <c r="K491" s="12"/>
      <c r="M491" s="12"/>
      <c r="N491" s="12"/>
    </row>
    <row r="492" spans="7:14" ht="12.75" customHeight="1" x14ac:dyDescent="0.15">
      <c r="G492" s="12"/>
      <c r="H492" s="17"/>
      <c r="J492" s="12"/>
      <c r="K492" s="12"/>
      <c r="M492" s="12"/>
      <c r="N492" s="12"/>
    </row>
    <row r="493" spans="7:14" ht="12.75" customHeight="1" x14ac:dyDescent="0.15">
      <c r="G493" s="12"/>
      <c r="H493" s="17"/>
      <c r="J493" s="12"/>
      <c r="K493" s="12"/>
      <c r="M493" s="12"/>
      <c r="N493" s="12"/>
    </row>
    <row r="494" spans="7:14" ht="12.75" customHeight="1" x14ac:dyDescent="0.15">
      <c r="G494" s="12"/>
      <c r="H494" s="17"/>
      <c r="J494" s="12"/>
      <c r="K494" s="12"/>
      <c r="M494" s="12"/>
      <c r="N494" s="12"/>
    </row>
    <row r="495" spans="7:14" ht="12.75" customHeight="1" x14ac:dyDescent="0.15">
      <c r="G495" s="12"/>
      <c r="H495" s="17"/>
      <c r="J495" s="12"/>
      <c r="K495" s="12"/>
      <c r="M495" s="12"/>
      <c r="N495" s="12"/>
    </row>
    <row r="496" spans="7:14" ht="12.75" customHeight="1" x14ac:dyDescent="0.15">
      <c r="G496" s="12"/>
      <c r="H496" s="17"/>
      <c r="J496" s="12"/>
      <c r="K496" s="12"/>
      <c r="M496" s="12"/>
      <c r="N496" s="12"/>
    </row>
    <row r="497" spans="7:14" ht="12.75" customHeight="1" x14ac:dyDescent="0.15">
      <c r="G497" s="12"/>
      <c r="H497" s="17"/>
      <c r="J497" s="12"/>
      <c r="K497" s="12"/>
      <c r="M497" s="12"/>
      <c r="N497" s="12"/>
    </row>
    <row r="498" spans="7:14" ht="12.75" customHeight="1" x14ac:dyDescent="0.15">
      <c r="G498" s="12"/>
      <c r="H498" s="17"/>
      <c r="J498" s="12"/>
      <c r="K498" s="12"/>
      <c r="M498" s="12"/>
      <c r="N498" s="12"/>
    </row>
    <row r="499" spans="7:14" ht="12.75" customHeight="1" x14ac:dyDescent="0.15">
      <c r="G499" s="12"/>
      <c r="H499" s="17"/>
      <c r="J499" s="12"/>
      <c r="K499" s="12"/>
      <c r="M499" s="12"/>
      <c r="N499" s="12"/>
    </row>
    <row r="500" spans="7:14" ht="12.75" customHeight="1" x14ac:dyDescent="0.15">
      <c r="G500" s="12"/>
      <c r="H500" s="17"/>
      <c r="J500" s="12"/>
      <c r="K500" s="12"/>
      <c r="M500" s="12"/>
      <c r="N500" s="12"/>
    </row>
    <row r="501" spans="7:14" ht="12.75" customHeight="1" x14ac:dyDescent="0.15">
      <c r="G501" s="12"/>
      <c r="H501" s="17"/>
      <c r="J501" s="12"/>
      <c r="K501" s="12"/>
      <c r="M501" s="12"/>
      <c r="N501" s="12"/>
    </row>
    <row r="502" spans="7:14" ht="12.75" customHeight="1" x14ac:dyDescent="0.15">
      <c r="G502" s="12"/>
      <c r="H502" s="17"/>
      <c r="J502" s="12"/>
      <c r="K502" s="12"/>
      <c r="M502" s="12"/>
      <c r="N502" s="12"/>
    </row>
    <row r="503" spans="7:14" ht="12.75" customHeight="1" x14ac:dyDescent="0.15">
      <c r="G503" s="12"/>
      <c r="H503" s="17"/>
      <c r="J503" s="12"/>
      <c r="K503" s="12"/>
      <c r="M503" s="12"/>
      <c r="N503" s="12"/>
    </row>
    <row r="504" spans="7:14" ht="12.75" customHeight="1" x14ac:dyDescent="0.15">
      <c r="G504" s="12"/>
      <c r="H504" s="17"/>
      <c r="J504" s="12"/>
      <c r="K504" s="12"/>
      <c r="M504" s="12"/>
      <c r="N504" s="12"/>
    </row>
    <row r="505" spans="7:14" ht="12.75" customHeight="1" x14ac:dyDescent="0.15">
      <c r="G505" s="12"/>
      <c r="H505" s="17"/>
      <c r="J505" s="12"/>
      <c r="K505" s="12"/>
      <c r="M505" s="12"/>
      <c r="N505" s="12"/>
    </row>
    <row r="506" spans="7:14" ht="12.75" customHeight="1" x14ac:dyDescent="0.15">
      <c r="G506" s="12"/>
      <c r="H506" s="17"/>
      <c r="J506" s="12"/>
      <c r="K506" s="12"/>
      <c r="M506" s="12"/>
      <c r="N506" s="12"/>
    </row>
    <row r="507" spans="7:14" ht="12.75" customHeight="1" x14ac:dyDescent="0.15">
      <c r="G507" s="12"/>
      <c r="H507" s="17"/>
      <c r="J507" s="12"/>
      <c r="K507" s="12"/>
      <c r="M507" s="12"/>
      <c r="N507" s="12"/>
    </row>
    <row r="508" spans="7:14" ht="12.75" customHeight="1" x14ac:dyDescent="0.15">
      <c r="G508" s="12"/>
      <c r="H508" s="17"/>
      <c r="J508" s="12"/>
      <c r="K508" s="12"/>
      <c r="M508" s="12"/>
      <c r="N508" s="12"/>
    </row>
    <row r="509" spans="7:14" ht="12.75" customHeight="1" x14ac:dyDescent="0.15">
      <c r="G509" s="12"/>
      <c r="H509" s="17"/>
      <c r="J509" s="12"/>
      <c r="K509" s="12"/>
      <c r="M509" s="12"/>
      <c r="N509" s="12"/>
    </row>
    <row r="510" spans="7:14" ht="12.75" customHeight="1" x14ac:dyDescent="0.15">
      <c r="G510" s="12"/>
      <c r="H510" s="17"/>
      <c r="J510" s="12"/>
      <c r="K510" s="12"/>
      <c r="M510" s="12"/>
      <c r="N510" s="12"/>
    </row>
    <row r="511" spans="7:14" ht="12.75" customHeight="1" x14ac:dyDescent="0.15">
      <c r="G511" s="12"/>
      <c r="H511" s="17"/>
      <c r="J511" s="12"/>
      <c r="K511" s="12"/>
      <c r="M511" s="12"/>
      <c r="N511" s="12"/>
    </row>
    <row r="512" spans="7:14" ht="12.75" customHeight="1" x14ac:dyDescent="0.15">
      <c r="G512" s="12"/>
      <c r="H512" s="17"/>
      <c r="J512" s="12"/>
      <c r="K512" s="12"/>
      <c r="M512" s="12"/>
      <c r="N512" s="12"/>
    </row>
    <row r="513" spans="7:14" ht="12.75" customHeight="1" x14ac:dyDescent="0.15">
      <c r="G513" s="12"/>
      <c r="H513" s="17"/>
      <c r="J513" s="12"/>
      <c r="K513" s="12"/>
      <c r="M513" s="12"/>
      <c r="N513" s="12"/>
    </row>
    <row r="514" spans="7:14" ht="12.75" customHeight="1" x14ac:dyDescent="0.15">
      <c r="G514" s="12"/>
      <c r="H514" s="17"/>
      <c r="J514" s="12"/>
      <c r="K514" s="12"/>
      <c r="M514" s="12"/>
      <c r="N514" s="12"/>
    </row>
    <row r="515" spans="7:14" ht="12.75" customHeight="1" x14ac:dyDescent="0.15">
      <c r="G515" s="12"/>
      <c r="H515" s="17"/>
      <c r="J515" s="12"/>
      <c r="K515" s="12"/>
      <c r="M515" s="12"/>
      <c r="N515" s="12"/>
    </row>
    <row r="516" spans="7:14" ht="12.75" customHeight="1" x14ac:dyDescent="0.15">
      <c r="G516" s="12"/>
      <c r="H516" s="17"/>
      <c r="J516" s="12"/>
      <c r="K516" s="12"/>
      <c r="M516" s="12"/>
      <c r="N516" s="12"/>
    </row>
    <row r="517" spans="7:14" ht="12.75" customHeight="1" x14ac:dyDescent="0.15">
      <c r="G517" s="12"/>
      <c r="H517" s="17"/>
      <c r="J517" s="12"/>
      <c r="K517" s="12"/>
      <c r="M517" s="12"/>
      <c r="N517" s="12"/>
    </row>
    <row r="518" spans="7:14" ht="12.75" customHeight="1" x14ac:dyDescent="0.15">
      <c r="G518" s="12"/>
      <c r="H518" s="17"/>
      <c r="J518" s="12"/>
      <c r="K518" s="12"/>
      <c r="M518" s="12"/>
      <c r="N518" s="12"/>
    </row>
    <row r="519" spans="7:14" ht="12.75" customHeight="1" x14ac:dyDescent="0.15">
      <c r="G519" s="12"/>
      <c r="H519" s="17"/>
      <c r="J519" s="12"/>
      <c r="K519" s="12"/>
      <c r="M519" s="12"/>
      <c r="N519" s="12"/>
    </row>
    <row r="520" spans="7:14" ht="12.75" customHeight="1" x14ac:dyDescent="0.15">
      <c r="G520" s="12"/>
      <c r="H520" s="17"/>
      <c r="J520" s="12"/>
      <c r="K520" s="12"/>
      <c r="M520" s="12"/>
      <c r="N520" s="12"/>
    </row>
    <row r="521" spans="7:14" ht="12.75" customHeight="1" x14ac:dyDescent="0.15">
      <c r="G521" s="12"/>
      <c r="H521" s="17"/>
      <c r="J521" s="12"/>
      <c r="K521" s="12"/>
      <c r="M521" s="12"/>
      <c r="N521" s="12"/>
    </row>
    <row r="522" spans="7:14" ht="12.75" customHeight="1" x14ac:dyDescent="0.15">
      <c r="G522" s="12"/>
      <c r="H522" s="17"/>
      <c r="J522" s="12"/>
      <c r="K522" s="12"/>
      <c r="M522" s="12"/>
      <c r="N522" s="12"/>
    </row>
    <row r="523" spans="7:14" ht="12.75" customHeight="1" x14ac:dyDescent="0.15">
      <c r="G523" s="12"/>
      <c r="H523" s="17"/>
      <c r="J523" s="12"/>
      <c r="K523" s="12"/>
      <c r="M523" s="12"/>
      <c r="N523" s="12"/>
    </row>
    <row r="524" spans="7:14" ht="12.75" customHeight="1" x14ac:dyDescent="0.15">
      <c r="G524" s="12"/>
      <c r="H524" s="17"/>
      <c r="J524" s="12"/>
      <c r="K524" s="12"/>
      <c r="M524" s="12"/>
      <c r="N524" s="12"/>
    </row>
    <row r="525" spans="7:14" ht="12.75" customHeight="1" x14ac:dyDescent="0.15">
      <c r="G525" s="12"/>
      <c r="H525" s="17"/>
      <c r="J525" s="12"/>
      <c r="K525" s="12"/>
      <c r="M525" s="12"/>
      <c r="N525" s="12"/>
    </row>
    <row r="526" spans="7:14" ht="12.75" customHeight="1" x14ac:dyDescent="0.15">
      <c r="G526" s="12"/>
      <c r="H526" s="17"/>
      <c r="J526" s="12"/>
      <c r="K526" s="12"/>
      <c r="M526" s="12"/>
      <c r="N526" s="12"/>
    </row>
    <row r="527" spans="7:14" ht="12.75" customHeight="1" x14ac:dyDescent="0.15">
      <c r="G527" s="12"/>
      <c r="H527" s="17"/>
      <c r="J527" s="12"/>
      <c r="K527" s="12"/>
      <c r="M527" s="12"/>
      <c r="N527" s="12"/>
    </row>
    <row r="528" spans="7:14" ht="12.75" customHeight="1" x14ac:dyDescent="0.15">
      <c r="G528" s="12"/>
      <c r="H528" s="17"/>
      <c r="J528" s="12"/>
      <c r="K528" s="12"/>
      <c r="M528" s="12"/>
      <c r="N528" s="12"/>
    </row>
    <row r="529" spans="7:14" ht="12.75" customHeight="1" x14ac:dyDescent="0.15">
      <c r="G529" s="12"/>
      <c r="H529" s="17"/>
      <c r="J529" s="12"/>
      <c r="K529" s="12"/>
      <c r="M529" s="12"/>
      <c r="N529" s="12"/>
    </row>
    <row r="530" spans="7:14" ht="12.75" customHeight="1" x14ac:dyDescent="0.15">
      <c r="G530" s="12"/>
      <c r="H530" s="17"/>
      <c r="J530" s="12"/>
      <c r="K530" s="12"/>
      <c r="M530" s="12"/>
      <c r="N530" s="12"/>
    </row>
    <row r="531" spans="7:14" ht="12.75" customHeight="1" x14ac:dyDescent="0.15">
      <c r="G531" s="12"/>
      <c r="H531" s="17"/>
      <c r="J531" s="12"/>
      <c r="K531" s="12"/>
      <c r="M531" s="12"/>
      <c r="N531" s="12"/>
    </row>
    <row r="532" spans="7:14" ht="12.75" customHeight="1" x14ac:dyDescent="0.15">
      <c r="G532" s="12"/>
      <c r="H532" s="17"/>
      <c r="J532" s="12"/>
      <c r="K532" s="12"/>
      <c r="M532" s="12"/>
      <c r="N532" s="12"/>
    </row>
    <row r="533" spans="7:14" ht="12.75" customHeight="1" x14ac:dyDescent="0.15">
      <c r="G533" s="12"/>
      <c r="H533" s="17"/>
      <c r="J533" s="12"/>
      <c r="K533" s="12"/>
      <c r="M533" s="12"/>
      <c r="N533" s="12"/>
    </row>
    <row r="534" spans="7:14" ht="12.75" customHeight="1" x14ac:dyDescent="0.15">
      <c r="G534" s="12"/>
      <c r="H534" s="17"/>
      <c r="J534" s="12"/>
      <c r="K534" s="12"/>
      <c r="M534" s="12"/>
      <c r="N534" s="12"/>
    </row>
    <row r="535" spans="7:14" ht="12.75" customHeight="1" x14ac:dyDescent="0.15">
      <c r="G535" s="12"/>
      <c r="H535" s="17"/>
      <c r="J535" s="12"/>
      <c r="K535" s="12"/>
      <c r="M535" s="12"/>
      <c r="N535" s="12"/>
    </row>
    <row r="536" spans="7:14" ht="12.75" customHeight="1" x14ac:dyDescent="0.15">
      <c r="G536" s="12"/>
      <c r="H536" s="17"/>
      <c r="J536" s="12"/>
      <c r="K536" s="12"/>
      <c r="M536" s="12"/>
      <c r="N536" s="12"/>
    </row>
    <row r="537" spans="7:14" ht="12.75" customHeight="1" x14ac:dyDescent="0.15">
      <c r="G537" s="12"/>
      <c r="H537" s="17"/>
      <c r="J537" s="12"/>
      <c r="K537" s="12"/>
      <c r="M537" s="12"/>
      <c r="N537" s="12"/>
    </row>
    <row r="538" spans="7:14" ht="12.75" customHeight="1" x14ac:dyDescent="0.15">
      <c r="G538" s="12"/>
      <c r="H538" s="17"/>
      <c r="J538" s="12"/>
      <c r="K538" s="12"/>
      <c r="M538" s="12"/>
      <c r="N538" s="12"/>
    </row>
    <row r="539" spans="7:14" ht="12.75" customHeight="1" x14ac:dyDescent="0.15">
      <c r="G539" s="12"/>
      <c r="H539" s="17"/>
      <c r="J539" s="12"/>
      <c r="K539" s="12"/>
      <c r="M539" s="12"/>
      <c r="N539" s="12"/>
    </row>
    <row r="540" spans="7:14" ht="12.75" customHeight="1" x14ac:dyDescent="0.15">
      <c r="G540" s="12"/>
      <c r="H540" s="17"/>
      <c r="J540" s="12"/>
      <c r="K540" s="12"/>
      <c r="M540" s="12"/>
      <c r="N540" s="12"/>
    </row>
    <row r="541" spans="7:14" ht="12.75" customHeight="1" x14ac:dyDescent="0.15">
      <c r="G541" s="12"/>
      <c r="H541" s="17"/>
      <c r="J541" s="12"/>
      <c r="K541" s="12"/>
      <c r="M541" s="12"/>
      <c r="N541" s="12"/>
    </row>
    <row r="542" spans="7:14" ht="12.75" customHeight="1" x14ac:dyDescent="0.15">
      <c r="G542" s="12"/>
      <c r="H542" s="17"/>
      <c r="J542" s="12"/>
      <c r="K542" s="12"/>
      <c r="M542" s="12"/>
      <c r="N542" s="12"/>
    </row>
    <row r="543" spans="7:14" ht="12.75" customHeight="1" x14ac:dyDescent="0.15">
      <c r="G543" s="12"/>
      <c r="H543" s="17"/>
      <c r="J543" s="12"/>
      <c r="K543" s="12"/>
      <c r="M543" s="12"/>
      <c r="N543" s="12"/>
    </row>
    <row r="544" spans="7:14" ht="12.75" customHeight="1" x14ac:dyDescent="0.15">
      <c r="G544" s="12"/>
      <c r="H544" s="17"/>
      <c r="J544" s="12"/>
      <c r="K544" s="12"/>
      <c r="M544" s="12"/>
      <c r="N544" s="12"/>
    </row>
    <row r="545" spans="7:14" ht="12.75" customHeight="1" x14ac:dyDescent="0.15">
      <c r="G545" s="12"/>
      <c r="H545" s="17"/>
      <c r="J545" s="12"/>
      <c r="K545" s="12"/>
      <c r="M545" s="12"/>
      <c r="N545" s="12"/>
    </row>
    <row r="546" spans="7:14" ht="12.75" customHeight="1" x14ac:dyDescent="0.15">
      <c r="G546" s="12"/>
      <c r="H546" s="17"/>
      <c r="J546" s="12"/>
      <c r="K546" s="12"/>
      <c r="M546" s="12"/>
      <c r="N546" s="12"/>
    </row>
    <row r="547" spans="7:14" ht="12.75" customHeight="1" x14ac:dyDescent="0.15">
      <c r="G547" s="12"/>
      <c r="H547" s="17"/>
      <c r="J547" s="12"/>
      <c r="K547" s="12"/>
      <c r="M547" s="12"/>
      <c r="N547" s="12"/>
    </row>
    <row r="548" spans="7:14" ht="12.75" customHeight="1" x14ac:dyDescent="0.15">
      <c r="G548" s="12"/>
      <c r="H548" s="17"/>
      <c r="J548" s="12"/>
      <c r="K548" s="12"/>
      <c r="M548" s="12"/>
      <c r="N548" s="12"/>
    </row>
    <row r="549" spans="7:14" ht="12.75" customHeight="1" x14ac:dyDescent="0.15">
      <c r="G549" s="12"/>
      <c r="H549" s="17"/>
      <c r="J549" s="12"/>
      <c r="K549" s="12"/>
      <c r="M549" s="12"/>
      <c r="N549" s="12"/>
    </row>
    <row r="550" spans="7:14" ht="12.75" customHeight="1" x14ac:dyDescent="0.15">
      <c r="G550" s="12"/>
      <c r="H550" s="17"/>
      <c r="J550" s="12"/>
      <c r="K550" s="12"/>
      <c r="M550" s="12"/>
      <c r="N550" s="12"/>
    </row>
    <row r="551" spans="7:14" ht="12.75" customHeight="1" x14ac:dyDescent="0.15">
      <c r="G551" s="12"/>
      <c r="H551" s="17"/>
      <c r="J551" s="12"/>
      <c r="K551" s="12"/>
      <c r="M551" s="12"/>
      <c r="N551" s="12"/>
    </row>
    <row r="552" spans="7:14" ht="12.75" customHeight="1" x14ac:dyDescent="0.15">
      <c r="G552" s="12"/>
      <c r="H552" s="17"/>
      <c r="J552" s="12"/>
      <c r="K552" s="12"/>
      <c r="M552" s="12"/>
      <c r="N552" s="12"/>
    </row>
    <row r="553" spans="7:14" ht="12.75" customHeight="1" x14ac:dyDescent="0.15">
      <c r="G553" s="12"/>
      <c r="H553" s="17"/>
      <c r="J553" s="12"/>
      <c r="K553" s="12"/>
      <c r="M553" s="12"/>
      <c r="N553" s="12"/>
    </row>
    <row r="554" spans="7:14" ht="12.75" customHeight="1" x14ac:dyDescent="0.15">
      <c r="G554" s="12"/>
      <c r="H554" s="17"/>
      <c r="J554" s="12"/>
      <c r="K554" s="12"/>
      <c r="M554" s="12"/>
      <c r="N554" s="12"/>
    </row>
    <row r="555" spans="7:14" ht="12.75" customHeight="1" x14ac:dyDescent="0.15">
      <c r="G555" s="12"/>
      <c r="H555" s="17"/>
      <c r="J555" s="12"/>
      <c r="K555" s="12"/>
      <c r="M555" s="12"/>
      <c r="N555" s="12"/>
    </row>
    <row r="556" spans="7:14" ht="12.75" customHeight="1" x14ac:dyDescent="0.15">
      <c r="G556" s="12"/>
      <c r="H556" s="17"/>
      <c r="J556" s="12"/>
      <c r="K556" s="12"/>
      <c r="M556" s="12"/>
      <c r="N556" s="12"/>
    </row>
    <row r="557" spans="7:14" ht="12.75" customHeight="1" x14ac:dyDescent="0.15">
      <c r="G557" s="12"/>
      <c r="H557" s="17"/>
      <c r="J557" s="12"/>
      <c r="K557" s="12"/>
      <c r="M557" s="12"/>
      <c r="N557" s="12"/>
    </row>
    <row r="558" spans="7:14" ht="12.75" customHeight="1" x14ac:dyDescent="0.15">
      <c r="G558" s="12"/>
      <c r="H558" s="17"/>
      <c r="J558" s="12"/>
      <c r="K558" s="12"/>
      <c r="M558" s="12"/>
      <c r="N558" s="12"/>
    </row>
    <row r="559" spans="7:14" ht="12.75" customHeight="1" x14ac:dyDescent="0.15">
      <c r="G559" s="12"/>
      <c r="H559" s="17"/>
      <c r="J559" s="12"/>
      <c r="K559" s="12"/>
      <c r="M559" s="12"/>
      <c r="N559" s="12"/>
    </row>
    <row r="560" spans="7:14" ht="12.75" customHeight="1" x14ac:dyDescent="0.15">
      <c r="G560" s="12"/>
      <c r="H560" s="17"/>
      <c r="J560" s="12"/>
      <c r="K560" s="12"/>
      <c r="M560" s="12"/>
      <c r="N560" s="12"/>
    </row>
    <row r="561" spans="7:14" ht="12.75" customHeight="1" x14ac:dyDescent="0.15">
      <c r="G561" s="12"/>
      <c r="H561" s="17"/>
      <c r="J561" s="12"/>
      <c r="K561" s="12"/>
      <c r="M561" s="12"/>
      <c r="N561" s="12"/>
    </row>
    <row r="562" spans="7:14" ht="12.75" customHeight="1" x14ac:dyDescent="0.15">
      <c r="G562" s="12"/>
      <c r="H562" s="17"/>
      <c r="J562" s="12"/>
      <c r="K562" s="12"/>
      <c r="M562" s="12"/>
      <c r="N562" s="12"/>
    </row>
    <row r="563" spans="7:14" ht="12.75" customHeight="1" x14ac:dyDescent="0.15">
      <c r="G563" s="12"/>
      <c r="H563" s="17"/>
      <c r="J563" s="12"/>
      <c r="K563" s="12"/>
      <c r="M563" s="12"/>
      <c r="N563" s="12"/>
    </row>
    <row r="564" spans="7:14" ht="12.75" customHeight="1" x14ac:dyDescent="0.15">
      <c r="G564" s="12"/>
      <c r="H564" s="17"/>
      <c r="J564" s="12"/>
      <c r="K564" s="12"/>
      <c r="M564" s="12"/>
      <c r="N564" s="12"/>
    </row>
    <row r="565" spans="7:14" ht="12.75" customHeight="1" x14ac:dyDescent="0.15">
      <c r="G565" s="12"/>
      <c r="H565" s="17"/>
      <c r="J565" s="12"/>
      <c r="K565" s="12"/>
      <c r="M565" s="12"/>
      <c r="N565" s="12"/>
    </row>
    <row r="566" spans="7:14" ht="12.75" customHeight="1" x14ac:dyDescent="0.15">
      <c r="G566" s="12"/>
      <c r="H566" s="17"/>
      <c r="J566" s="12"/>
      <c r="K566" s="12"/>
      <c r="M566" s="12"/>
      <c r="N566" s="12"/>
    </row>
    <row r="567" spans="7:14" ht="12.75" customHeight="1" x14ac:dyDescent="0.15">
      <c r="G567" s="12"/>
      <c r="H567" s="17"/>
      <c r="J567" s="12"/>
      <c r="K567" s="12"/>
      <c r="M567" s="12"/>
      <c r="N567" s="12"/>
    </row>
    <row r="568" spans="7:14" ht="12.75" customHeight="1" x14ac:dyDescent="0.15">
      <c r="G568" s="12"/>
      <c r="H568" s="17"/>
      <c r="J568" s="12"/>
      <c r="K568" s="12"/>
      <c r="M568" s="12"/>
      <c r="N568" s="12"/>
    </row>
    <row r="569" spans="7:14" ht="12.75" customHeight="1" x14ac:dyDescent="0.15">
      <c r="G569" s="12"/>
      <c r="H569" s="17"/>
      <c r="J569" s="12"/>
      <c r="K569" s="12"/>
      <c r="M569" s="12"/>
      <c r="N569" s="12"/>
    </row>
    <row r="570" spans="7:14" ht="12.75" customHeight="1" x14ac:dyDescent="0.15">
      <c r="G570" s="12"/>
      <c r="H570" s="17"/>
      <c r="J570" s="12"/>
      <c r="K570" s="12"/>
      <c r="M570" s="12"/>
      <c r="N570" s="12"/>
    </row>
    <row r="571" spans="7:14" ht="12.75" customHeight="1" x14ac:dyDescent="0.15">
      <c r="G571" s="12"/>
      <c r="H571" s="17"/>
      <c r="J571" s="12"/>
      <c r="K571" s="12"/>
      <c r="M571" s="12"/>
      <c r="N571" s="12"/>
    </row>
    <row r="572" spans="7:14" ht="12.75" customHeight="1" x14ac:dyDescent="0.15">
      <c r="G572" s="12"/>
      <c r="H572" s="17"/>
      <c r="J572" s="12"/>
      <c r="K572" s="12"/>
      <c r="M572" s="12"/>
      <c r="N572" s="12"/>
    </row>
    <row r="573" spans="7:14" ht="12.75" customHeight="1" x14ac:dyDescent="0.15">
      <c r="G573" s="12"/>
      <c r="H573" s="17"/>
      <c r="J573" s="12"/>
      <c r="K573" s="12"/>
      <c r="M573" s="12"/>
      <c r="N573" s="12"/>
    </row>
    <row r="574" spans="7:14" ht="12.75" customHeight="1" x14ac:dyDescent="0.15">
      <c r="G574" s="12"/>
      <c r="H574" s="17"/>
      <c r="J574" s="12"/>
      <c r="K574" s="12"/>
      <c r="M574" s="12"/>
      <c r="N574" s="12"/>
    </row>
    <row r="575" spans="7:14" ht="12.75" customHeight="1" x14ac:dyDescent="0.15">
      <c r="G575" s="12"/>
      <c r="H575" s="17"/>
      <c r="J575" s="12"/>
      <c r="K575" s="12"/>
      <c r="M575" s="12"/>
      <c r="N575" s="12"/>
    </row>
    <row r="576" spans="7:14" ht="12.75" customHeight="1" x14ac:dyDescent="0.15">
      <c r="G576" s="12"/>
      <c r="H576" s="17"/>
      <c r="J576" s="12"/>
      <c r="K576" s="12"/>
      <c r="M576" s="12"/>
      <c r="N576" s="12"/>
    </row>
    <row r="577" spans="7:14" ht="12.75" customHeight="1" x14ac:dyDescent="0.15">
      <c r="G577" s="12"/>
      <c r="H577" s="17"/>
      <c r="J577" s="12"/>
      <c r="K577" s="12"/>
      <c r="M577" s="12"/>
      <c r="N577" s="12"/>
    </row>
    <row r="578" spans="7:14" ht="12.75" customHeight="1" x14ac:dyDescent="0.15">
      <c r="G578" s="12"/>
      <c r="H578" s="17"/>
      <c r="J578" s="12"/>
      <c r="K578" s="12"/>
      <c r="M578" s="12"/>
      <c r="N578" s="12"/>
    </row>
    <row r="579" spans="7:14" ht="12.75" customHeight="1" x14ac:dyDescent="0.15">
      <c r="G579" s="12"/>
      <c r="H579" s="17"/>
      <c r="J579" s="12"/>
      <c r="K579" s="12"/>
      <c r="M579" s="12"/>
      <c r="N579" s="12"/>
    </row>
    <row r="580" spans="7:14" ht="12.75" customHeight="1" x14ac:dyDescent="0.15">
      <c r="G580" s="12"/>
      <c r="H580" s="17"/>
      <c r="J580" s="12"/>
      <c r="K580" s="12"/>
      <c r="M580" s="12"/>
      <c r="N580" s="12"/>
    </row>
    <row r="581" spans="7:14" ht="12.75" customHeight="1" x14ac:dyDescent="0.15">
      <c r="G581" s="12"/>
      <c r="H581" s="17"/>
      <c r="J581" s="12"/>
      <c r="K581" s="12"/>
      <c r="M581" s="12"/>
      <c r="N581" s="12"/>
    </row>
    <row r="582" spans="7:14" ht="12.75" customHeight="1" x14ac:dyDescent="0.15">
      <c r="G582" s="12"/>
      <c r="H582" s="17"/>
      <c r="J582" s="12"/>
      <c r="K582" s="12"/>
      <c r="M582" s="12"/>
      <c r="N582" s="12"/>
    </row>
    <row r="583" spans="7:14" ht="12.75" customHeight="1" x14ac:dyDescent="0.15">
      <c r="G583" s="12"/>
      <c r="H583" s="17"/>
      <c r="J583" s="12"/>
      <c r="K583" s="12"/>
      <c r="M583" s="12"/>
      <c r="N583" s="12"/>
    </row>
    <row r="584" spans="7:14" ht="12.75" customHeight="1" x14ac:dyDescent="0.15">
      <c r="G584" s="12"/>
      <c r="H584" s="17"/>
      <c r="J584" s="12"/>
      <c r="K584" s="12"/>
      <c r="M584" s="12"/>
      <c r="N584" s="12"/>
    </row>
    <row r="585" spans="7:14" ht="12.75" customHeight="1" x14ac:dyDescent="0.15">
      <c r="G585" s="12"/>
      <c r="H585" s="17"/>
      <c r="J585" s="12"/>
      <c r="K585" s="12"/>
      <c r="M585" s="12"/>
      <c r="N585" s="12"/>
    </row>
    <row r="586" spans="7:14" ht="12.75" customHeight="1" x14ac:dyDescent="0.15">
      <c r="G586" s="12"/>
      <c r="H586" s="17"/>
      <c r="J586" s="12"/>
      <c r="K586" s="12"/>
      <c r="M586" s="12"/>
      <c r="N586" s="12"/>
    </row>
    <row r="587" spans="7:14" ht="12.75" customHeight="1" x14ac:dyDescent="0.15">
      <c r="G587" s="12"/>
      <c r="H587" s="17"/>
      <c r="J587" s="12"/>
      <c r="K587" s="12"/>
      <c r="M587" s="12"/>
      <c r="N587" s="12"/>
    </row>
    <row r="588" spans="7:14" ht="12.75" customHeight="1" x14ac:dyDescent="0.15">
      <c r="G588" s="12"/>
      <c r="H588" s="17"/>
      <c r="J588" s="12"/>
      <c r="K588" s="12"/>
      <c r="M588" s="12"/>
      <c r="N588" s="12"/>
    </row>
    <row r="589" spans="7:14" ht="12.75" customHeight="1" x14ac:dyDescent="0.15">
      <c r="G589" s="12"/>
      <c r="H589" s="17"/>
      <c r="J589" s="12"/>
      <c r="K589" s="12"/>
      <c r="M589" s="12"/>
      <c r="N589" s="12"/>
    </row>
    <row r="590" spans="7:14" ht="12.75" customHeight="1" x14ac:dyDescent="0.15">
      <c r="G590" s="12"/>
      <c r="H590" s="17"/>
      <c r="J590" s="12"/>
      <c r="K590" s="12"/>
      <c r="M590" s="12"/>
      <c r="N590" s="12"/>
    </row>
    <row r="591" spans="7:14" ht="12.75" customHeight="1" x14ac:dyDescent="0.15">
      <c r="G591" s="12"/>
      <c r="H591" s="17"/>
      <c r="J591" s="12"/>
      <c r="K591" s="12"/>
      <c r="M591" s="12"/>
      <c r="N591" s="12"/>
    </row>
    <row r="592" spans="7:14" ht="12.75" customHeight="1" x14ac:dyDescent="0.15">
      <c r="G592" s="12"/>
      <c r="H592" s="17"/>
      <c r="J592" s="12"/>
      <c r="K592" s="12"/>
      <c r="M592" s="12"/>
      <c r="N592" s="12"/>
    </row>
    <row r="593" spans="7:14" ht="12.75" customHeight="1" x14ac:dyDescent="0.15">
      <c r="G593" s="12"/>
      <c r="H593" s="17"/>
      <c r="J593" s="12"/>
      <c r="K593" s="12"/>
      <c r="M593" s="12"/>
      <c r="N593" s="12"/>
    </row>
    <row r="594" spans="7:14" ht="12.75" customHeight="1" x14ac:dyDescent="0.15">
      <c r="G594" s="12"/>
      <c r="H594" s="17"/>
      <c r="J594" s="12"/>
      <c r="K594" s="12"/>
      <c r="M594" s="12"/>
      <c r="N594" s="12"/>
    </row>
    <row r="595" spans="7:14" ht="12.75" customHeight="1" x14ac:dyDescent="0.15">
      <c r="G595" s="12"/>
      <c r="H595" s="17"/>
      <c r="J595" s="12"/>
      <c r="K595" s="12"/>
      <c r="M595" s="12"/>
      <c r="N595" s="12"/>
    </row>
    <row r="596" spans="7:14" ht="12.75" customHeight="1" x14ac:dyDescent="0.15">
      <c r="G596" s="12"/>
      <c r="H596" s="17"/>
      <c r="J596" s="12"/>
      <c r="K596" s="12"/>
      <c r="M596" s="12"/>
      <c r="N596" s="12"/>
    </row>
    <row r="597" spans="7:14" ht="12.75" customHeight="1" x14ac:dyDescent="0.15">
      <c r="G597" s="12"/>
      <c r="H597" s="17"/>
      <c r="J597" s="12"/>
      <c r="K597" s="12"/>
      <c r="M597" s="12"/>
      <c r="N597" s="12"/>
    </row>
    <row r="598" spans="7:14" ht="12.75" customHeight="1" x14ac:dyDescent="0.15">
      <c r="G598" s="12"/>
      <c r="H598" s="17"/>
      <c r="J598" s="12"/>
      <c r="K598" s="12"/>
      <c r="M598" s="12"/>
      <c r="N598" s="12"/>
    </row>
    <row r="599" spans="7:14" ht="12.75" customHeight="1" x14ac:dyDescent="0.15">
      <c r="G599" s="12"/>
      <c r="H599" s="17"/>
      <c r="J599" s="12"/>
      <c r="K599" s="12"/>
      <c r="M599" s="12"/>
      <c r="N599" s="12"/>
    </row>
    <row r="600" spans="7:14" ht="12.75" customHeight="1" x14ac:dyDescent="0.15">
      <c r="G600" s="12"/>
      <c r="H600" s="17"/>
      <c r="J600" s="12"/>
      <c r="K600" s="12"/>
      <c r="M600" s="12"/>
      <c r="N600" s="12"/>
    </row>
    <row r="601" spans="7:14" ht="12.75" customHeight="1" x14ac:dyDescent="0.15">
      <c r="G601" s="12"/>
      <c r="H601" s="17"/>
      <c r="J601" s="12"/>
      <c r="K601" s="12"/>
      <c r="M601" s="12"/>
      <c r="N601" s="12"/>
    </row>
    <row r="602" spans="7:14" ht="12.75" customHeight="1" x14ac:dyDescent="0.15">
      <c r="G602" s="12"/>
      <c r="H602" s="17"/>
      <c r="J602" s="12"/>
      <c r="K602" s="12"/>
      <c r="M602" s="12"/>
      <c r="N602" s="12"/>
    </row>
    <row r="603" spans="7:14" ht="12.75" customHeight="1" x14ac:dyDescent="0.15">
      <c r="G603" s="12"/>
      <c r="H603" s="17"/>
      <c r="J603" s="12"/>
      <c r="K603" s="12"/>
      <c r="M603" s="12"/>
      <c r="N603" s="12"/>
    </row>
    <row r="604" spans="7:14" ht="12.75" customHeight="1" x14ac:dyDescent="0.15">
      <c r="G604" s="12"/>
      <c r="H604" s="17"/>
      <c r="J604" s="12"/>
      <c r="K604" s="12"/>
      <c r="M604" s="12"/>
      <c r="N604" s="12"/>
    </row>
    <row r="605" spans="7:14" ht="12.75" customHeight="1" x14ac:dyDescent="0.15">
      <c r="G605" s="12"/>
      <c r="H605" s="17"/>
      <c r="J605" s="12"/>
      <c r="K605" s="12"/>
      <c r="M605" s="12"/>
      <c r="N605" s="12"/>
    </row>
    <row r="606" spans="7:14" ht="12.75" customHeight="1" x14ac:dyDescent="0.15">
      <c r="G606" s="12"/>
      <c r="H606" s="17"/>
      <c r="J606" s="12"/>
      <c r="K606" s="12"/>
      <c r="M606" s="12"/>
      <c r="N606" s="12"/>
    </row>
    <row r="607" spans="7:14" ht="12.75" customHeight="1" x14ac:dyDescent="0.15">
      <c r="G607" s="12"/>
      <c r="H607" s="17"/>
      <c r="J607" s="12"/>
      <c r="K607" s="12"/>
      <c r="M607" s="12"/>
      <c r="N607" s="12"/>
    </row>
    <row r="608" spans="7:14" ht="12.75" customHeight="1" x14ac:dyDescent="0.15">
      <c r="G608" s="12"/>
      <c r="H608" s="17"/>
      <c r="J608" s="12"/>
      <c r="K608" s="12"/>
      <c r="M608" s="12"/>
      <c r="N608" s="12"/>
    </row>
    <row r="609" spans="7:14" ht="12.75" customHeight="1" x14ac:dyDescent="0.15">
      <c r="G609" s="12"/>
      <c r="H609" s="17"/>
      <c r="J609" s="12"/>
      <c r="K609" s="12"/>
      <c r="M609" s="12"/>
      <c r="N609" s="12"/>
    </row>
    <row r="610" spans="7:14" ht="12.75" customHeight="1" x14ac:dyDescent="0.15">
      <c r="G610" s="12"/>
      <c r="H610" s="17"/>
      <c r="J610" s="12"/>
      <c r="K610" s="12"/>
      <c r="M610" s="12"/>
      <c r="N610" s="12"/>
    </row>
    <row r="611" spans="7:14" ht="12.75" customHeight="1" x14ac:dyDescent="0.15">
      <c r="G611" s="12"/>
      <c r="H611" s="17"/>
      <c r="J611" s="12"/>
      <c r="K611" s="12"/>
      <c r="M611" s="12"/>
      <c r="N611" s="12"/>
    </row>
    <row r="612" spans="7:14" ht="12.75" customHeight="1" x14ac:dyDescent="0.15">
      <c r="G612" s="12"/>
      <c r="H612" s="17"/>
      <c r="J612" s="12"/>
      <c r="K612" s="12"/>
      <c r="M612" s="12"/>
      <c r="N612" s="12"/>
    </row>
    <row r="613" spans="7:14" ht="12.75" customHeight="1" x14ac:dyDescent="0.15">
      <c r="G613" s="12"/>
      <c r="H613" s="17"/>
      <c r="J613" s="12"/>
      <c r="K613" s="12"/>
      <c r="M613" s="12"/>
      <c r="N613" s="12"/>
    </row>
    <row r="614" spans="7:14" ht="12.75" customHeight="1" x14ac:dyDescent="0.15">
      <c r="G614" s="12"/>
      <c r="H614" s="17"/>
      <c r="J614" s="12"/>
      <c r="K614" s="12"/>
      <c r="M614" s="12"/>
      <c r="N614" s="12"/>
    </row>
    <row r="615" spans="7:14" ht="12.75" customHeight="1" x14ac:dyDescent="0.15">
      <c r="G615" s="12"/>
      <c r="H615" s="17"/>
      <c r="J615" s="12"/>
      <c r="K615" s="12"/>
      <c r="M615" s="12"/>
      <c r="N615" s="12"/>
    </row>
    <row r="616" spans="7:14" ht="12.75" customHeight="1" x14ac:dyDescent="0.15">
      <c r="G616" s="12"/>
      <c r="H616" s="17"/>
      <c r="J616" s="12"/>
      <c r="K616" s="12"/>
      <c r="M616" s="12"/>
      <c r="N616" s="12"/>
    </row>
    <row r="617" spans="7:14" ht="12.75" customHeight="1" x14ac:dyDescent="0.15">
      <c r="G617" s="12"/>
      <c r="H617" s="17"/>
      <c r="J617" s="12"/>
      <c r="K617" s="12"/>
      <c r="M617" s="12"/>
      <c r="N617" s="12"/>
    </row>
    <row r="618" spans="7:14" ht="12.75" customHeight="1" x14ac:dyDescent="0.15">
      <c r="G618" s="12"/>
      <c r="H618" s="17"/>
      <c r="J618" s="12"/>
      <c r="K618" s="12"/>
      <c r="M618" s="12"/>
      <c r="N618" s="12"/>
    </row>
    <row r="619" spans="7:14" ht="12.75" customHeight="1" x14ac:dyDescent="0.15">
      <c r="G619" s="12"/>
      <c r="H619" s="17"/>
      <c r="J619" s="12"/>
      <c r="K619" s="12"/>
      <c r="M619" s="12"/>
      <c r="N619" s="12"/>
    </row>
    <row r="620" spans="7:14" ht="12.75" customHeight="1" x14ac:dyDescent="0.15">
      <c r="G620" s="12"/>
      <c r="H620" s="17"/>
      <c r="J620" s="12"/>
      <c r="K620" s="12"/>
      <c r="M620" s="12"/>
      <c r="N620" s="12"/>
    </row>
    <row r="621" spans="7:14" ht="12.75" customHeight="1" x14ac:dyDescent="0.15">
      <c r="G621" s="12"/>
      <c r="H621" s="17"/>
      <c r="J621" s="12"/>
      <c r="K621" s="12"/>
      <c r="M621" s="12"/>
      <c r="N621" s="12"/>
    </row>
    <row r="622" spans="7:14" ht="12.75" customHeight="1" x14ac:dyDescent="0.15">
      <c r="G622" s="12"/>
      <c r="H622" s="17"/>
      <c r="J622" s="12"/>
      <c r="K622" s="12"/>
      <c r="M622" s="12"/>
      <c r="N622" s="12"/>
    </row>
    <row r="623" spans="7:14" ht="12.75" customHeight="1" x14ac:dyDescent="0.15">
      <c r="G623" s="12"/>
      <c r="H623" s="17"/>
      <c r="J623" s="12"/>
      <c r="K623" s="12"/>
      <c r="M623" s="12"/>
      <c r="N623" s="12"/>
    </row>
    <row r="624" spans="7:14" ht="12.75" customHeight="1" x14ac:dyDescent="0.15">
      <c r="G624" s="12"/>
      <c r="H624" s="17"/>
      <c r="J624" s="12"/>
      <c r="K624" s="12"/>
      <c r="M624" s="12"/>
      <c r="N624" s="12"/>
    </row>
    <row r="625" spans="7:14" ht="12.75" customHeight="1" x14ac:dyDescent="0.15">
      <c r="G625" s="12"/>
      <c r="H625" s="17"/>
      <c r="J625" s="12"/>
      <c r="K625" s="12"/>
      <c r="M625" s="12"/>
      <c r="N625" s="12"/>
    </row>
    <row r="626" spans="7:14" ht="12.75" customHeight="1" x14ac:dyDescent="0.15">
      <c r="G626" s="12"/>
      <c r="H626" s="17"/>
      <c r="J626" s="12"/>
      <c r="K626" s="12"/>
      <c r="M626" s="12"/>
      <c r="N626" s="12"/>
    </row>
    <row r="627" spans="7:14" ht="12.75" customHeight="1" x14ac:dyDescent="0.15">
      <c r="G627" s="12"/>
      <c r="H627" s="17"/>
      <c r="J627" s="12"/>
      <c r="K627" s="12"/>
      <c r="M627" s="12"/>
      <c r="N627" s="12"/>
    </row>
    <row r="628" spans="7:14" ht="12.75" customHeight="1" x14ac:dyDescent="0.15">
      <c r="G628" s="12"/>
      <c r="H628" s="17"/>
      <c r="J628" s="12"/>
      <c r="K628" s="12"/>
      <c r="M628" s="12"/>
      <c r="N628" s="12"/>
    </row>
    <row r="629" spans="7:14" ht="12.75" customHeight="1" x14ac:dyDescent="0.15">
      <c r="G629" s="12"/>
      <c r="H629" s="17"/>
      <c r="J629" s="12"/>
      <c r="K629" s="12"/>
      <c r="M629" s="12"/>
      <c r="N629" s="12"/>
    </row>
    <row r="630" spans="7:14" ht="12.75" customHeight="1" x14ac:dyDescent="0.15">
      <c r="G630" s="12"/>
      <c r="H630" s="17"/>
      <c r="J630" s="12"/>
      <c r="K630" s="12"/>
      <c r="M630" s="12"/>
      <c r="N630" s="12"/>
    </row>
    <row r="631" spans="7:14" ht="12.75" customHeight="1" x14ac:dyDescent="0.15">
      <c r="G631" s="12"/>
      <c r="H631" s="17"/>
      <c r="J631" s="12"/>
      <c r="K631" s="12"/>
      <c r="M631" s="12"/>
      <c r="N631" s="12"/>
    </row>
    <row r="632" spans="7:14" ht="12.75" customHeight="1" x14ac:dyDescent="0.15">
      <c r="G632" s="12"/>
      <c r="H632" s="17"/>
      <c r="J632" s="12"/>
      <c r="K632" s="12"/>
      <c r="M632" s="12"/>
      <c r="N632" s="12"/>
    </row>
    <row r="633" spans="7:14" ht="12.75" customHeight="1" x14ac:dyDescent="0.15">
      <c r="G633" s="12"/>
      <c r="H633" s="17"/>
      <c r="J633" s="12"/>
      <c r="K633" s="12"/>
      <c r="M633" s="12"/>
      <c r="N633" s="12"/>
    </row>
    <row r="634" spans="7:14" ht="12.75" customHeight="1" x14ac:dyDescent="0.15">
      <c r="G634" s="12"/>
      <c r="H634" s="17"/>
      <c r="J634" s="12"/>
      <c r="K634" s="12"/>
      <c r="M634" s="12"/>
      <c r="N634" s="12"/>
    </row>
    <row r="635" spans="7:14" ht="12.75" customHeight="1" x14ac:dyDescent="0.15">
      <c r="G635" s="12"/>
      <c r="H635" s="17"/>
      <c r="J635" s="12"/>
      <c r="K635" s="12"/>
      <c r="M635" s="12"/>
      <c r="N635" s="12"/>
    </row>
    <row r="636" spans="7:14" ht="12.75" customHeight="1" x14ac:dyDescent="0.15">
      <c r="G636" s="12"/>
      <c r="H636" s="17"/>
      <c r="J636" s="12"/>
      <c r="K636" s="12"/>
      <c r="M636" s="12"/>
      <c r="N636" s="12"/>
    </row>
    <row r="637" spans="7:14" ht="12.75" customHeight="1" x14ac:dyDescent="0.15">
      <c r="G637" s="12"/>
      <c r="H637" s="17"/>
      <c r="J637" s="12"/>
      <c r="K637" s="12"/>
      <c r="M637" s="12"/>
      <c r="N637" s="12"/>
    </row>
    <row r="638" spans="7:14" ht="12.75" customHeight="1" x14ac:dyDescent="0.15">
      <c r="G638" s="12"/>
      <c r="H638" s="17"/>
      <c r="J638" s="12"/>
      <c r="K638" s="12"/>
      <c r="M638" s="12"/>
      <c r="N638" s="12"/>
    </row>
    <row r="639" spans="7:14" ht="12.75" customHeight="1" x14ac:dyDescent="0.15">
      <c r="G639" s="12"/>
      <c r="H639" s="17"/>
      <c r="J639" s="12"/>
      <c r="K639" s="12"/>
      <c r="M639" s="12"/>
      <c r="N639" s="12"/>
    </row>
    <row r="640" spans="7:14" ht="12.75" customHeight="1" x14ac:dyDescent="0.15">
      <c r="G640" s="12"/>
      <c r="H640" s="17"/>
      <c r="J640" s="12"/>
      <c r="K640" s="12"/>
      <c r="M640" s="12"/>
      <c r="N640" s="12"/>
    </row>
    <row r="641" spans="7:14" ht="12.75" customHeight="1" x14ac:dyDescent="0.15">
      <c r="G641" s="12"/>
      <c r="H641" s="17"/>
      <c r="J641" s="12"/>
      <c r="K641" s="12"/>
      <c r="M641" s="12"/>
      <c r="N641" s="12"/>
    </row>
    <row r="642" spans="7:14" ht="12.75" customHeight="1" x14ac:dyDescent="0.15">
      <c r="G642" s="12"/>
      <c r="H642" s="17"/>
      <c r="J642" s="12"/>
      <c r="K642" s="12"/>
      <c r="M642" s="12"/>
      <c r="N642" s="12"/>
    </row>
    <row r="643" spans="7:14" ht="12.75" customHeight="1" x14ac:dyDescent="0.15">
      <c r="G643" s="12"/>
      <c r="H643" s="17"/>
      <c r="J643" s="12"/>
      <c r="K643" s="12"/>
      <c r="M643" s="12"/>
      <c r="N643" s="12"/>
    </row>
    <row r="644" spans="7:14" ht="12.75" customHeight="1" x14ac:dyDescent="0.15">
      <c r="G644" s="12"/>
      <c r="H644" s="17"/>
      <c r="J644" s="12"/>
      <c r="K644" s="12"/>
      <c r="M644" s="12"/>
      <c r="N644" s="12"/>
    </row>
    <row r="645" spans="7:14" ht="12.75" customHeight="1" x14ac:dyDescent="0.15">
      <c r="G645" s="12"/>
      <c r="H645" s="17"/>
      <c r="J645" s="12"/>
      <c r="K645" s="12"/>
      <c r="M645" s="12"/>
      <c r="N645" s="12"/>
    </row>
    <row r="646" spans="7:14" ht="12.75" customHeight="1" x14ac:dyDescent="0.15">
      <c r="G646" s="12"/>
      <c r="H646" s="17"/>
      <c r="J646" s="12"/>
      <c r="K646" s="12"/>
      <c r="M646" s="12"/>
      <c r="N646" s="12"/>
    </row>
    <row r="647" spans="7:14" ht="12.75" customHeight="1" x14ac:dyDescent="0.15">
      <c r="G647" s="12"/>
      <c r="H647" s="17"/>
      <c r="J647" s="12"/>
      <c r="K647" s="12"/>
      <c r="M647" s="12"/>
      <c r="N647" s="12"/>
    </row>
    <row r="648" spans="7:14" ht="12.75" customHeight="1" x14ac:dyDescent="0.15">
      <c r="G648" s="12"/>
      <c r="H648" s="17"/>
      <c r="J648" s="12"/>
      <c r="K648" s="12"/>
      <c r="M648" s="12"/>
      <c r="N648" s="12"/>
    </row>
    <row r="649" spans="7:14" ht="12.75" customHeight="1" x14ac:dyDescent="0.15">
      <c r="G649" s="12"/>
      <c r="H649" s="17"/>
      <c r="J649" s="12"/>
      <c r="K649" s="12"/>
      <c r="M649" s="12"/>
      <c r="N649" s="12"/>
    </row>
    <row r="650" spans="7:14" ht="12.75" customHeight="1" x14ac:dyDescent="0.15">
      <c r="G650" s="12"/>
      <c r="H650" s="17"/>
      <c r="J650" s="12"/>
      <c r="K650" s="12"/>
      <c r="M650" s="12"/>
      <c r="N650" s="12"/>
    </row>
    <row r="651" spans="7:14" ht="12.75" customHeight="1" x14ac:dyDescent="0.15">
      <c r="G651" s="12"/>
      <c r="H651" s="17"/>
      <c r="J651" s="12"/>
      <c r="K651" s="12"/>
      <c r="M651" s="12"/>
      <c r="N651" s="12"/>
    </row>
    <row r="652" spans="7:14" ht="12.75" customHeight="1" x14ac:dyDescent="0.15">
      <c r="G652" s="12"/>
      <c r="H652" s="17"/>
      <c r="J652" s="12"/>
      <c r="K652" s="12"/>
      <c r="M652" s="12"/>
      <c r="N652" s="12"/>
    </row>
    <row r="653" spans="7:14" ht="12.75" customHeight="1" x14ac:dyDescent="0.15">
      <c r="G653" s="12"/>
      <c r="H653" s="17"/>
      <c r="J653" s="12"/>
      <c r="K653" s="12"/>
      <c r="M653" s="12"/>
      <c r="N653" s="12"/>
    </row>
    <row r="654" spans="7:14" ht="12.75" customHeight="1" x14ac:dyDescent="0.15">
      <c r="G654" s="12"/>
      <c r="H654" s="17"/>
      <c r="J654" s="12"/>
      <c r="K654" s="12"/>
      <c r="M654" s="12"/>
      <c r="N654" s="12"/>
    </row>
    <row r="655" spans="7:14" ht="12.75" customHeight="1" x14ac:dyDescent="0.15">
      <c r="G655" s="12"/>
      <c r="H655" s="17"/>
      <c r="J655" s="12"/>
      <c r="K655" s="12"/>
      <c r="M655" s="12"/>
      <c r="N655" s="12"/>
    </row>
    <row r="656" spans="7:14" ht="12.75" customHeight="1" x14ac:dyDescent="0.15">
      <c r="G656" s="12"/>
      <c r="H656" s="17"/>
      <c r="J656" s="12"/>
      <c r="K656" s="12"/>
      <c r="M656" s="12"/>
      <c r="N656" s="12"/>
    </row>
    <row r="657" spans="7:14" ht="12.75" customHeight="1" x14ac:dyDescent="0.15">
      <c r="G657" s="12"/>
      <c r="H657" s="17"/>
      <c r="J657" s="12"/>
      <c r="K657" s="12"/>
      <c r="M657" s="12"/>
      <c r="N657" s="12"/>
    </row>
    <row r="658" spans="7:14" ht="12.75" customHeight="1" x14ac:dyDescent="0.15">
      <c r="G658" s="12"/>
      <c r="H658" s="17"/>
      <c r="J658" s="12"/>
      <c r="K658" s="12"/>
      <c r="M658" s="12"/>
      <c r="N658" s="12"/>
    </row>
    <row r="659" spans="7:14" ht="12.75" customHeight="1" x14ac:dyDescent="0.15">
      <c r="G659" s="12"/>
      <c r="H659" s="17"/>
      <c r="J659" s="12"/>
      <c r="K659" s="12"/>
      <c r="M659" s="12"/>
      <c r="N659" s="12"/>
    </row>
    <row r="660" spans="7:14" ht="12.75" customHeight="1" x14ac:dyDescent="0.15">
      <c r="G660" s="12"/>
      <c r="H660" s="17"/>
      <c r="J660" s="12"/>
      <c r="K660" s="12"/>
      <c r="M660" s="12"/>
      <c r="N660" s="12"/>
    </row>
    <row r="661" spans="7:14" ht="12.75" customHeight="1" x14ac:dyDescent="0.15">
      <c r="G661" s="12"/>
      <c r="H661" s="17"/>
      <c r="J661" s="12"/>
      <c r="K661" s="12"/>
      <c r="M661" s="12"/>
      <c r="N661" s="12"/>
    </row>
    <row r="662" spans="7:14" ht="12.75" customHeight="1" x14ac:dyDescent="0.15">
      <c r="G662" s="12"/>
      <c r="H662" s="17"/>
      <c r="J662" s="12"/>
      <c r="K662" s="12"/>
      <c r="M662" s="12"/>
      <c r="N662" s="12"/>
    </row>
    <row r="663" spans="7:14" ht="12.75" customHeight="1" x14ac:dyDescent="0.15">
      <c r="G663" s="12"/>
      <c r="H663" s="17"/>
      <c r="J663" s="12"/>
      <c r="K663" s="12"/>
      <c r="M663" s="12"/>
      <c r="N663" s="12"/>
    </row>
    <row r="664" spans="7:14" ht="12.75" customHeight="1" x14ac:dyDescent="0.15">
      <c r="G664" s="12"/>
      <c r="H664" s="17"/>
      <c r="J664" s="12"/>
      <c r="K664" s="12"/>
      <c r="M664" s="12"/>
      <c r="N664" s="12"/>
    </row>
    <row r="665" spans="7:14" ht="12.75" customHeight="1" x14ac:dyDescent="0.15">
      <c r="G665" s="12"/>
      <c r="H665" s="17"/>
      <c r="J665" s="12"/>
      <c r="K665" s="12"/>
      <c r="M665" s="12"/>
      <c r="N665" s="12"/>
    </row>
    <row r="666" spans="7:14" ht="12.75" customHeight="1" x14ac:dyDescent="0.15">
      <c r="G666" s="12"/>
      <c r="H666" s="17"/>
      <c r="J666" s="12"/>
      <c r="K666" s="12"/>
      <c r="M666" s="12"/>
      <c r="N666" s="12"/>
    </row>
    <row r="667" spans="7:14" ht="12.75" customHeight="1" x14ac:dyDescent="0.15">
      <c r="G667" s="12"/>
      <c r="H667" s="17"/>
      <c r="J667" s="12"/>
      <c r="K667" s="12"/>
      <c r="M667" s="12"/>
      <c r="N667" s="12"/>
    </row>
    <row r="668" spans="7:14" ht="12.75" customHeight="1" x14ac:dyDescent="0.15">
      <c r="G668" s="12"/>
      <c r="H668" s="17"/>
      <c r="J668" s="12"/>
      <c r="K668" s="12"/>
      <c r="M668" s="12"/>
      <c r="N668" s="12"/>
    </row>
    <row r="669" spans="7:14" ht="12.75" customHeight="1" x14ac:dyDescent="0.15">
      <c r="G669" s="12"/>
      <c r="H669" s="17"/>
      <c r="J669" s="12"/>
      <c r="K669" s="12"/>
      <c r="M669" s="12"/>
      <c r="N669" s="12"/>
    </row>
    <row r="670" spans="7:14" ht="12.75" customHeight="1" x14ac:dyDescent="0.15">
      <c r="G670" s="12"/>
      <c r="H670" s="17"/>
      <c r="J670" s="12"/>
      <c r="K670" s="12"/>
      <c r="M670" s="12"/>
      <c r="N670" s="12"/>
    </row>
    <row r="671" spans="7:14" ht="12.75" customHeight="1" x14ac:dyDescent="0.15">
      <c r="G671" s="12"/>
      <c r="H671" s="17"/>
      <c r="J671" s="12"/>
      <c r="K671" s="12"/>
      <c r="M671" s="12"/>
      <c r="N671" s="12"/>
    </row>
    <row r="672" spans="7:14" ht="12.75" customHeight="1" x14ac:dyDescent="0.15">
      <c r="G672" s="12"/>
      <c r="H672" s="17"/>
      <c r="J672" s="12"/>
      <c r="K672" s="12"/>
      <c r="M672" s="12"/>
      <c r="N672" s="12"/>
    </row>
    <row r="673" spans="7:14" ht="12.75" customHeight="1" x14ac:dyDescent="0.15">
      <c r="G673" s="12"/>
      <c r="H673" s="17"/>
      <c r="J673" s="12"/>
      <c r="K673" s="12"/>
      <c r="M673" s="12"/>
      <c r="N673" s="12"/>
    </row>
    <row r="674" spans="7:14" ht="12.75" customHeight="1" x14ac:dyDescent="0.15">
      <c r="G674" s="12"/>
      <c r="H674" s="17"/>
      <c r="J674" s="12"/>
      <c r="K674" s="12"/>
      <c r="M674" s="12"/>
      <c r="N674" s="12"/>
    </row>
    <row r="675" spans="7:14" ht="12.75" customHeight="1" x14ac:dyDescent="0.15">
      <c r="G675" s="12"/>
      <c r="H675" s="17"/>
      <c r="J675" s="12"/>
      <c r="K675" s="12"/>
      <c r="M675" s="12"/>
      <c r="N675" s="12"/>
    </row>
    <row r="676" spans="7:14" ht="12.75" customHeight="1" x14ac:dyDescent="0.15">
      <c r="G676" s="12"/>
      <c r="H676" s="17"/>
      <c r="J676" s="12"/>
      <c r="K676" s="12"/>
      <c r="M676" s="12"/>
      <c r="N676" s="12"/>
    </row>
    <row r="677" spans="7:14" ht="12.75" customHeight="1" x14ac:dyDescent="0.15">
      <c r="G677" s="12"/>
      <c r="H677" s="17"/>
      <c r="J677" s="12"/>
      <c r="K677" s="12"/>
      <c r="M677" s="12"/>
      <c r="N677" s="12"/>
    </row>
    <row r="678" spans="7:14" ht="12.75" customHeight="1" x14ac:dyDescent="0.15">
      <c r="G678" s="12"/>
      <c r="H678" s="17"/>
      <c r="J678" s="12"/>
      <c r="K678" s="12"/>
      <c r="M678" s="12"/>
      <c r="N678" s="12"/>
    </row>
    <row r="679" spans="7:14" ht="12.75" customHeight="1" x14ac:dyDescent="0.15">
      <c r="G679" s="12"/>
      <c r="H679" s="17"/>
      <c r="J679" s="12"/>
      <c r="K679" s="12"/>
      <c r="M679" s="12"/>
      <c r="N679" s="12"/>
    </row>
    <row r="680" spans="7:14" ht="12.75" customHeight="1" x14ac:dyDescent="0.15">
      <c r="G680" s="12"/>
      <c r="H680" s="17"/>
      <c r="J680" s="12"/>
      <c r="K680" s="12"/>
      <c r="M680" s="12"/>
      <c r="N680" s="12"/>
    </row>
    <row r="681" spans="7:14" ht="12.75" customHeight="1" x14ac:dyDescent="0.15">
      <c r="G681" s="12"/>
      <c r="H681" s="17"/>
      <c r="J681" s="12"/>
      <c r="K681" s="12"/>
      <c r="M681" s="12"/>
      <c r="N681" s="12"/>
    </row>
    <row r="682" spans="7:14" ht="12.75" customHeight="1" x14ac:dyDescent="0.15">
      <c r="G682" s="12"/>
      <c r="H682" s="17"/>
      <c r="J682" s="12"/>
      <c r="K682" s="12"/>
      <c r="M682" s="12"/>
      <c r="N682" s="12"/>
    </row>
    <row r="683" spans="7:14" ht="12.75" customHeight="1" x14ac:dyDescent="0.15">
      <c r="G683" s="12"/>
      <c r="H683" s="17"/>
      <c r="J683" s="12"/>
      <c r="K683" s="12"/>
      <c r="M683" s="12"/>
      <c r="N683" s="12"/>
    </row>
    <row r="684" spans="7:14" ht="12.75" customHeight="1" x14ac:dyDescent="0.15">
      <c r="G684" s="12"/>
      <c r="H684" s="17"/>
      <c r="J684" s="12"/>
      <c r="K684" s="12"/>
      <c r="M684" s="12"/>
      <c r="N684" s="12"/>
    </row>
    <row r="685" spans="7:14" ht="12.75" customHeight="1" x14ac:dyDescent="0.15">
      <c r="G685" s="12"/>
      <c r="H685" s="17"/>
      <c r="J685" s="12"/>
      <c r="K685" s="12"/>
      <c r="M685" s="12"/>
      <c r="N685" s="12"/>
    </row>
    <row r="686" spans="7:14" ht="12.75" customHeight="1" x14ac:dyDescent="0.15">
      <c r="G686" s="12"/>
      <c r="H686" s="17"/>
      <c r="J686" s="12"/>
      <c r="K686" s="12"/>
      <c r="M686" s="12"/>
      <c r="N686" s="12"/>
    </row>
    <row r="687" spans="7:14" ht="12.75" customHeight="1" x14ac:dyDescent="0.15">
      <c r="G687" s="12"/>
      <c r="H687" s="17"/>
      <c r="J687" s="12"/>
      <c r="K687" s="12"/>
      <c r="M687" s="12"/>
      <c r="N687" s="12"/>
    </row>
    <row r="688" spans="7:14" ht="12.75" customHeight="1" x14ac:dyDescent="0.15">
      <c r="G688" s="12"/>
      <c r="H688" s="17"/>
      <c r="J688" s="12"/>
      <c r="K688" s="12"/>
      <c r="M688" s="12"/>
      <c r="N688" s="12"/>
    </row>
    <row r="689" spans="7:14" ht="12.75" customHeight="1" x14ac:dyDescent="0.15">
      <c r="G689" s="12"/>
      <c r="H689" s="17"/>
      <c r="J689" s="12"/>
      <c r="K689" s="12"/>
      <c r="M689" s="12"/>
      <c r="N689" s="12"/>
    </row>
    <row r="690" spans="7:14" ht="12.75" customHeight="1" x14ac:dyDescent="0.15">
      <c r="G690" s="12"/>
      <c r="H690" s="17"/>
      <c r="J690" s="12"/>
      <c r="K690" s="12"/>
      <c r="M690" s="12"/>
      <c r="N690" s="12"/>
    </row>
    <row r="691" spans="7:14" ht="12.75" customHeight="1" x14ac:dyDescent="0.15">
      <c r="G691" s="12"/>
      <c r="H691" s="17"/>
      <c r="J691" s="12"/>
      <c r="K691" s="12"/>
      <c r="M691" s="12"/>
      <c r="N691" s="12"/>
    </row>
    <row r="692" spans="7:14" ht="12.75" customHeight="1" x14ac:dyDescent="0.15">
      <c r="G692" s="12"/>
      <c r="H692" s="17"/>
      <c r="J692" s="12"/>
      <c r="K692" s="12"/>
      <c r="M692" s="12"/>
      <c r="N692" s="12"/>
    </row>
    <row r="693" spans="7:14" ht="12.75" customHeight="1" x14ac:dyDescent="0.15">
      <c r="G693" s="12"/>
      <c r="H693" s="17"/>
      <c r="J693" s="12"/>
      <c r="K693" s="12"/>
      <c r="M693" s="12"/>
      <c r="N693" s="12"/>
    </row>
    <row r="694" spans="7:14" ht="12.75" customHeight="1" x14ac:dyDescent="0.15">
      <c r="G694" s="12"/>
      <c r="H694" s="17"/>
      <c r="J694" s="12"/>
      <c r="K694" s="12"/>
      <c r="M694" s="12"/>
      <c r="N694" s="12"/>
    </row>
    <row r="695" spans="7:14" ht="12.75" customHeight="1" x14ac:dyDescent="0.15">
      <c r="G695" s="12"/>
      <c r="H695" s="17"/>
      <c r="J695" s="12"/>
      <c r="K695" s="12"/>
      <c r="M695" s="12"/>
      <c r="N695" s="12"/>
    </row>
    <row r="696" spans="7:14" ht="12.75" customHeight="1" x14ac:dyDescent="0.15">
      <c r="G696" s="12"/>
      <c r="H696" s="17"/>
      <c r="J696" s="12"/>
      <c r="K696" s="12"/>
      <c r="M696" s="12"/>
      <c r="N696" s="12"/>
    </row>
    <row r="697" spans="7:14" ht="12.75" customHeight="1" x14ac:dyDescent="0.15">
      <c r="G697" s="12"/>
      <c r="H697" s="17"/>
      <c r="J697" s="12"/>
      <c r="K697" s="12"/>
      <c r="M697" s="12"/>
      <c r="N697" s="12"/>
    </row>
    <row r="698" spans="7:14" ht="12.75" customHeight="1" x14ac:dyDescent="0.15">
      <c r="G698" s="12"/>
      <c r="H698" s="17"/>
      <c r="J698" s="12"/>
      <c r="K698" s="12"/>
      <c r="M698" s="12"/>
      <c r="N698" s="12"/>
    </row>
    <row r="699" spans="7:14" ht="12.75" customHeight="1" x14ac:dyDescent="0.15">
      <c r="G699" s="12"/>
      <c r="H699" s="17"/>
      <c r="J699" s="12"/>
      <c r="K699" s="12"/>
      <c r="M699" s="12"/>
      <c r="N699" s="12"/>
    </row>
    <row r="700" spans="7:14" ht="12.75" customHeight="1" x14ac:dyDescent="0.15">
      <c r="G700" s="12"/>
      <c r="H700" s="17"/>
      <c r="J700" s="12"/>
      <c r="K700" s="12"/>
      <c r="M700" s="12"/>
      <c r="N700" s="12"/>
    </row>
    <row r="701" spans="7:14" ht="12.75" customHeight="1" x14ac:dyDescent="0.15">
      <c r="G701" s="12"/>
      <c r="H701" s="17"/>
      <c r="J701" s="12"/>
      <c r="K701" s="12"/>
      <c r="M701" s="12"/>
      <c r="N701" s="12"/>
    </row>
    <row r="702" spans="7:14" ht="12.75" customHeight="1" x14ac:dyDescent="0.15">
      <c r="G702" s="12"/>
      <c r="H702" s="17"/>
      <c r="J702" s="12"/>
      <c r="K702" s="12"/>
      <c r="M702" s="12"/>
      <c r="N702" s="12"/>
    </row>
    <row r="703" spans="7:14" ht="12.75" customHeight="1" x14ac:dyDescent="0.15">
      <c r="G703" s="12"/>
      <c r="H703" s="17"/>
      <c r="J703" s="12"/>
      <c r="K703" s="12"/>
      <c r="M703" s="12"/>
      <c r="N703" s="12"/>
    </row>
    <row r="704" spans="7:14" ht="12.75" customHeight="1" x14ac:dyDescent="0.15">
      <c r="G704" s="12"/>
      <c r="H704" s="17"/>
      <c r="J704" s="12"/>
      <c r="K704" s="12"/>
      <c r="M704" s="12"/>
      <c r="N704" s="12"/>
    </row>
    <row r="705" spans="7:14" ht="12.75" customHeight="1" x14ac:dyDescent="0.15">
      <c r="G705" s="12"/>
      <c r="H705" s="17"/>
      <c r="J705" s="12"/>
      <c r="K705" s="12"/>
      <c r="M705" s="12"/>
      <c r="N705" s="12"/>
    </row>
    <row r="706" spans="7:14" ht="12.75" customHeight="1" x14ac:dyDescent="0.15">
      <c r="G706" s="12"/>
      <c r="H706" s="17"/>
      <c r="J706" s="12"/>
      <c r="K706" s="12"/>
      <c r="M706" s="12"/>
      <c r="N706" s="12"/>
    </row>
    <row r="707" spans="7:14" ht="12.75" customHeight="1" x14ac:dyDescent="0.15">
      <c r="G707" s="12"/>
      <c r="H707" s="17"/>
      <c r="J707" s="12"/>
      <c r="K707" s="12"/>
      <c r="M707" s="12"/>
      <c r="N707" s="12"/>
    </row>
    <row r="708" spans="7:14" ht="12.75" customHeight="1" x14ac:dyDescent="0.15">
      <c r="G708" s="12"/>
      <c r="H708" s="17"/>
      <c r="J708" s="12"/>
      <c r="K708" s="12"/>
      <c r="M708" s="12"/>
      <c r="N708" s="12"/>
    </row>
    <row r="709" spans="7:14" ht="12.75" customHeight="1" x14ac:dyDescent="0.15">
      <c r="G709" s="12"/>
      <c r="H709" s="17"/>
      <c r="J709" s="12"/>
      <c r="K709" s="12"/>
      <c r="M709" s="12"/>
      <c r="N709" s="12"/>
    </row>
    <row r="710" spans="7:14" ht="12.75" customHeight="1" x14ac:dyDescent="0.15">
      <c r="G710" s="12"/>
      <c r="H710" s="17"/>
      <c r="J710" s="12"/>
      <c r="K710" s="12"/>
      <c r="M710" s="12"/>
      <c r="N710" s="12"/>
    </row>
    <row r="711" spans="7:14" ht="12.75" customHeight="1" x14ac:dyDescent="0.15">
      <c r="G711" s="12"/>
      <c r="H711" s="17"/>
      <c r="J711" s="12"/>
      <c r="K711" s="12"/>
      <c r="M711" s="12"/>
      <c r="N711" s="12"/>
    </row>
    <row r="712" spans="7:14" ht="12.75" customHeight="1" x14ac:dyDescent="0.15">
      <c r="G712" s="12"/>
      <c r="H712" s="17"/>
      <c r="J712" s="12"/>
      <c r="K712" s="12"/>
      <c r="M712" s="12"/>
      <c r="N712" s="12"/>
    </row>
    <row r="713" spans="7:14" ht="12.75" customHeight="1" x14ac:dyDescent="0.15">
      <c r="G713" s="12"/>
      <c r="H713" s="17"/>
      <c r="J713" s="12"/>
      <c r="K713" s="12"/>
      <c r="M713" s="12"/>
      <c r="N713" s="12"/>
    </row>
    <row r="714" spans="7:14" ht="12.75" customHeight="1" x14ac:dyDescent="0.15">
      <c r="G714" s="12"/>
      <c r="H714" s="17"/>
      <c r="J714" s="12"/>
      <c r="K714" s="12"/>
      <c r="M714" s="12"/>
      <c r="N714" s="12"/>
    </row>
    <row r="715" spans="7:14" ht="12.75" customHeight="1" x14ac:dyDescent="0.15">
      <c r="G715" s="12"/>
      <c r="H715" s="17"/>
      <c r="J715" s="12"/>
      <c r="K715" s="12"/>
      <c r="M715" s="12"/>
      <c r="N715" s="12"/>
    </row>
    <row r="716" spans="7:14" ht="12.75" customHeight="1" x14ac:dyDescent="0.15">
      <c r="G716" s="12"/>
      <c r="H716" s="17"/>
      <c r="J716" s="12"/>
      <c r="K716" s="12"/>
      <c r="M716" s="12"/>
      <c r="N716" s="12"/>
    </row>
    <row r="717" spans="7:14" ht="12.75" customHeight="1" x14ac:dyDescent="0.15">
      <c r="G717" s="12"/>
      <c r="H717" s="17"/>
      <c r="J717" s="12"/>
      <c r="K717" s="12"/>
      <c r="M717" s="12"/>
      <c r="N717" s="12"/>
    </row>
    <row r="718" spans="7:14" ht="12.75" customHeight="1" x14ac:dyDescent="0.15">
      <c r="G718" s="12"/>
      <c r="H718" s="17"/>
      <c r="J718" s="12"/>
      <c r="K718" s="12"/>
      <c r="M718" s="12"/>
      <c r="N718" s="12"/>
    </row>
    <row r="719" spans="7:14" ht="12.75" customHeight="1" x14ac:dyDescent="0.15">
      <c r="G719" s="12"/>
      <c r="H719" s="17"/>
      <c r="J719" s="12"/>
      <c r="K719" s="12"/>
      <c r="M719" s="12"/>
      <c r="N719" s="12"/>
    </row>
    <row r="720" spans="7:14" ht="12.75" customHeight="1" x14ac:dyDescent="0.15">
      <c r="G720" s="12"/>
      <c r="H720" s="17"/>
      <c r="J720" s="12"/>
      <c r="K720" s="12"/>
      <c r="M720" s="12"/>
      <c r="N720" s="12"/>
    </row>
    <row r="721" spans="7:14" ht="12.75" customHeight="1" x14ac:dyDescent="0.15">
      <c r="G721" s="12"/>
      <c r="H721" s="17"/>
      <c r="J721" s="12"/>
      <c r="K721" s="12"/>
      <c r="M721" s="12"/>
      <c r="N721" s="12"/>
    </row>
    <row r="722" spans="7:14" ht="12.75" customHeight="1" x14ac:dyDescent="0.15">
      <c r="G722" s="12"/>
      <c r="H722" s="17"/>
      <c r="J722" s="12"/>
      <c r="K722" s="12"/>
      <c r="M722" s="12"/>
      <c r="N722" s="12"/>
    </row>
    <row r="723" spans="7:14" ht="12.75" customHeight="1" x14ac:dyDescent="0.15">
      <c r="G723" s="12"/>
      <c r="H723" s="17"/>
      <c r="J723" s="12"/>
      <c r="K723" s="12"/>
      <c r="M723" s="12"/>
      <c r="N723" s="12"/>
    </row>
    <row r="724" spans="7:14" ht="12.75" customHeight="1" x14ac:dyDescent="0.15">
      <c r="G724" s="12"/>
      <c r="H724" s="17"/>
      <c r="J724" s="12"/>
      <c r="K724" s="12"/>
      <c r="M724" s="12"/>
      <c r="N724" s="12"/>
    </row>
    <row r="725" spans="7:14" ht="12.75" customHeight="1" x14ac:dyDescent="0.15">
      <c r="G725" s="12"/>
      <c r="H725" s="17"/>
      <c r="J725" s="12"/>
      <c r="K725" s="12"/>
      <c r="M725" s="12"/>
      <c r="N725" s="12"/>
    </row>
    <row r="726" spans="7:14" ht="12.75" customHeight="1" x14ac:dyDescent="0.15">
      <c r="G726" s="12"/>
      <c r="H726" s="17"/>
      <c r="J726" s="12"/>
      <c r="K726" s="12"/>
      <c r="M726" s="12"/>
      <c r="N726" s="12"/>
    </row>
    <row r="727" spans="7:14" ht="12.75" customHeight="1" x14ac:dyDescent="0.15">
      <c r="G727" s="12"/>
      <c r="H727" s="17"/>
      <c r="J727" s="12"/>
      <c r="K727" s="12"/>
      <c r="M727" s="12"/>
      <c r="N727" s="12"/>
    </row>
    <row r="728" spans="7:14" ht="12.75" customHeight="1" x14ac:dyDescent="0.15">
      <c r="G728" s="12"/>
      <c r="H728" s="17"/>
      <c r="J728" s="12"/>
      <c r="K728" s="12"/>
      <c r="M728" s="12"/>
      <c r="N728" s="12"/>
    </row>
    <row r="729" spans="7:14" ht="12.75" customHeight="1" x14ac:dyDescent="0.15">
      <c r="G729" s="12"/>
      <c r="H729" s="17"/>
      <c r="J729" s="12"/>
      <c r="K729" s="12"/>
      <c r="M729" s="12"/>
      <c r="N729" s="12"/>
    </row>
    <row r="730" spans="7:14" ht="12.75" customHeight="1" x14ac:dyDescent="0.15">
      <c r="G730" s="12"/>
      <c r="H730" s="17"/>
      <c r="J730" s="12"/>
      <c r="K730" s="12"/>
      <c r="M730" s="12"/>
      <c r="N730" s="12"/>
    </row>
    <row r="731" spans="7:14" ht="12.75" customHeight="1" x14ac:dyDescent="0.15">
      <c r="G731" s="12"/>
      <c r="H731" s="17"/>
      <c r="J731" s="12"/>
      <c r="K731" s="12"/>
      <c r="M731" s="12"/>
      <c r="N731" s="12"/>
    </row>
    <row r="732" spans="7:14" ht="12.75" customHeight="1" x14ac:dyDescent="0.15">
      <c r="G732" s="12"/>
      <c r="H732" s="17"/>
      <c r="J732" s="12"/>
      <c r="K732" s="12"/>
      <c r="M732" s="12"/>
      <c r="N732" s="12"/>
    </row>
    <row r="733" spans="7:14" ht="12.75" customHeight="1" x14ac:dyDescent="0.15">
      <c r="G733" s="12"/>
      <c r="H733" s="17"/>
      <c r="J733" s="12"/>
      <c r="K733" s="12"/>
      <c r="M733" s="12"/>
      <c r="N733" s="12"/>
    </row>
    <row r="734" spans="7:14" ht="12.75" customHeight="1" x14ac:dyDescent="0.15">
      <c r="G734" s="12"/>
      <c r="H734" s="17"/>
      <c r="J734" s="12"/>
      <c r="K734" s="12"/>
      <c r="M734" s="12"/>
      <c r="N734" s="12"/>
    </row>
    <row r="735" spans="7:14" ht="12.75" customHeight="1" x14ac:dyDescent="0.15">
      <c r="G735" s="12"/>
      <c r="H735" s="17"/>
      <c r="J735" s="12"/>
      <c r="K735" s="12"/>
      <c r="M735" s="12"/>
      <c r="N735" s="12"/>
    </row>
    <row r="736" spans="7:14" ht="12.75" customHeight="1" x14ac:dyDescent="0.15">
      <c r="G736" s="12"/>
      <c r="H736" s="17"/>
      <c r="J736" s="12"/>
      <c r="K736" s="12"/>
      <c r="M736" s="12"/>
      <c r="N736" s="12"/>
    </row>
    <row r="737" spans="7:14" ht="12.75" customHeight="1" x14ac:dyDescent="0.15">
      <c r="G737" s="12"/>
      <c r="H737" s="17"/>
      <c r="J737" s="12"/>
      <c r="K737" s="12"/>
      <c r="M737" s="12"/>
      <c r="N737" s="12"/>
    </row>
    <row r="738" spans="7:14" ht="12.75" customHeight="1" x14ac:dyDescent="0.15">
      <c r="G738" s="12"/>
      <c r="H738" s="17"/>
      <c r="J738" s="12"/>
      <c r="K738" s="12"/>
      <c r="M738" s="12"/>
      <c r="N738" s="12"/>
    </row>
    <row r="739" spans="7:14" ht="12.75" customHeight="1" x14ac:dyDescent="0.15">
      <c r="G739" s="12"/>
      <c r="H739" s="17"/>
      <c r="J739" s="12"/>
      <c r="K739" s="12"/>
      <c r="M739" s="12"/>
      <c r="N739" s="12"/>
    </row>
    <row r="740" spans="7:14" ht="12.75" customHeight="1" x14ac:dyDescent="0.15">
      <c r="G740" s="12"/>
      <c r="H740" s="17"/>
      <c r="J740" s="12"/>
      <c r="K740" s="12"/>
      <c r="M740" s="12"/>
      <c r="N740" s="12"/>
    </row>
    <row r="741" spans="7:14" ht="12.75" customHeight="1" x14ac:dyDescent="0.15">
      <c r="G741" s="12"/>
      <c r="H741" s="17"/>
      <c r="J741" s="12"/>
      <c r="K741" s="12"/>
      <c r="M741" s="12"/>
      <c r="N741" s="12"/>
    </row>
    <row r="742" spans="7:14" ht="12.75" customHeight="1" x14ac:dyDescent="0.15">
      <c r="G742" s="12"/>
      <c r="H742" s="17"/>
      <c r="J742" s="12"/>
      <c r="K742" s="12"/>
      <c r="M742" s="12"/>
      <c r="N742" s="12"/>
    </row>
    <row r="743" spans="7:14" ht="12.75" customHeight="1" x14ac:dyDescent="0.15">
      <c r="G743" s="12"/>
      <c r="H743" s="17"/>
      <c r="J743" s="12"/>
      <c r="K743" s="12"/>
      <c r="M743" s="12"/>
      <c r="N743" s="12"/>
    </row>
    <row r="744" spans="7:14" ht="12.75" customHeight="1" x14ac:dyDescent="0.15">
      <c r="G744" s="12"/>
      <c r="H744" s="17"/>
      <c r="J744" s="12"/>
      <c r="K744" s="12"/>
      <c r="M744" s="12"/>
      <c r="N744" s="12"/>
    </row>
    <row r="745" spans="7:14" ht="12.75" customHeight="1" x14ac:dyDescent="0.15">
      <c r="G745" s="12"/>
      <c r="H745" s="17"/>
      <c r="J745" s="12"/>
      <c r="K745" s="12"/>
      <c r="M745" s="12"/>
      <c r="N745" s="12"/>
    </row>
    <row r="746" spans="7:14" ht="12.75" customHeight="1" x14ac:dyDescent="0.15">
      <c r="G746" s="12"/>
      <c r="H746" s="17"/>
      <c r="J746" s="12"/>
      <c r="K746" s="12"/>
      <c r="M746" s="12"/>
      <c r="N746" s="12"/>
    </row>
    <row r="747" spans="7:14" ht="12.75" customHeight="1" x14ac:dyDescent="0.15">
      <c r="G747" s="12"/>
      <c r="H747" s="17"/>
      <c r="J747" s="12"/>
      <c r="K747" s="12"/>
      <c r="M747" s="12"/>
      <c r="N747" s="12"/>
    </row>
    <row r="748" spans="7:14" ht="12.75" customHeight="1" x14ac:dyDescent="0.15">
      <c r="G748" s="12"/>
      <c r="H748" s="17"/>
      <c r="J748" s="12"/>
      <c r="K748" s="12"/>
      <c r="M748" s="12"/>
      <c r="N748" s="12"/>
    </row>
    <row r="749" spans="7:14" ht="12.75" customHeight="1" x14ac:dyDescent="0.15">
      <c r="G749" s="12"/>
      <c r="H749" s="17"/>
      <c r="J749" s="12"/>
      <c r="K749" s="12"/>
      <c r="M749" s="12"/>
      <c r="N749" s="12"/>
    </row>
    <row r="750" spans="7:14" ht="12.75" customHeight="1" x14ac:dyDescent="0.15">
      <c r="G750" s="12"/>
      <c r="H750" s="17"/>
      <c r="J750" s="12"/>
      <c r="K750" s="12"/>
      <c r="M750" s="12"/>
      <c r="N750" s="12"/>
    </row>
    <row r="751" spans="7:14" ht="12.75" customHeight="1" x14ac:dyDescent="0.15">
      <c r="G751" s="12"/>
      <c r="H751" s="17"/>
      <c r="J751" s="12"/>
      <c r="K751" s="12"/>
      <c r="M751" s="12"/>
      <c r="N751" s="12"/>
    </row>
    <row r="752" spans="7:14" ht="12.75" customHeight="1" x14ac:dyDescent="0.15">
      <c r="G752" s="12"/>
      <c r="H752" s="17"/>
      <c r="J752" s="12"/>
      <c r="K752" s="12"/>
      <c r="M752" s="12"/>
      <c r="N752" s="12"/>
    </row>
    <row r="753" spans="7:14" ht="12.75" customHeight="1" x14ac:dyDescent="0.15">
      <c r="G753" s="12"/>
      <c r="H753" s="17"/>
      <c r="J753" s="12"/>
      <c r="K753" s="12"/>
      <c r="M753" s="12"/>
      <c r="N753" s="12"/>
    </row>
    <row r="754" spans="7:14" ht="12.75" customHeight="1" x14ac:dyDescent="0.15">
      <c r="G754" s="12"/>
      <c r="H754" s="17"/>
      <c r="J754" s="12"/>
      <c r="K754" s="12"/>
      <c r="M754" s="12"/>
      <c r="N754" s="12"/>
    </row>
    <row r="755" spans="7:14" ht="12.75" customHeight="1" x14ac:dyDescent="0.15">
      <c r="G755" s="12"/>
      <c r="H755" s="17"/>
      <c r="J755" s="12"/>
      <c r="K755" s="12"/>
      <c r="M755" s="12"/>
      <c r="N755" s="12"/>
    </row>
    <row r="756" spans="7:14" ht="12.75" customHeight="1" x14ac:dyDescent="0.15">
      <c r="G756" s="12"/>
      <c r="H756" s="17"/>
      <c r="J756" s="12"/>
      <c r="K756" s="12"/>
      <c r="M756" s="12"/>
      <c r="N756" s="12"/>
    </row>
    <row r="757" spans="7:14" ht="12.75" customHeight="1" x14ac:dyDescent="0.15">
      <c r="G757" s="12"/>
      <c r="H757" s="17"/>
      <c r="J757" s="12"/>
      <c r="K757" s="12"/>
      <c r="M757" s="12"/>
      <c r="N757" s="12"/>
    </row>
    <row r="758" spans="7:14" ht="12.75" customHeight="1" x14ac:dyDescent="0.15">
      <c r="G758" s="12"/>
      <c r="H758" s="17"/>
      <c r="J758" s="12"/>
      <c r="K758" s="12"/>
      <c r="M758" s="12"/>
      <c r="N758" s="12"/>
    </row>
    <row r="759" spans="7:14" ht="12.75" customHeight="1" x14ac:dyDescent="0.15">
      <c r="G759" s="12"/>
      <c r="H759" s="17"/>
      <c r="J759" s="12"/>
      <c r="K759" s="12"/>
      <c r="M759" s="12"/>
      <c r="N759" s="12"/>
    </row>
    <row r="760" spans="7:14" ht="12.75" customHeight="1" x14ac:dyDescent="0.15">
      <c r="G760" s="12"/>
      <c r="H760" s="17"/>
      <c r="J760" s="12"/>
      <c r="K760" s="12"/>
      <c r="M760" s="12"/>
      <c r="N760" s="12"/>
    </row>
    <row r="761" spans="7:14" ht="12.75" customHeight="1" x14ac:dyDescent="0.15">
      <c r="G761" s="12"/>
      <c r="H761" s="17"/>
      <c r="J761" s="12"/>
      <c r="K761" s="12"/>
      <c r="M761" s="12"/>
      <c r="N761" s="12"/>
    </row>
    <row r="762" spans="7:14" ht="12.75" customHeight="1" x14ac:dyDescent="0.15">
      <c r="G762" s="12"/>
      <c r="H762" s="17"/>
      <c r="J762" s="12"/>
      <c r="K762" s="12"/>
      <c r="M762" s="12"/>
      <c r="N762" s="12"/>
    </row>
    <row r="763" spans="7:14" ht="12.75" customHeight="1" x14ac:dyDescent="0.15">
      <c r="G763" s="12"/>
      <c r="H763" s="17"/>
      <c r="J763" s="12"/>
      <c r="K763" s="12"/>
      <c r="M763" s="12"/>
      <c r="N763" s="12"/>
    </row>
    <row r="764" spans="7:14" ht="12.75" customHeight="1" x14ac:dyDescent="0.15">
      <c r="G764" s="12"/>
      <c r="H764" s="17"/>
      <c r="J764" s="12"/>
      <c r="K764" s="12"/>
      <c r="M764" s="12"/>
      <c r="N764" s="12"/>
    </row>
    <row r="765" spans="7:14" ht="12.75" customHeight="1" x14ac:dyDescent="0.15">
      <c r="G765" s="12"/>
      <c r="H765" s="17"/>
      <c r="J765" s="12"/>
      <c r="K765" s="12"/>
      <c r="M765" s="12"/>
      <c r="N765" s="12"/>
    </row>
    <row r="766" spans="7:14" ht="12.75" customHeight="1" x14ac:dyDescent="0.15">
      <c r="G766" s="12"/>
      <c r="H766" s="17"/>
      <c r="J766" s="12"/>
      <c r="K766" s="12"/>
      <c r="M766" s="12"/>
      <c r="N766" s="12"/>
    </row>
    <row r="767" spans="7:14" ht="12.75" customHeight="1" x14ac:dyDescent="0.15">
      <c r="G767" s="12"/>
      <c r="H767" s="17"/>
      <c r="J767" s="12"/>
      <c r="K767" s="12"/>
      <c r="M767" s="12"/>
      <c r="N767" s="12"/>
    </row>
    <row r="768" spans="7:14" ht="12.75" customHeight="1" x14ac:dyDescent="0.15">
      <c r="G768" s="12"/>
      <c r="H768" s="17"/>
      <c r="J768" s="12"/>
      <c r="K768" s="12"/>
      <c r="M768" s="12"/>
      <c r="N768" s="12"/>
    </row>
    <row r="769" spans="7:14" ht="12.75" customHeight="1" x14ac:dyDescent="0.15">
      <c r="G769" s="12"/>
      <c r="H769" s="17"/>
      <c r="J769" s="12"/>
      <c r="K769" s="12"/>
      <c r="M769" s="12"/>
      <c r="N769" s="12"/>
    </row>
    <row r="770" spans="7:14" ht="12.75" customHeight="1" x14ac:dyDescent="0.15">
      <c r="G770" s="12"/>
      <c r="H770" s="17"/>
      <c r="J770" s="12"/>
      <c r="K770" s="12"/>
      <c r="M770" s="12"/>
      <c r="N770" s="12"/>
    </row>
    <row r="771" spans="7:14" ht="12.75" customHeight="1" x14ac:dyDescent="0.15">
      <c r="G771" s="12"/>
      <c r="H771" s="17"/>
      <c r="J771" s="12"/>
      <c r="K771" s="12"/>
      <c r="M771" s="12"/>
      <c r="N771" s="12"/>
    </row>
    <row r="772" spans="7:14" ht="12.75" customHeight="1" x14ac:dyDescent="0.15">
      <c r="G772" s="12"/>
      <c r="H772" s="17"/>
      <c r="J772" s="12"/>
      <c r="K772" s="12"/>
      <c r="M772" s="12"/>
      <c r="N772" s="12"/>
    </row>
    <row r="773" spans="7:14" ht="12.75" customHeight="1" x14ac:dyDescent="0.15">
      <c r="G773" s="12"/>
      <c r="H773" s="17"/>
      <c r="J773" s="12"/>
      <c r="K773" s="12"/>
      <c r="M773" s="12"/>
      <c r="N773" s="12"/>
    </row>
    <row r="774" spans="7:14" ht="12.75" customHeight="1" x14ac:dyDescent="0.15">
      <c r="G774" s="12"/>
      <c r="H774" s="17"/>
      <c r="J774" s="12"/>
      <c r="K774" s="12"/>
      <c r="M774" s="12"/>
      <c r="N774" s="12"/>
    </row>
    <row r="775" spans="7:14" ht="12.75" customHeight="1" x14ac:dyDescent="0.15">
      <c r="G775" s="12"/>
      <c r="H775" s="17"/>
      <c r="J775" s="12"/>
      <c r="K775" s="12"/>
      <c r="M775" s="12"/>
      <c r="N775" s="12"/>
    </row>
    <row r="776" spans="7:14" ht="12.75" customHeight="1" x14ac:dyDescent="0.15">
      <c r="G776" s="12"/>
      <c r="H776" s="17"/>
      <c r="J776" s="12"/>
      <c r="K776" s="12"/>
      <c r="M776" s="12"/>
      <c r="N776" s="12"/>
    </row>
    <row r="777" spans="7:14" ht="12.75" customHeight="1" x14ac:dyDescent="0.15">
      <c r="G777" s="12"/>
      <c r="H777" s="17"/>
      <c r="J777" s="12"/>
      <c r="K777" s="12"/>
      <c r="M777" s="12"/>
      <c r="N777" s="12"/>
    </row>
    <row r="778" spans="7:14" ht="12.75" customHeight="1" x14ac:dyDescent="0.15">
      <c r="G778" s="12"/>
      <c r="H778" s="17"/>
      <c r="J778" s="12"/>
      <c r="K778" s="12"/>
      <c r="M778" s="12"/>
      <c r="N778" s="12"/>
    </row>
    <row r="779" spans="7:14" ht="12.75" customHeight="1" x14ac:dyDescent="0.15">
      <c r="G779" s="12"/>
      <c r="H779" s="17"/>
      <c r="J779" s="12"/>
      <c r="K779" s="12"/>
      <c r="M779" s="12"/>
      <c r="N779" s="12"/>
    </row>
    <row r="780" spans="7:14" ht="12.75" customHeight="1" x14ac:dyDescent="0.15">
      <c r="G780" s="12"/>
      <c r="H780" s="17"/>
      <c r="J780" s="12"/>
      <c r="K780" s="12"/>
      <c r="M780" s="12"/>
      <c r="N780" s="12"/>
    </row>
    <row r="781" spans="7:14" ht="12.75" customHeight="1" x14ac:dyDescent="0.15">
      <c r="G781" s="12"/>
      <c r="H781" s="17"/>
      <c r="J781" s="12"/>
      <c r="K781" s="12"/>
      <c r="M781" s="12"/>
      <c r="N781" s="12"/>
    </row>
    <row r="782" spans="7:14" ht="12.75" customHeight="1" x14ac:dyDescent="0.15">
      <c r="G782" s="12"/>
      <c r="H782" s="17"/>
      <c r="J782" s="12"/>
      <c r="K782" s="12"/>
      <c r="M782" s="12"/>
      <c r="N782" s="12"/>
    </row>
    <row r="783" spans="7:14" ht="12.75" customHeight="1" x14ac:dyDescent="0.15">
      <c r="G783" s="12"/>
      <c r="H783" s="17"/>
      <c r="J783" s="12"/>
      <c r="K783" s="12"/>
      <c r="M783" s="12"/>
      <c r="N783" s="12"/>
    </row>
    <row r="784" spans="7:14" ht="12.75" customHeight="1" x14ac:dyDescent="0.15">
      <c r="G784" s="12"/>
      <c r="H784" s="17"/>
      <c r="J784" s="12"/>
      <c r="K784" s="12"/>
      <c r="M784" s="12"/>
      <c r="N784" s="12"/>
    </row>
    <row r="785" spans="7:14" ht="12.75" customHeight="1" x14ac:dyDescent="0.15">
      <c r="G785" s="12"/>
      <c r="H785" s="17"/>
      <c r="J785" s="12"/>
      <c r="K785" s="12"/>
      <c r="M785" s="12"/>
      <c r="N785" s="12"/>
    </row>
    <row r="786" spans="7:14" ht="12.75" customHeight="1" x14ac:dyDescent="0.15">
      <c r="G786" s="12"/>
      <c r="H786" s="17"/>
      <c r="J786" s="12"/>
      <c r="K786" s="12"/>
      <c r="M786" s="12"/>
      <c r="N786" s="12"/>
    </row>
    <row r="787" spans="7:14" ht="12.75" customHeight="1" x14ac:dyDescent="0.15">
      <c r="G787" s="12"/>
      <c r="H787" s="17"/>
      <c r="J787" s="12"/>
      <c r="K787" s="12"/>
      <c r="M787" s="12"/>
      <c r="N787" s="12"/>
    </row>
    <row r="788" spans="7:14" ht="12.75" customHeight="1" x14ac:dyDescent="0.15">
      <c r="G788" s="12"/>
      <c r="H788" s="17"/>
      <c r="J788" s="12"/>
      <c r="K788" s="12"/>
      <c r="M788" s="12"/>
      <c r="N788" s="12"/>
    </row>
    <row r="789" spans="7:14" ht="12.75" customHeight="1" x14ac:dyDescent="0.15">
      <c r="G789" s="12"/>
      <c r="H789" s="17"/>
      <c r="J789" s="12"/>
      <c r="K789" s="12"/>
      <c r="M789" s="12"/>
      <c r="N789" s="12"/>
    </row>
    <row r="790" spans="7:14" ht="12.75" customHeight="1" x14ac:dyDescent="0.15">
      <c r="G790" s="12"/>
      <c r="H790" s="17"/>
      <c r="J790" s="12"/>
      <c r="K790" s="12"/>
      <c r="M790" s="12"/>
      <c r="N790" s="12"/>
    </row>
    <row r="791" spans="7:14" ht="12.75" customHeight="1" x14ac:dyDescent="0.15">
      <c r="G791" s="12"/>
      <c r="H791" s="17"/>
      <c r="J791" s="12"/>
      <c r="K791" s="12"/>
      <c r="M791" s="12"/>
      <c r="N791" s="12"/>
    </row>
    <row r="792" spans="7:14" ht="12.75" customHeight="1" x14ac:dyDescent="0.15">
      <c r="G792" s="12"/>
      <c r="H792" s="17"/>
      <c r="J792" s="12"/>
      <c r="K792" s="12"/>
      <c r="M792" s="12"/>
      <c r="N792" s="12"/>
    </row>
    <row r="793" spans="7:14" ht="12.75" customHeight="1" x14ac:dyDescent="0.15">
      <c r="G793" s="12"/>
      <c r="H793" s="17"/>
      <c r="J793" s="12"/>
      <c r="K793" s="12"/>
      <c r="M793" s="12"/>
      <c r="N793" s="12"/>
    </row>
    <row r="794" spans="7:14" ht="12.75" customHeight="1" x14ac:dyDescent="0.15">
      <c r="G794" s="12"/>
      <c r="H794" s="17"/>
      <c r="J794" s="12"/>
      <c r="K794" s="12"/>
      <c r="M794" s="12"/>
      <c r="N794" s="12"/>
    </row>
    <row r="795" spans="7:14" ht="12.75" customHeight="1" x14ac:dyDescent="0.15">
      <c r="G795" s="12"/>
      <c r="H795" s="17"/>
      <c r="J795" s="12"/>
      <c r="K795" s="12"/>
      <c r="M795" s="12"/>
      <c r="N795" s="12"/>
    </row>
    <row r="796" spans="7:14" ht="12.75" customHeight="1" x14ac:dyDescent="0.15">
      <c r="G796" s="12"/>
      <c r="H796" s="17"/>
      <c r="J796" s="12"/>
      <c r="K796" s="12"/>
      <c r="M796" s="12"/>
      <c r="N796" s="12"/>
    </row>
    <row r="797" spans="7:14" ht="12.75" customHeight="1" x14ac:dyDescent="0.15">
      <c r="G797" s="12"/>
      <c r="H797" s="17"/>
      <c r="J797" s="12"/>
      <c r="K797" s="12"/>
      <c r="M797" s="12"/>
      <c r="N797" s="12"/>
    </row>
    <row r="798" spans="7:14" ht="12.75" customHeight="1" x14ac:dyDescent="0.15">
      <c r="G798" s="12"/>
      <c r="H798" s="17"/>
      <c r="J798" s="12"/>
      <c r="K798" s="12"/>
      <c r="M798" s="12"/>
      <c r="N798" s="12"/>
    </row>
    <row r="799" spans="7:14" ht="12.75" customHeight="1" x14ac:dyDescent="0.15">
      <c r="G799" s="12"/>
      <c r="H799" s="17"/>
      <c r="J799" s="12"/>
      <c r="K799" s="12"/>
      <c r="M799" s="12"/>
      <c r="N799" s="12"/>
    </row>
    <row r="800" spans="7:14" ht="12.75" customHeight="1" x14ac:dyDescent="0.15">
      <c r="G800" s="12"/>
      <c r="H800" s="17"/>
      <c r="J800" s="12"/>
      <c r="K800" s="12"/>
      <c r="M800" s="12"/>
      <c r="N800" s="12"/>
    </row>
    <row r="801" spans="7:14" ht="12.75" customHeight="1" x14ac:dyDescent="0.15">
      <c r="G801" s="12"/>
      <c r="H801" s="17"/>
      <c r="J801" s="12"/>
      <c r="K801" s="12"/>
      <c r="M801" s="12"/>
      <c r="N801" s="12"/>
    </row>
    <row r="802" spans="7:14" ht="12.75" customHeight="1" x14ac:dyDescent="0.15">
      <c r="G802" s="12"/>
      <c r="H802" s="17"/>
      <c r="J802" s="12"/>
      <c r="K802" s="12"/>
      <c r="M802" s="12"/>
      <c r="N802" s="12"/>
    </row>
    <row r="803" spans="7:14" ht="12.75" customHeight="1" x14ac:dyDescent="0.15">
      <c r="G803" s="12"/>
      <c r="H803" s="17"/>
      <c r="J803" s="12"/>
      <c r="K803" s="12"/>
      <c r="M803" s="12"/>
      <c r="N803" s="12"/>
    </row>
    <row r="804" spans="7:14" ht="12.75" customHeight="1" x14ac:dyDescent="0.15">
      <c r="G804" s="12"/>
      <c r="H804" s="17"/>
      <c r="J804" s="12"/>
      <c r="K804" s="12"/>
      <c r="M804" s="12"/>
      <c r="N804" s="12"/>
    </row>
    <row r="805" spans="7:14" ht="12.75" customHeight="1" x14ac:dyDescent="0.15">
      <c r="G805" s="12"/>
      <c r="H805" s="17"/>
      <c r="J805" s="12"/>
      <c r="K805" s="12"/>
      <c r="M805" s="12"/>
      <c r="N805" s="12"/>
    </row>
    <row r="806" spans="7:14" ht="12.75" customHeight="1" x14ac:dyDescent="0.15">
      <c r="G806" s="12"/>
      <c r="H806" s="17"/>
      <c r="J806" s="12"/>
      <c r="K806" s="12"/>
      <c r="M806" s="12"/>
      <c r="N806" s="12"/>
    </row>
    <row r="807" spans="7:14" ht="12.75" customHeight="1" x14ac:dyDescent="0.15">
      <c r="G807" s="12"/>
      <c r="H807" s="17"/>
      <c r="J807" s="12"/>
      <c r="K807" s="12"/>
      <c r="M807" s="12"/>
      <c r="N807" s="12"/>
    </row>
    <row r="808" spans="7:14" ht="12.75" customHeight="1" x14ac:dyDescent="0.15">
      <c r="G808" s="12"/>
      <c r="H808" s="17"/>
      <c r="J808" s="12"/>
      <c r="K808" s="12"/>
      <c r="M808" s="12"/>
      <c r="N808" s="12"/>
    </row>
    <row r="809" spans="7:14" ht="12.75" customHeight="1" x14ac:dyDescent="0.15">
      <c r="G809" s="12"/>
      <c r="H809" s="17"/>
      <c r="J809" s="12"/>
      <c r="K809" s="12"/>
      <c r="M809" s="12"/>
      <c r="N809" s="12"/>
    </row>
    <row r="810" spans="7:14" ht="12.75" customHeight="1" x14ac:dyDescent="0.15">
      <c r="G810" s="12"/>
      <c r="H810" s="17"/>
      <c r="J810" s="12"/>
      <c r="K810" s="12"/>
      <c r="M810" s="12"/>
      <c r="N810" s="12"/>
    </row>
    <row r="811" spans="7:14" ht="12.75" customHeight="1" x14ac:dyDescent="0.15">
      <c r="G811" s="12"/>
      <c r="H811" s="17"/>
      <c r="J811" s="12"/>
      <c r="K811" s="12"/>
      <c r="M811" s="12"/>
      <c r="N811" s="12"/>
    </row>
    <row r="812" spans="7:14" ht="12.75" customHeight="1" x14ac:dyDescent="0.15">
      <c r="G812" s="12"/>
      <c r="H812" s="17"/>
      <c r="J812" s="12"/>
      <c r="K812" s="12"/>
      <c r="M812" s="12"/>
      <c r="N812" s="12"/>
    </row>
    <row r="813" spans="7:14" ht="12.75" customHeight="1" x14ac:dyDescent="0.15">
      <c r="G813" s="12"/>
      <c r="H813" s="17"/>
      <c r="J813" s="12"/>
      <c r="K813" s="12"/>
      <c r="M813" s="12"/>
      <c r="N813" s="12"/>
    </row>
    <row r="814" spans="7:14" ht="12.75" customHeight="1" x14ac:dyDescent="0.15">
      <c r="G814" s="12"/>
      <c r="H814" s="17"/>
      <c r="J814" s="12"/>
      <c r="K814" s="12"/>
      <c r="M814" s="12"/>
      <c r="N814" s="12"/>
    </row>
    <row r="815" spans="7:14" ht="12.75" customHeight="1" x14ac:dyDescent="0.15">
      <c r="G815" s="12"/>
      <c r="H815" s="17"/>
      <c r="J815" s="12"/>
      <c r="K815" s="12"/>
      <c r="M815" s="12"/>
      <c r="N815" s="12"/>
    </row>
    <row r="816" spans="7:14" ht="12.75" customHeight="1" x14ac:dyDescent="0.15">
      <c r="G816" s="12"/>
      <c r="H816" s="17"/>
      <c r="J816" s="12"/>
      <c r="K816" s="12"/>
      <c r="M816" s="12"/>
      <c r="N816" s="12"/>
    </row>
    <row r="817" spans="7:14" ht="12.75" customHeight="1" x14ac:dyDescent="0.15">
      <c r="G817" s="12"/>
      <c r="H817" s="17"/>
      <c r="J817" s="12"/>
      <c r="K817" s="12"/>
      <c r="M817" s="12"/>
      <c r="N817" s="12"/>
    </row>
    <row r="818" spans="7:14" ht="12.75" customHeight="1" x14ac:dyDescent="0.15">
      <c r="G818" s="12"/>
      <c r="H818" s="17"/>
      <c r="J818" s="12"/>
      <c r="K818" s="12"/>
      <c r="M818" s="12"/>
      <c r="N818" s="12"/>
    </row>
    <row r="819" spans="7:14" ht="12.75" customHeight="1" x14ac:dyDescent="0.15">
      <c r="G819" s="12"/>
      <c r="H819" s="17"/>
      <c r="J819" s="12"/>
      <c r="K819" s="12"/>
      <c r="M819" s="12"/>
      <c r="N819" s="12"/>
    </row>
    <row r="820" spans="7:14" ht="12.75" customHeight="1" x14ac:dyDescent="0.15">
      <c r="G820" s="12"/>
      <c r="H820" s="17"/>
      <c r="J820" s="12"/>
      <c r="K820" s="12"/>
      <c r="M820" s="12"/>
      <c r="N820" s="12"/>
    </row>
    <row r="821" spans="7:14" ht="12.75" customHeight="1" x14ac:dyDescent="0.15">
      <c r="G821" s="12"/>
      <c r="H821" s="17"/>
      <c r="J821" s="12"/>
      <c r="K821" s="12"/>
      <c r="M821" s="12"/>
      <c r="N821" s="12"/>
    </row>
    <row r="822" spans="7:14" ht="12.75" customHeight="1" x14ac:dyDescent="0.15">
      <c r="G822" s="12"/>
      <c r="H822" s="17"/>
      <c r="J822" s="12"/>
      <c r="K822" s="12"/>
      <c r="M822" s="12"/>
      <c r="N822" s="12"/>
    </row>
    <row r="823" spans="7:14" ht="12.75" customHeight="1" x14ac:dyDescent="0.15">
      <c r="G823" s="12"/>
      <c r="H823" s="17"/>
      <c r="J823" s="12"/>
      <c r="K823" s="12"/>
      <c r="M823" s="12"/>
      <c r="N823" s="12"/>
    </row>
    <row r="824" spans="7:14" ht="12.75" customHeight="1" x14ac:dyDescent="0.15">
      <c r="G824" s="12"/>
      <c r="H824" s="17"/>
      <c r="J824" s="12"/>
      <c r="K824" s="12"/>
      <c r="M824" s="12"/>
      <c r="N824" s="12"/>
    </row>
    <row r="825" spans="7:14" ht="12.75" customHeight="1" x14ac:dyDescent="0.15">
      <c r="G825" s="12"/>
      <c r="H825" s="17"/>
      <c r="J825" s="12"/>
      <c r="K825" s="12"/>
      <c r="M825" s="12"/>
      <c r="N825" s="12"/>
    </row>
    <row r="826" spans="7:14" ht="12.75" customHeight="1" x14ac:dyDescent="0.15">
      <c r="G826" s="12"/>
      <c r="H826" s="17"/>
      <c r="J826" s="12"/>
      <c r="K826" s="12"/>
      <c r="M826" s="12"/>
      <c r="N826" s="12"/>
    </row>
    <row r="827" spans="7:14" ht="12.75" customHeight="1" x14ac:dyDescent="0.15">
      <c r="G827" s="12"/>
      <c r="H827" s="17"/>
      <c r="J827" s="12"/>
      <c r="K827" s="12"/>
      <c r="M827" s="12"/>
      <c r="N827" s="12"/>
    </row>
    <row r="828" spans="7:14" ht="12.75" customHeight="1" x14ac:dyDescent="0.15">
      <c r="G828" s="12"/>
      <c r="H828" s="17"/>
      <c r="J828" s="12"/>
      <c r="K828" s="12"/>
      <c r="M828" s="12"/>
      <c r="N828" s="12"/>
    </row>
    <row r="829" spans="7:14" ht="12.75" customHeight="1" x14ac:dyDescent="0.15">
      <c r="G829" s="12"/>
      <c r="H829" s="17"/>
      <c r="J829" s="12"/>
      <c r="K829" s="12"/>
      <c r="M829" s="12"/>
      <c r="N829" s="12"/>
    </row>
    <row r="830" spans="7:14" ht="12.75" customHeight="1" x14ac:dyDescent="0.15">
      <c r="G830" s="12"/>
      <c r="H830" s="17"/>
      <c r="J830" s="12"/>
      <c r="K830" s="12"/>
      <c r="M830" s="12"/>
      <c r="N830" s="12"/>
    </row>
    <row r="831" spans="7:14" ht="12.75" customHeight="1" x14ac:dyDescent="0.15">
      <c r="G831" s="12"/>
      <c r="H831" s="17"/>
      <c r="J831" s="12"/>
      <c r="K831" s="12"/>
      <c r="M831" s="12"/>
      <c r="N831" s="12"/>
    </row>
    <row r="832" spans="7:14" ht="12.75" customHeight="1" x14ac:dyDescent="0.15">
      <c r="G832" s="12"/>
      <c r="H832" s="17"/>
      <c r="J832" s="12"/>
      <c r="K832" s="12"/>
      <c r="M832" s="12"/>
      <c r="N832" s="12"/>
    </row>
    <row r="833" spans="7:14" ht="12.75" customHeight="1" x14ac:dyDescent="0.15">
      <c r="G833" s="12"/>
      <c r="H833" s="17"/>
      <c r="J833" s="12"/>
      <c r="K833" s="12"/>
      <c r="M833" s="12"/>
      <c r="N833" s="12"/>
    </row>
    <row r="834" spans="7:14" ht="12.75" customHeight="1" x14ac:dyDescent="0.15">
      <c r="G834" s="12"/>
      <c r="H834" s="17"/>
      <c r="J834" s="12"/>
      <c r="K834" s="12"/>
      <c r="M834" s="12"/>
      <c r="N834" s="12"/>
    </row>
    <row r="835" spans="7:14" ht="12.75" customHeight="1" x14ac:dyDescent="0.15">
      <c r="G835" s="12"/>
      <c r="H835" s="17"/>
      <c r="J835" s="12"/>
      <c r="K835" s="12"/>
      <c r="M835" s="12"/>
      <c r="N835" s="12"/>
    </row>
    <row r="836" spans="7:14" ht="12.75" customHeight="1" x14ac:dyDescent="0.15">
      <c r="G836" s="12"/>
      <c r="H836" s="17"/>
      <c r="J836" s="12"/>
      <c r="K836" s="12"/>
      <c r="M836" s="12"/>
      <c r="N836" s="12"/>
    </row>
    <row r="837" spans="7:14" ht="12.75" customHeight="1" x14ac:dyDescent="0.15">
      <c r="G837" s="12"/>
      <c r="H837" s="17"/>
      <c r="J837" s="12"/>
      <c r="K837" s="12"/>
      <c r="M837" s="12"/>
      <c r="N837" s="12"/>
    </row>
    <row r="838" spans="7:14" ht="12.75" customHeight="1" x14ac:dyDescent="0.15">
      <c r="G838" s="12"/>
      <c r="H838" s="17"/>
      <c r="J838" s="12"/>
      <c r="K838" s="12"/>
      <c r="M838" s="12"/>
      <c r="N838" s="12"/>
    </row>
    <row r="839" spans="7:14" ht="12.75" customHeight="1" x14ac:dyDescent="0.15">
      <c r="G839" s="12"/>
      <c r="H839" s="17"/>
      <c r="J839" s="12"/>
      <c r="K839" s="12"/>
      <c r="M839" s="12"/>
      <c r="N839" s="12"/>
    </row>
    <row r="840" spans="7:14" ht="12.75" customHeight="1" x14ac:dyDescent="0.15">
      <c r="G840" s="12"/>
      <c r="H840" s="17"/>
      <c r="J840" s="12"/>
      <c r="K840" s="12"/>
      <c r="M840" s="12"/>
      <c r="N840" s="12"/>
    </row>
    <row r="841" spans="7:14" ht="12.75" customHeight="1" x14ac:dyDescent="0.15">
      <c r="G841" s="12"/>
      <c r="H841" s="17"/>
      <c r="J841" s="12"/>
      <c r="K841" s="12"/>
      <c r="M841" s="12"/>
      <c r="N841" s="12"/>
    </row>
    <row r="842" spans="7:14" ht="12.75" customHeight="1" x14ac:dyDescent="0.15">
      <c r="G842" s="12"/>
      <c r="H842" s="17"/>
      <c r="J842" s="12"/>
      <c r="K842" s="12"/>
      <c r="M842" s="12"/>
      <c r="N842" s="12"/>
    </row>
    <row r="843" spans="7:14" ht="12.75" customHeight="1" x14ac:dyDescent="0.15">
      <c r="G843" s="12"/>
      <c r="H843" s="17"/>
      <c r="J843" s="12"/>
      <c r="K843" s="12"/>
      <c r="M843" s="12"/>
      <c r="N843" s="12"/>
    </row>
    <row r="844" spans="7:14" ht="12.75" customHeight="1" x14ac:dyDescent="0.15">
      <c r="G844" s="12"/>
      <c r="H844" s="17"/>
      <c r="J844" s="12"/>
      <c r="K844" s="12"/>
      <c r="M844" s="12"/>
      <c r="N844" s="12"/>
    </row>
    <row r="845" spans="7:14" ht="12.75" customHeight="1" x14ac:dyDescent="0.15">
      <c r="G845" s="12"/>
      <c r="H845" s="17"/>
      <c r="J845" s="12"/>
      <c r="K845" s="12"/>
      <c r="M845" s="12"/>
      <c r="N845" s="12"/>
    </row>
    <row r="846" spans="7:14" ht="12.75" customHeight="1" x14ac:dyDescent="0.15">
      <c r="G846" s="12"/>
      <c r="H846" s="17"/>
      <c r="J846" s="12"/>
      <c r="K846" s="12"/>
      <c r="M846" s="12"/>
      <c r="N846" s="12"/>
    </row>
    <row r="847" spans="7:14" ht="12.75" customHeight="1" x14ac:dyDescent="0.15">
      <c r="G847" s="12"/>
      <c r="H847" s="17"/>
      <c r="J847" s="12"/>
      <c r="K847" s="12"/>
      <c r="M847" s="12"/>
      <c r="N847" s="12"/>
    </row>
    <row r="848" spans="7:14" ht="12.75" customHeight="1" x14ac:dyDescent="0.15">
      <c r="G848" s="12"/>
      <c r="H848" s="17"/>
      <c r="J848" s="12"/>
      <c r="K848" s="12"/>
      <c r="M848" s="12"/>
      <c r="N848" s="12"/>
    </row>
    <row r="849" spans="7:14" ht="12.75" customHeight="1" x14ac:dyDescent="0.15">
      <c r="G849" s="12"/>
      <c r="H849" s="17"/>
      <c r="J849" s="12"/>
      <c r="K849" s="12"/>
      <c r="M849" s="12"/>
      <c r="N849" s="12"/>
    </row>
    <row r="850" spans="7:14" ht="12.75" customHeight="1" x14ac:dyDescent="0.15">
      <c r="G850" s="12"/>
      <c r="H850" s="17"/>
      <c r="J850" s="12"/>
      <c r="K850" s="12"/>
      <c r="M850" s="12"/>
      <c r="N850" s="12"/>
    </row>
    <row r="851" spans="7:14" ht="12.75" customHeight="1" x14ac:dyDescent="0.15">
      <c r="G851" s="12"/>
      <c r="H851" s="17"/>
      <c r="J851" s="12"/>
      <c r="K851" s="12"/>
      <c r="M851" s="12"/>
      <c r="N851" s="12"/>
    </row>
    <row r="852" spans="7:14" ht="12.75" customHeight="1" x14ac:dyDescent="0.15">
      <c r="G852" s="12"/>
      <c r="H852" s="17"/>
      <c r="J852" s="12"/>
      <c r="K852" s="12"/>
      <c r="M852" s="12"/>
      <c r="N852" s="12"/>
    </row>
    <row r="853" spans="7:14" ht="12.75" customHeight="1" x14ac:dyDescent="0.15">
      <c r="G853" s="12"/>
      <c r="H853" s="17"/>
      <c r="J853" s="12"/>
      <c r="K853" s="12"/>
      <c r="M853" s="12"/>
      <c r="N853" s="12"/>
    </row>
    <row r="854" spans="7:14" ht="12.75" customHeight="1" x14ac:dyDescent="0.15">
      <c r="G854" s="12"/>
      <c r="H854" s="17"/>
      <c r="J854" s="12"/>
      <c r="K854" s="12"/>
      <c r="M854" s="12"/>
      <c r="N854" s="12"/>
    </row>
    <row r="855" spans="7:14" ht="12.75" customHeight="1" x14ac:dyDescent="0.15">
      <c r="G855" s="12"/>
      <c r="H855" s="17"/>
      <c r="J855" s="12"/>
      <c r="K855" s="12"/>
      <c r="M855" s="12"/>
      <c r="N855" s="12"/>
    </row>
    <row r="856" spans="7:14" ht="12.75" customHeight="1" x14ac:dyDescent="0.15">
      <c r="G856" s="12"/>
      <c r="H856" s="17"/>
      <c r="J856" s="12"/>
      <c r="K856" s="12"/>
      <c r="M856" s="12"/>
      <c r="N856" s="12"/>
    </row>
    <row r="857" spans="7:14" ht="12.75" customHeight="1" x14ac:dyDescent="0.15">
      <c r="G857" s="12"/>
      <c r="H857" s="17"/>
      <c r="J857" s="12"/>
      <c r="K857" s="12"/>
      <c r="M857" s="12"/>
      <c r="N857" s="12"/>
    </row>
    <row r="858" spans="7:14" ht="12.75" customHeight="1" x14ac:dyDescent="0.15">
      <c r="G858" s="12"/>
      <c r="H858" s="17"/>
      <c r="J858" s="12"/>
      <c r="K858" s="12"/>
      <c r="M858" s="12"/>
      <c r="N858" s="12"/>
    </row>
    <row r="859" spans="7:14" ht="12.75" customHeight="1" x14ac:dyDescent="0.15">
      <c r="G859" s="12"/>
      <c r="H859" s="17"/>
      <c r="J859" s="12"/>
      <c r="K859" s="12"/>
      <c r="M859" s="12"/>
      <c r="N859" s="12"/>
    </row>
    <row r="860" spans="7:14" ht="12.75" customHeight="1" x14ac:dyDescent="0.15">
      <c r="G860" s="12"/>
      <c r="H860" s="17"/>
      <c r="J860" s="12"/>
      <c r="K860" s="12"/>
      <c r="M860" s="12"/>
      <c r="N860" s="12"/>
    </row>
    <row r="861" spans="7:14" ht="12.75" customHeight="1" x14ac:dyDescent="0.15">
      <c r="G861" s="12"/>
      <c r="H861" s="17"/>
      <c r="J861" s="12"/>
      <c r="K861" s="12"/>
      <c r="M861" s="12"/>
      <c r="N861" s="12"/>
    </row>
    <row r="862" spans="7:14" ht="12.75" customHeight="1" x14ac:dyDescent="0.15">
      <c r="G862" s="12"/>
      <c r="H862" s="17"/>
      <c r="J862" s="12"/>
      <c r="K862" s="12"/>
      <c r="M862" s="12"/>
      <c r="N862" s="12"/>
    </row>
    <row r="863" spans="7:14" ht="12.75" customHeight="1" x14ac:dyDescent="0.15">
      <c r="G863" s="12"/>
      <c r="H863" s="17"/>
      <c r="J863" s="12"/>
      <c r="K863" s="12"/>
      <c r="M863" s="12"/>
      <c r="N863" s="12"/>
    </row>
    <row r="864" spans="7:14" ht="12.75" customHeight="1" x14ac:dyDescent="0.15">
      <c r="G864" s="12"/>
      <c r="H864" s="17"/>
      <c r="J864" s="12"/>
      <c r="K864" s="12"/>
      <c r="M864" s="12"/>
      <c r="N864" s="12"/>
    </row>
    <row r="865" spans="7:14" ht="12.75" customHeight="1" x14ac:dyDescent="0.15">
      <c r="G865" s="12"/>
      <c r="H865" s="17"/>
      <c r="J865" s="12"/>
      <c r="K865" s="12"/>
      <c r="M865" s="12"/>
      <c r="N865" s="12"/>
    </row>
    <row r="866" spans="7:14" ht="12.75" customHeight="1" x14ac:dyDescent="0.15">
      <c r="G866" s="12"/>
      <c r="H866" s="17"/>
      <c r="J866" s="12"/>
      <c r="K866" s="12"/>
      <c r="M866" s="12"/>
      <c r="N866" s="12"/>
    </row>
    <row r="867" spans="7:14" ht="12.75" customHeight="1" x14ac:dyDescent="0.15">
      <c r="G867" s="12"/>
      <c r="H867" s="17"/>
      <c r="J867" s="12"/>
      <c r="K867" s="12"/>
      <c r="M867" s="12"/>
      <c r="N867" s="12"/>
    </row>
    <row r="868" spans="7:14" ht="12.75" customHeight="1" x14ac:dyDescent="0.15">
      <c r="G868" s="12"/>
      <c r="H868" s="17"/>
      <c r="J868" s="12"/>
      <c r="K868" s="12"/>
      <c r="M868" s="12"/>
      <c r="N868" s="12"/>
    </row>
    <row r="869" spans="7:14" ht="12.75" customHeight="1" x14ac:dyDescent="0.15">
      <c r="G869" s="12"/>
      <c r="H869" s="17"/>
      <c r="J869" s="12"/>
      <c r="K869" s="12"/>
      <c r="M869" s="12"/>
      <c r="N869" s="12"/>
    </row>
    <row r="870" spans="7:14" ht="12.75" customHeight="1" x14ac:dyDescent="0.15">
      <c r="G870" s="12"/>
      <c r="H870" s="17"/>
      <c r="J870" s="12"/>
      <c r="K870" s="12"/>
      <c r="M870" s="12"/>
      <c r="N870" s="12"/>
    </row>
    <row r="871" spans="7:14" ht="12.75" customHeight="1" x14ac:dyDescent="0.15">
      <c r="G871" s="12"/>
      <c r="H871" s="17"/>
      <c r="J871" s="12"/>
      <c r="K871" s="12"/>
      <c r="M871" s="12"/>
      <c r="N871" s="12"/>
    </row>
    <row r="872" spans="7:14" ht="12.75" customHeight="1" x14ac:dyDescent="0.15">
      <c r="G872" s="12"/>
      <c r="H872" s="17"/>
      <c r="J872" s="12"/>
      <c r="K872" s="12"/>
      <c r="M872" s="12"/>
      <c r="N872" s="12"/>
    </row>
    <row r="873" spans="7:14" ht="12.75" customHeight="1" x14ac:dyDescent="0.15">
      <c r="G873" s="12"/>
      <c r="H873" s="17"/>
      <c r="J873" s="12"/>
      <c r="K873" s="12"/>
      <c r="M873" s="12"/>
      <c r="N873" s="12"/>
    </row>
    <row r="874" spans="7:14" ht="12.75" customHeight="1" x14ac:dyDescent="0.15">
      <c r="G874" s="12"/>
      <c r="H874" s="17"/>
      <c r="J874" s="12"/>
      <c r="K874" s="12"/>
      <c r="M874" s="12"/>
      <c r="N874" s="12"/>
    </row>
    <row r="875" spans="7:14" ht="12.75" customHeight="1" x14ac:dyDescent="0.15">
      <c r="G875" s="12"/>
      <c r="H875" s="17"/>
      <c r="J875" s="12"/>
      <c r="K875" s="12"/>
      <c r="M875" s="12"/>
      <c r="N875" s="12"/>
    </row>
    <row r="876" spans="7:14" ht="12.75" customHeight="1" x14ac:dyDescent="0.15">
      <c r="G876" s="12"/>
      <c r="H876" s="17"/>
      <c r="J876" s="12"/>
      <c r="K876" s="12"/>
      <c r="M876" s="12"/>
      <c r="N876" s="12"/>
    </row>
    <row r="877" spans="7:14" ht="12.75" customHeight="1" x14ac:dyDescent="0.15">
      <c r="G877" s="12"/>
      <c r="H877" s="17"/>
      <c r="J877" s="12"/>
      <c r="K877" s="12"/>
      <c r="M877" s="12"/>
      <c r="N877" s="12"/>
    </row>
    <row r="878" spans="7:14" ht="12.75" customHeight="1" x14ac:dyDescent="0.15">
      <c r="G878" s="12"/>
      <c r="H878" s="17"/>
      <c r="J878" s="12"/>
      <c r="K878" s="12"/>
      <c r="M878" s="12"/>
      <c r="N878" s="12"/>
    </row>
    <row r="879" spans="7:14" ht="12.75" customHeight="1" x14ac:dyDescent="0.15">
      <c r="G879" s="12"/>
      <c r="H879" s="17"/>
      <c r="J879" s="12"/>
      <c r="K879" s="12"/>
      <c r="M879" s="12"/>
      <c r="N879" s="12"/>
    </row>
    <row r="880" spans="7:14" ht="12.75" customHeight="1" x14ac:dyDescent="0.15">
      <c r="G880" s="12"/>
      <c r="H880" s="17"/>
      <c r="J880" s="12"/>
      <c r="K880" s="12"/>
      <c r="M880" s="12"/>
      <c r="N880" s="12"/>
    </row>
    <row r="881" spans="7:14" ht="12.75" customHeight="1" x14ac:dyDescent="0.15">
      <c r="G881" s="12"/>
      <c r="H881" s="17"/>
      <c r="J881" s="12"/>
      <c r="K881" s="12"/>
      <c r="M881" s="12"/>
      <c r="N881" s="12"/>
    </row>
    <row r="882" spans="7:14" ht="12.75" customHeight="1" x14ac:dyDescent="0.15">
      <c r="G882" s="12"/>
      <c r="H882" s="17"/>
      <c r="J882" s="12"/>
      <c r="K882" s="12"/>
      <c r="M882" s="12"/>
      <c r="N882" s="12"/>
    </row>
    <row r="883" spans="7:14" ht="12.75" customHeight="1" x14ac:dyDescent="0.15">
      <c r="G883" s="12"/>
      <c r="H883" s="17"/>
      <c r="J883" s="12"/>
      <c r="K883" s="12"/>
      <c r="M883" s="12"/>
      <c r="N883" s="12"/>
    </row>
    <row r="884" spans="7:14" ht="12.75" customHeight="1" x14ac:dyDescent="0.15">
      <c r="G884" s="12"/>
      <c r="H884" s="17"/>
      <c r="J884" s="12"/>
      <c r="K884" s="12"/>
      <c r="M884" s="12"/>
      <c r="N884" s="12"/>
    </row>
    <row r="885" spans="7:14" ht="12.75" customHeight="1" x14ac:dyDescent="0.15">
      <c r="G885" s="12"/>
      <c r="H885" s="17"/>
      <c r="J885" s="12"/>
      <c r="K885" s="12"/>
      <c r="M885" s="12"/>
      <c r="N885" s="12"/>
    </row>
    <row r="886" spans="7:14" ht="12.75" customHeight="1" x14ac:dyDescent="0.15">
      <c r="G886" s="12"/>
      <c r="H886" s="17"/>
      <c r="J886" s="12"/>
      <c r="K886" s="12"/>
      <c r="M886" s="12"/>
      <c r="N886" s="12"/>
    </row>
    <row r="887" spans="7:14" ht="12.75" customHeight="1" x14ac:dyDescent="0.15">
      <c r="G887" s="12"/>
      <c r="H887" s="17"/>
      <c r="J887" s="12"/>
      <c r="K887" s="12"/>
      <c r="M887" s="12"/>
      <c r="N887" s="12"/>
    </row>
    <row r="888" spans="7:14" ht="12.75" customHeight="1" x14ac:dyDescent="0.15">
      <c r="G888" s="12"/>
      <c r="H888" s="17"/>
      <c r="J888" s="12"/>
      <c r="K888" s="12"/>
      <c r="M888" s="12"/>
      <c r="N888" s="12"/>
    </row>
    <row r="889" spans="7:14" ht="12.75" customHeight="1" x14ac:dyDescent="0.15">
      <c r="G889" s="12"/>
      <c r="H889" s="17"/>
      <c r="J889" s="12"/>
      <c r="K889" s="12"/>
      <c r="M889" s="12"/>
      <c r="N889" s="12"/>
    </row>
    <row r="890" spans="7:14" ht="12.75" customHeight="1" x14ac:dyDescent="0.15">
      <c r="G890" s="12"/>
      <c r="H890" s="17"/>
      <c r="J890" s="12"/>
      <c r="K890" s="12"/>
      <c r="M890" s="12"/>
      <c r="N890" s="12"/>
    </row>
    <row r="891" spans="7:14" ht="12.75" customHeight="1" x14ac:dyDescent="0.15">
      <c r="G891" s="12"/>
      <c r="H891" s="17"/>
      <c r="J891" s="12"/>
      <c r="K891" s="12"/>
      <c r="M891" s="12"/>
      <c r="N891" s="12"/>
    </row>
    <row r="892" spans="7:14" ht="12.75" customHeight="1" x14ac:dyDescent="0.15">
      <c r="G892" s="12"/>
      <c r="H892" s="17"/>
      <c r="J892" s="12"/>
      <c r="K892" s="12"/>
      <c r="M892" s="12"/>
      <c r="N892" s="12"/>
    </row>
    <row r="893" spans="7:14" ht="12.75" customHeight="1" x14ac:dyDescent="0.15">
      <c r="G893" s="12"/>
      <c r="H893" s="17"/>
      <c r="J893" s="12"/>
      <c r="K893" s="12"/>
      <c r="M893" s="12"/>
      <c r="N893" s="12"/>
    </row>
    <row r="894" spans="7:14" ht="12.75" customHeight="1" x14ac:dyDescent="0.15">
      <c r="G894" s="12"/>
      <c r="H894" s="17"/>
      <c r="J894" s="12"/>
      <c r="K894" s="12"/>
      <c r="M894" s="12"/>
      <c r="N894" s="12"/>
    </row>
    <row r="895" spans="7:14" ht="12.75" customHeight="1" x14ac:dyDescent="0.15">
      <c r="G895" s="12"/>
      <c r="H895" s="17"/>
      <c r="J895" s="12"/>
      <c r="K895" s="12"/>
      <c r="M895" s="12"/>
      <c r="N895" s="12"/>
    </row>
    <row r="896" spans="7:14" ht="12.75" customHeight="1" x14ac:dyDescent="0.15">
      <c r="G896" s="12"/>
      <c r="H896" s="17"/>
      <c r="J896" s="12"/>
      <c r="K896" s="12"/>
      <c r="M896" s="12"/>
      <c r="N896" s="12"/>
    </row>
    <row r="897" spans="7:14" ht="12.75" customHeight="1" x14ac:dyDescent="0.15">
      <c r="G897" s="12"/>
      <c r="H897" s="17"/>
      <c r="J897" s="12"/>
      <c r="K897" s="12"/>
      <c r="M897" s="12"/>
      <c r="N897" s="12"/>
    </row>
    <row r="898" spans="7:14" ht="12.75" customHeight="1" x14ac:dyDescent="0.15">
      <c r="G898" s="12"/>
      <c r="H898" s="17"/>
      <c r="J898" s="12"/>
      <c r="K898" s="12"/>
      <c r="M898" s="12"/>
      <c r="N898" s="12"/>
    </row>
    <row r="899" spans="7:14" ht="12.75" customHeight="1" x14ac:dyDescent="0.15">
      <c r="G899" s="12"/>
      <c r="H899" s="17"/>
      <c r="J899" s="12"/>
      <c r="K899" s="12"/>
      <c r="M899" s="12"/>
      <c r="N899" s="12"/>
    </row>
    <row r="900" spans="7:14" ht="12.75" customHeight="1" x14ac:dyDescent="0.15">
      <c r="G900" s="12"/>
      <c r="H900" s="17"/>
      <c r="J900" s="12"/>
      <c r="K900" s="12"/>
      <c r="M900" s="12"/>
      <c r="N900" s="12"/>
    </row>
    <row r="901" spans="7:14" ht="12.75" customHeight="1" x14ac:dyDescent="0.15">
      <c r="G901" s="12"/>
      <c r="H901" s="17"/>
      <c r="J901" s="12"/>
      <c r="K901" s="12"/>
      <c r="M901" s="12"/>
      <c r="N901" s="12"/>
    </row>
    <row r="902" spans="7:14" ht="12.75" customHeight="1" x14ac:dyDescent="0.15">
      <c r="G902" s="12"/>
      <c r="H902" s="17"/>
      <c r="J902" s="12"/>
      <c r="K902" s="12"/>
      <c r="M902" s="12"/>
      <c r="N902" s="12"/>
    </row>
    <row r="903" spans="7:14" ht="12.75" customHeight="1" x14ac:dyDescent="0.15">
      <c r="G903" s="12"/>
      <c r="H903" s="17"/>
      <c r="J903" s="12"/>
      <c r="K903" s="12"/>
      <c r="M903" s="12"/>
      <c r="N903" s="12"/>
    </row>
    <row r="904" spans="7:14" ht="12.75" customHeight="1" x14ac:dyDescent="0.15">
      <c r="G904" s="12"/>
      <c r="H904" s="17"/>
      <c r="J904" s="12"/>
      <c r="K904" s="12"/>
      <c r="M904" s="12"/>
      <c r="N904" s="12"/>
    </row>
    <row r="905" spans="7:14" ht="12.75" customHeight="1" x14ac:dyDescent="0.15">
      <c r="G905" s="12"/>
      <c r="H905" s="17"/>
      <c r="J905" s="12"/>
      <c r="K905" s="12"/>
      <c r="M905" s="12"/>
      <c r="N905" s="12"/>
    </row>
    <row r="906" spans="7:14" ht="12.75" customHeight="1" x14ac:dyDescent="0.15">
      <c r="G906" s="12"/>
      <c r="H906" s="17"/>
      <c r="J906" s="12"/>
      <c r="K906" s="12"/>
      <c r="M906" s="12"/>
      <c r="N906" s="12"/>
    </row>
    <row r="907" spans="7:14" ht="12.75" customHeight="1" x14ac:dyDescent="0.15">
      <c r="G907" s="12"/>
      <c r="H907" s="17"/>
      <c r="J907" s="12"/>
      <c r="K907" s="12"/>
      <c r="M907" s="12"/>
      <c r="N907" s="12"/>
    </row>
    <row r="908" spans="7:14" ht="12.75" customHeight="1" x14ac:dyDescent="0.15">
      <c r="G908" s="12"/>
      <c r="H908" s="17"/>
      <c r="J908" s="12"/>
      <c r="K908" s="12"/>
      <c r="M908" s="12"/>
      <c r="N908" s="12"/>
    </row>
    <row r="909" spans="7:14" ht="12.75" customHeight="1" x14ac:dyDescent="0.15">
      <c r="G909" s="12"/>
      <c r="H909" s="17"/>
      <c r="J909" s="12"/>
      <c r="K909" s="12"/>
      <c r="M909" s="12"/>
      <c r="N909" s="12"/>
    </row>
    <row r="910" spans="7:14" ht="12.75" customHeight="1" x14ac:dyDescent="0.15">
      <c r="G910" s="12"/>
      <c r="H910" s="17"/>
      <c r="J910" s="12"/>
      <c r="K910" s="12"/>
      <c r="M910" s="12"/>
      <c r="N910" s="12"/>
    </row>
    <row r="911" spans="7:14" ht="12.75" customHeight="1" x14ac:dyDescent="0.15">
      <c r="G911" s="12"/>
      <c r="H911" s="17"/>
      <c r="J911" s="12"/>
      <c r="K911" s="12"/>
      <c r="M911" s="12"/>
      <c r="N911" s="12"/>
    </row>
    <row r="912" spans="7:14" ht="12.75" customHeight="1" x14ac:dyDescent="0.15">
      <c r="G912" s="12"/>
      <c r="H912" s="17"/>
      <c r="J912" s="12"/>
      <c r="K912" s="12"/>
      <c r="M912" s="12"/>
      <c r="N912" s="12"/>
    </row>
    <row r="913" spans="7:14" ht="12.75" customHeight="1" x14ac:dyDescent="0.15">
      <c r="G913" s="12"/>
      <c r="H913" s="17"/>
      <c r="J913" s="12"/>
      <c r="K913" s="12"/>
      <c r="M913" s="12"/>
      <c r="N913" s="12"/>
    </row>
    <row r="914" spans="7:14" ht="12.75" customHeight="1" x14ac:dyDescent="0.15">
      <c r="G914" s="12"/>
      <c r="H914" s="17"/>
      <c r="J914" s="12"/>
      <c r="K914" s="12"/>
      <c r="M914" s="12"/>
      <c r="N914" s="12"/>
    </row>
    <row r="915" spans="7:14" ht="12.75" customHeight="1" x14ac:dyDescent="0.15">
      <c r="G915" s="12"/>
      <c r="H915" s="17"/>
      <c r="J915" s="12"/>
      <c r="K915" s="12"/>
      <c r="M915" s="12"/>
      <c r="N915" s="12"/>
    </row>
    <row r="916" spans="7:14" ht="12.75" customHeight="1" x14ac:dyDescent="0.15">
      <c r="G916" s="12"/>
      <c r="H916" s="17"/>
      <c r="J916" s="12"/>
      <c r="K916" s="12"/>
      <c r="M916" s="12"/>
      <c r="N916" s="12"/>
    </row>
    <row r="917" spans="7:14" ht="12.75" customHeight="1" x14ac:dyDescent="0.15">
      <c r="G917" s="12"/>
      <c r="H917" s="17"/>
      <c r="J917" s="12"/>
      <c r="K917" s="12"/>
      <c r="M917" s="12"/>
      <c r="N917" s="12"/>
    </row>
    <row r="918" spans="7:14" ht="12.75" customHeight="1" x14ac:dyDescent="0.15">
      <c r="G918" s="12"/>
      <c r="H918" s="17"/>
      <c r="J918" s="12"/>
      <c r="K918" s="12"/>
      <c r="M918" s="12"/>
      <c r="N918" s="12"/>
    </row>
    <row r="919" spans="7:14" ht="12.75" customHeight="1" x14ac:dyDescent="0.15">
      <c r="G919" s="12"/>
      <c r="H919" s="17"/>
      <c r="J919" s="12"/>
      <c r="K919" s="12"/>
      <c r="M919" s="12"/>
      <c r="N919" s="12"/>
    </row>
    <row r="920" spans="7:14" ht="12.75" customHeight="1" x14ac:dyDescent="0.15">
      <c r="G920" s="12"/>
      <c r="H920" s="17"/>
      <c r="J920" s="12"/>
      <c r="K920" s="12"/>
      <c r="M920" s="12"/>
      <c r="N920" s="12"/>
    </row>
    <row r="921" spans="7:14" ht="12.75" customHeight="1" x14ac:dyDescent="0.15">
      <c r="G921" s="12"/>
      <c r="H921" s="17"/>
      <c r="J921" s="12"/>
      <c r="K921" s="12"/>
      <c r="M921" s="12"/>
      <c r="N921" s="12"/>
    </row>
    <row r="922" spans="7:14" ht="12.75" customHeight="1" x14ac:dyDescent="0.15">
      <c r="G922" s="12"/>
      <c r="H922" s="17"/>
      <c r="J922" s="12"/>
      <c r="K922" s="12"/>
      <c r="M922" s="12"/>
      <c r="N922" s="12"/>
    </row>
    <row r="923" spans="7:14" ht="12.75" customHeight="1" x14ac:dyDescent="0.15">
      <c r="G923" s="12"/>
      <c r="H923" s="17"/>
      <c r="J923" s="12"/>
      <c r="K923" s="12"/>
      <c r="M923" s="12"/>
      <c r="N923" s="12"/>
    </row>
    <row r="924" spans="7:14" ht="12.75" customHeight="1" x14ac:dyDescent="0.15">
      <c r="G924" s="12"/>
      <c r="H924" s="17"/>
      <c r="J924" s="12"/>
      <c r="K924" s="12"/>
      <c r="M924" s="12"/>
      <c r="N924" s="12"/>
    </row>
    <row r="925" spans="7:14" ht="12.75" customHeight="1" x14ac:dyDescent="0.15">
      <c r="G925" s="12"/>
      <c r="H925" s="17"/>
      <c r="J925" s="12"/>
      <c r="K925" s="12"/>
      <c r="M925" s="12"/>
      <c r="N925" s="12"/>
    </row>
    <row r="926" spans="7:14" ht="12.75" customHeight="1" x14ac:dyDescent="0.15">
      <c r="G926" s="12"/>
      <c r="H926" s="17"/>
      <c r="J926" s="12"/>
      <c r="K926" s="12"/>
      <c r="M926" s="12"/>
      <c r="N926" s="12"/>
    </row>
    <row r="927" spans="7:14" ht="12.75" customHeight="1" x14ac:dyDescent="0.15">
      <c r="G927" s="12"/>
      <c r="H927" s="17"/>
      <c r="J927" s="12"/>
      <c r="K927" s="12"/>
      <c r="M927" s="12"/>
      <c r="N927" s="12"/>
    </row>
    <row r="928" spans="7:14" ht="12.75" customHeight="1" x14ac:dyDescent="0.15">
      <c r="G928" s="12"/>
      <c r="H928" s="17"/>
      <c r="J928" s="12"/>
      <c r="K928" s="12"/>
      <c r="M928" s="12"/>
      <c r="N928" s="12"/>
    </row>
    <row r="929" spans="7:14" ht="12.75" customHeight="1" x14ac:dyDescent="0.15">
      <c r="G929" s="12"/>
      <c r="H929" s="17"/>
      <c r="J929" s="12"/>
      <c r="K929" s="12"/>
      <c r="M929" s="12"/>
      <c r="N929" s="12"/>
    </row>
    <row r="930" spans="7:14" ht="12.75" customHeight="1" x14ac:dyDescent="0.15">
      <c r="G930" s="12"/>
      <c r="H930" s="17"/>
      <c r="J930" s="12"/>
      <c r="K930" s="12"/>
      <c r="M930" s="12"/>
      <c r="N930" s="12"/>
    </row>
    <row r="931" spans="7:14" ht="12.75" customHeight="1" x14ac:dyDescent="0.15">
      <c r="G931" s="12"/>
      <c r="H931" s="17"/>
      <c r="J931" s="12"/>
      <c r="K931" s="12"/>
      <c r="M931" s="12"/>
      <c r="N931" s="12"/>
    </row>
    <row r="932" spans="7:14" ht="12.75" customHeight="1" x14ac:dyDescent="0.15">
      <c r="G932" s="12"/>
      <c r="H932" s="17"/>
      <c r="J932" s="12"/>
      <c r="K932" s="12"/>
      <c r="M932" s="12"/>
      <c r="N932" s="12"/>
    </row>
    <row r="933" spans="7:14" ht="12.75" customHeight="1" x14ac:dyDescent="0.15">
      <c r="G933" s="12"/>
      <c r="H933" s="17"/>
      <c r="J933" s="12"/>
      <c r="K933" s="12"/>
      <c r="M933" s="12"/>
      <c r="N933" s="12"/>
    </row>
    <row r="934" spans="7:14" ht="12.75" customHeight="1" x14ac:dyDescent="0.15">
      <c r="G934" s="12"/>
      <c r="H934" s="17"/>
      <c r="J934" s="12"/>
      <c r="K934" s="12"/>
      <c r="M934" s="12"/>
      <c r="N934" s="12"/>
    </row>
    <row r="935" spans="7:14" ht="12.75" customHeight="1" x14ac:dyDescent="0.15">
      <c r="G935" s="12"/>
      <c r="H935" s="17"/>
      <c r="J935" s="12"/>
      <c r="K935" s="12"/>
      <c r="M935" s="12"/>
      <c r="N935" s="12"/>
    </row>
    <row r="936" spans="7:14" ht="12.75" customHeight="1" x14ac:dyDescent="0.15">
      <c r="G936" s="12"/>
      <c r="H936" s="17"/>
      <c r="J936" s="12"/>
      <c r="K936" s="12"/>
      <c r="M936" s="12"/>
      <c r="N936" s="12"/>
    </row>
    <row r="937" spans="7:14" ht="12.75" customHeight="1" x14ac:dyDescent="0.15">
      <c r="G937" s="12"/>
      <c r="H937" s="17"/>
      <c r="J937" s="12"/>
      <c r="K937" s="12"/>
      <c r="M937" s="12"/>
      <c r="N937" s="12"/>
    </row>
    <row r="938" spans="7:14" ht="12.75" customHeight="1" x14ac:dyDescent="0.15">
      <c r="G938" s="12"/>
      <c r="H938" s="17"/>
      <c r="J938" s="12"/>
      <c r="K938" s="12"/>
      <c r="M938" s="12"/>
      <c r="N938" s="12"/>
    </row>
    <row r="939" spans="7:14" ht="12.75" customHeight="1" x14ac:dyDescent="0.15">
      <c r="G939" s="12"/>
      <c r="H939" s="17"/>
      <c r="J939" s="12"/>
      <c r="K939" s="12"/>
      <c r="M939" s="12"/>
      <c r="N939" s="12"/>
    </row>
    <row r="940" spans="7:14" ht="12.75" customHeight="1" x14ac:dyDescent="0.15">
      <c r="G940" s="12"/>
      <c r="H940" s="17"/>
      <c r="J940" s="12"/>
      <c r="K940" s="12"/>
      <c r="M940" s="12"/>
      <c r="N940" s="12"/>
    </row>
    <row r="941" spans="7:14" ht="12.75" customHeight="1" x14ac:dyDescent="0.15">
      <c r="G941" s="12"/>
      <c r="H941" s="17"/>
      <c r="J941" s="12"/>
      <c r="K941" s="12"/>
      <c r="M941" s="12"/>
      <c r="N941" s="12"/>
    </row>
    <row r="942" spans="7:14" ht="12.75" customHeight="1" x14ac:dyDescent="0.15">
      <c r="G942" s="12"/>
      <c r="H942" s="17"/>
      <c r="J942" s="12"/>
      <c r="K942" s="12"/>
      <c r="M942" s="12"/>
      <c r="N942" s="12"/>
    </row>
    <row r="943" spans="7:14" ht="12.75" customHeight="1" x14ac:dyDescent="0.15">
      <c r="G943" s="12"/>
      <c r="H943" s="17"/>
      <c r="J943" s="12"/>
      <c r="K943" s="12"/>
      <c r="M943" s="12"/>
      <c r="N943" s="12"/>
    </row>
    <row r="944" spans="7:14" ht="12.75" customHeight="1" x14ac:dyDescent="0.15">
      <c r="G944" s="12"/>
      <c r="H944" s="17"/>
      <c r="J944" s="12"/>
      <c r="K944" s="12"/>
      <c r="M944" s="12"/>
      <c r="N944" s="12"/>
    </row>
    <row r="945" spans="7:14" ht="12.75" customHeight="1" x14ac:dyDescent="0.15">
      <c r="G945" s="12"/>
      <c r="H945" s="17"/>
      <c r="J945" s="12"/>
      <c r="K945" s="12"/>
      <c r="M945" s="12"/>
      <c r="N945" s="12"/>
    </row>
    <row r="946" spans="7:14" ht="12.75" customHeight="1" x14ac:dyDescent="0.15">
      <c r="G946" s="12"/>
      <c r="H946" s="17"/>
      <c r="J946" s="12"/>
      <c r="K946" s="12"/>
      <c r="M946" s="12"/>
      <c r="N946" s="12"/>
    </row>
    <row r="947" spans="7:14" ht="12.75" customHeight="1" x14ac:dyDescent="0.15">
      <c r="G947" s="12"/>
      <c r="H947" s="17"/>
      <c r="J947" s="12"/>
      <c r="K947" s="12"/>
      <c r="M947" s="12"/>
      <c r="N947" s="12"/>
    </row>
    <row r="948" spans="7:14" ht="12.75" customHeight="1" x14ac:dyDescent="0.15">
      <c r="G948" s="12"/>
      <c r="H948" s="17"/>
      <c r="J948" s="12"/>
      <c r="K948" s="12"/>
      <c r="M948" s="12"/>
      <c r="N948" s="12"/>
    </row>
    <row r="949" spans="7:14" ht="12.75" customHeight="1" x14ac:dyDescent="0.15">
      <c r="G949" s="12"/>
      <c r="H949" s="17"/>
      <c r="J949" s="12"/>
      <c r="K949" s="12"/>
      <c r="M949" s="12"/>
      <c r="N949" s="12"/>
    </row>
    <row r="950" spans="7:14" ht="12.75" customHeight="1" x14ac:dyDescent="0.15">
      <c r="G950" s="12"/>
      <c r="H950" s="17"/>
      <c r="J950" s="12"/>
      <c r="K950" s="12"/>
      <c r="M950" s="12"/>
      <c r="N950" s="12"/>
    </row>
    <row r="951" spans="7:14" ht="12.75" customHeight="1" x14ac:dyDescent="0.15">
      <c r="G951" s="12"/>
      <c r="H951" s="17"/>
      <c r="J951" s="12"/>
      <c r="K951" s="12"/>
      <c r="M951" s="12"/>
      <c r="N951" s="12"/>
    </row>
    <row r="952" spans="7:14" ht="12.75" customHeight="1" x14ac:dyDescent="0.15">
      <c r="G952" s="12"/>
      <c r="H952" s="17"/>
      <c r="J952" s="12"/>
      <c r="K952" s="12"/>
      <c r="M952" s="12"/>
      <c r="N952" s="12"/>
    </row>
    <row r="953" spans="7:14" ht="12.75" customHeight="1" x14ac:dyDescent="0.15">
      <c r="G953" s="12"/>
      <c r="H953" s="17"/>
      <c r="J953" s="12"/>
      <c r="K953" s="12"/>
      <c r="M953" s="12"/>
      <c r="N953" s="12"/>
    </row>
    <row r="954" spans="7:14" ht="12.75" customHeight="1" x14ac:dyDescent="0.15">
      <c r="G954" s="12"/>
      <c r="H954" s="17"/>
      <c r="J954" s="12"/>
      <c r="K954" s="12"/>
      <c r="M954" s="12"/>
      <c r="N954" s="12"/>
    </row>
    <row r="955" spans="7:14" ht="12.75" customHeight="1" x14ac:dyDescent="0.15">
      <c r="G955" s="12"/>
      <c r="H955" s="17"/>
      <c r="J955" s="12"/>
      <c r="K955" s="12"/>
      <c r="M955" s="12"/>
      <c r="N955" s="12"/>
    </row>
    <row r="956" spans="7:14" ht="12.75" customHeight="1" x14ac:dyDescent="0.15">
      <c r="G956" s="12"/>
      <c r="H956" s="17"/>
      <c r="J956" s="12"/>
      <c r="K956" s="12"/>
      <c r="M956" s="12"/>
      <c r="N956" s="12"/>
    </row>
    <row r="957" spans="7:14" ht="12.75" customHeight="1" x14ac:dyDescent="0.15">
      <c r="G957" s="12"/>
      <c r="H957" s="17"/>
      <c r="J957" s="12"/>
      <c r="K957" s="12"/>
      <c r="M957" s="12"/>
      <c r="N957" s="12"/>
    </row>
    <row r="958" spans="7:14" ht="12.75" customHeight="1" x14ac:dyDescent="0.15">
      <c r="G958" s="12"/>
      <c r="H958" s="17"/>
      <c r="J958" s="12"/>
      <c r="K958" s="12"/>
      <c r="M958" s="12"/>
      <c r="N958" s="12"/>
    </row>
    <row r="959" spans="7:14" ht="12.75" customHeight="1" x14ac:dyDescent="0.15">
      <c r="G959" s="12"/>
      <c r="H959" s="17"/>
      <c r="J959" s="12"/>
      <c r="K959" s="12"/>
      <c r="M959" s="12"/>
      <c r="N959" s="12"/>
    </row>
    <row r="960" spans="7:14" ht="12.75" customHeight="1" x14ac:dyDescent="0.15">
      <c r="G960" s="12"/>
      <c r="H960" s="17"/>
      <c r="J960" s="12"/>
      <c r="K960" s="12"/>
      <c r="M960" s="12"/>
      <c r="N960" s="12"/>
    </row>
    <row r="961" spans="7:14" ht="12.75" customHeight="1" x14ac:dyDescent="0.15">
      <c r="G961" s="12"/>
      <c r="H961" s="17"/>
      <c r="J961" s="12"/>
      <c r="K961" s="12"/>
      <c r="M961" s="12"/>
      <c r="N961" s="12"/>
    </row>
    <row r="962" spans="7:14" ht="12.75" customHeight="1" x14ac:dyDescent="0.15">
      <c r="G962" s="12"/>
      <c r="H962" s="17"/>
      <c r="J962" s="12"/>
      <c r="K962" s="12"/>
      <c r="M962" s="12"/>
      <c r="N962" s="12"/>
    </row>
    <row r="963" spans="7:14" ht="12.75" customHeight="1" x14ac:dyDescent="0.15">
      <c r="G963" s="12"/>
      <c r="H963" s="17"/>
      <c r="J963" s="12"/>
      <c r="K963" s="12"/>
      <c r="M963" s="12"/>
      <c r="N963" s="12"/>
    </row>
    <row r="964" spans="7:14" ht="12.75" customHeight="1" x14ac:dyDescent="0.15">
      <c r="G964" s="12"/>
      <c r="H964" s="17"/>
      <c r="J964" s="12"/>
      <c r="K964" s="12"/>
      <c r="M964" s="12"/>
      <c r="N964" s="12"/>
    </row>
    <row r="965" spans="7:14" ht="12.75" customHeight="1" x14ac:dyDescent="0.15">
      <c r="G965" s="12"/>
      <c r="H965" s="17"/>
      <c r="J965" s="12"/>
      <c r="K965" s="12"/>
      <c r="M965" s="12"/>
      <c r="N965" s="12"/>
    </row>
    <row r="966" spans="7:14" ht="12.75" customHeight="1" x14ac:dyDescent="0.15">
      <c r="G966" s="12"/>
      <c r="H966" s="17"/>
      <c r="J966" s="12"/>
      <c r="K966" s="12"/>
      <c r="M966" s="12"/>
      <c r="N966" s="12"/>
    </row>
    <row r="967" spans="7:14" ht="12.75" customHeight="1" x14ac:dyDescent="0.15">
      <c r="G967" s="12"/>
      <c r="H967" s="17"/>
      <c r="J967" s="12"/>
      <c r="K967" s="12"/>
      <c r="M967" s="12"/>
      <c r="N967" s="12"/>
    </row>
    <row r="968" spans="7:14" ht="12.75" customHeight="1" x14ac:dyDescent="0.15">
      <c r="G968" s="12"/>
      <c r="H968" s="17"/>
      <c r="J968" s="12"/>
      <c r="K968" s="12"/>
      <c r="M968" s="12"/>
      <c r="N968" s="12"/>
    </row>
    <row r="969" spans="7:14" ht="12.75" customHeight="1" x14ac:dyDescent="0.15">
      <c r="G969" s="12"/>
      <c r="H969" s="17"/>
      <c r="J969" s="12"/>
      <c r="K969" s="12"/>
      <c r="M969" s="12"/>
      <c r="N969" s="12"/>
    </row>
    <row r="970" spans="7:14" ht="12.75" customHeight="1" x14ac:dyDescent="0.15">
      <c r="G970" s="12"/>
      <c r="H970" s="17"/>
      <c r="J970" s="12"/>
      <c r="K970" s="12"/>
      <c r="M970" s="12"/>
      <c r="N970" s="12"/>
    </row>
    <row r="971" spans="7:14" ht="12.75" customHeight="1" x14ac:dyDescent="0.15">
      <c r="G971" s="12"/>
      <c r="H971" s="17"/>
      <c r="J971" s="12"/>
      <c r="K971" s="12"/>
      <c r="M971" s="12"/>
      <c r="N971" s="12"/>
    </row>
    <row r="972" spans="7:14" ht="12.75" customHeight="1" x14ac:dyDescent="0.15">
      <c r="G972" s="12"/>
      <c r="H972" s="17"/>
      <c r="J972" s="12"/>
      <c r="K972" s="12"/>
      <c r="M972" s="12"/>
      <c r="N972" s="12"/>
    </row>
    <row r="973" spans="7:14" ht="12.75" customHeight="1" x14ac:dyDescent="0.15">
      <c r="G973" s="12"/>
      <c r="H973" s="17"/>
      <c r="J973" s="12"/>
      <c r="K973" s="12"/>
      <c r="M973" s="12"/>
      <c r="N973" s="12"/>
    </row>
    <row r="974" spans="7:14" ht="12.75" customHeight="1" x14ac:dyDescent="0.15">
      <c r="G974" s="12"/>
      <c r="H974" s="17"/>
      <c r="J974" s="12"/>
      <c r="K974" s="12"/>
      <c r="M974" s="12"/>
      <c r="N974" s="12"/>
    </row>
    <row r="975" spans="7:14" ht="12.75" customHeight="1" x14ac:dyDescent="0.15">
      <c r="G975" s="12"/>
      <c r="H975" s="17"/>
      <c r="J975" s="12"/>
      <c r="K975" s="12"/>
      <c r="M975" s="12"/>
      <c r="N975" s="12"/>
    </row>
    <row r="976" spans="7:14" ht="12.75" customHeight="1" x14ac:dyDescent="0.15">
      <c r="G976" s="12"/>
      <c r="H976" s="17"/>
      <c r="J976" s="12"/>
      <c r="K976" s="12"/>
      <c r="M976" s="12"/>
      <c r="N976" s="12"/>
    </row>
    <row r="977" spans="7:14" ht="12.75" customHeight="1" x14ac:dyDescent="0.15">
      <c r="G977" s="12"/>
      <c r="H977" s="17"/>
      <c r="J977" s="12"/>
      <c r="K977" s="12"/>
      <c r="M977" s="12"/>
      <c r="N977" s="12"/>
    </row>
    <row r="978" spans="7:14" ht="12.75" customHeight="1" x14ac:dyDescent="0.15">
      <c r="G978" s="12"/>
      <c r="H978" s="17"/>
      <c r="J978" s="12"/>
      <c r="K978" s="12"/>
      <c r="M978" s="12"/>
      <c r="N978" s="12"/>
    </row>
    <row r="979" spans="7:14" ht="12.75" customHeight="1" x14ac:dyDescent="0.15">
      <c r="G979" s="12"/>
      <c r="H979" s="17"/>
      <c r="J979" s="12"/>
      <c r="K979" s="12"/>
      <c r="M979" s="12"/>
      <c r="N979" s="12"/>
    </row>
    <row r="980" spans="7:14" ht="12.75" customHeight="1" x14ac:dyDescent="0.15">
      <c r="G980" s="12"/>
      <c r="H980" s="17"/>
      <c r="J980" s="12"/>
      <c r="K980" s="12"/>
      <c r="M980" s="12"/>
      <c r="N980" s="12"/>
    </row>
    <row r="981" spans="7:14" ht="12.75" customHeight="1" x14ac:dyDescent="0.15">
      <c r="G981" s="12"/>
      <c r="H981" s="17"/>
      <c r="J981" s="12"/>
      <c r="K981" s="12"/>
      <c r="M981" s="12"/>
      <c r="N981" s="12"/>
    </row>
    <row r="982" spans="7:14" ht="12.75" customHeight="1" x14ac:dyDescent="0.15">
      <c r="G982" s="12"/>
      <c r="H982" s="17"/>
      <c r="J982" s="12"/>
      <c r="K982" s="12"/>
      <c r="M982" s="12"/>
      <c r="N982" s="12"/>
    </row>
    <row r="983" spans="7:14" ht="12.75" customHeight="1" x14ac:dyDescent="0.15">
      <c r="G983" s="12"/>
      <c r="H983" s="17"/>
      <c r="J983" s="12"/>
      <c r="K983" s="12"/>
      <c r="M983" s="12"/>
      <c r="N983" s="12"/>
    </row>
    <row r="984" spans="7:14" ht="12.75" customHeight="1" x14ac:dyDescent="0.15">
      <c r="G984" s="12"/>
      <c r="H984" s="17"/>
      <c r="J984" s="12"/>
      <c r="K984" s="12"/>
      <c r="M984" s="12"/>
      <c r="N984" s="12"/>
    </row>
    <row r="985" spans="7:14" ht="12.75" customHeight="1" x14ac:dyDescent="0.15">
      <c r="G985" s="12"/>
      <c r="H985" s="17"/>
      <c r="J985" s="12"/>
      <c r="K985" s="12"/>
      <c r="M985" s="12"/>
      <c r="N985" s="12"/>
    </row>
    <row r="986" spans="7:14" ht="12.75" customHeight="1" x14ac:dyDescent="0.15">
      <c r="G986" s="12"/>
      <c r="H986" s="17"/>
      <c r="J986" s="12"/>
      <c r="K986" s="12"/>
      <c r="M986" s="12"/>
      <c r="N986" s="12"/>
    </row>
    <row r="987" spans="7:14" ht="12.75" customHeight="1" x14ac:dyDescent="0.15">
      <c r="G987" s="12"/>
      <c r="H987" s="17"/>
      <c r="J987" s="12"/>
      <c r="K987" s="12"/>
      <c r="M987" s="12"/>
      <c r="N987" s="12"/>
    </row>
    <row r="988" spans="7:14" ht="12.75" customHeight="1" x14ac:dyDescent="0.15">
      <c r="G988" s="12"/>
      <c r="H988" s="17"/>
      <c r="J988" s="12"/>
      <c r="K988" s="12"/>
      <c r="M988" s="12"/>
      <c r="N988" s="12"/>
    </row>
    <row r="989" spans="7:14" ht="12.75" customHeight="1" x14ac:dyDescent="0.15">
      <c r="G989" s="12"/>
      <c r="H989" s="17"/>
      <c r="J989" s="12"/>
      <c r="K989" s="12"/>
      <c r="M989" s="12"/>
      <c r="N989" s="12"/>
    </row>
    <row r="990" spans="7:14" ht="12.75" customHeight="1" x14ac:dyDescent="0.15">
      <c r="G990" s="12"/>
      <c r="H990" s="17"/>
      <c r="J990" s="12"/>
      <c r="K990" s="12"/>
      <c r="M990" s="12"/>
      <c r="N990" s="12"/>
    </row>
    <row r="991" spans="7:14" ht="12.75" customHeight="1" x14ac:dyDescent="0.15">
      <c r="G991" s="12"/>
      <c r="H991" s="17"/>
      <c r="J991" s="12"/>
      <c r="K991" s="12"/>
      <c r="M991" s="12"/>
      <c r="N991" s="12"/>
    </row>
    <row r="992" spans="7:14" ht="12.75" customHeight="1" x14ac:dyDescent="0.15">
      <c r="G992" s="12"/>
      <c r="H992" s="17"/>
      <c r="J992" s="12"/>
      <c r="K992" s="12"/>
      <c r="M992" s="12"/>
      <c r="N992" s="12"/>
    </row>
    <row r="993" spans="7:14" ht="12.75" customHeight="1" x14ac:dyDescent="0.15">
      <c r="G993" s="12"/>
      <c r="H993" s="17"/>
      <c r="J993" s="12"/>
      <c r="K993" s="12"/>
      <c r="M993" s="12"/>
      <c r="N993" s="12"/>
    </row>
    <row r="994" spans="7:14" ht="12.75" customHeight="1" x14ac:dyDescent="0.15">
      <c r="G994" s="12"/>
      <c r="H994" s="17"/>
      <c r="J994" s="12"/>
      <c r="K994" s="12"/>
      <c r="M994" s="12"/>
      <c r="N994" s="12"/>
    </row>
    <row r="995" spans="7:14" ht="12.75" customHeight="1" x14ac:dyDescent="0.15">
      <c r="G995" s="12"/>
      <c r="H995" s="17"/>
      <c r="J995" s="12"/>
      <c r="K995" s="12"/>
      <c r="M995" s="12"/>
      <c r="N995" s="12"/>
    </row>
    <row r="996" spans="7:14" ht="12.75" customHeight="1" x14ac:dyDescent="0.15">
      <c r="G996" s="12"/>
      <c r="H996" s="17"/>
      <c r="J996" s="12"/>
      <c r="K996" s="12"/>
      <c r="M996" s="12"/>
      <c r="N996" s="12"/>
    </row>
    <row r="997" spans="7:14" ht="12.75" customHeight="1" x14ac:dyDescent="0.15">
      <c r="G997" s="12"/>
      <c r="H997" s="17"/>
      <c r="J997" s="12"/>
      <c r="K997" s="12"/>
      <c r="M997" s="12"/>
      <c r="N997" s="12"/>
    </row>
    <row r="998" spans="7:14" ht="12.75" customHeight="1" x14ac:dyDescent="0.15">
      <c r="G998" s="12"/>
      <c r="H998" s="17"/>
      <c r="J998" s="12"/>
      <c r="K998" s="12"/>
      <c r="M998" s="12"/>
      <c r="N998" s="12"/>
    </row>
    <row r="999" spans="7:14" ht="12.75" customHeight="1" x14ac:dyDescent="0.15">
      <c r="G999" s="12"/>
      <c r="H999" s="17"/>
      <c r="J999" s="12"/>
      <c r="K999" s="12"/>
      <c r="M999" s="12"/>
      <c r="N999" s="12"/>
    </row>
    <row r="1000" spans="7:14" ht="12.75" customHeight="1" x14ac:dyDescent="0.15">
      <c r="G1000" s="12"/>
      <c r="H1000" s="17"/>
      <c r="J1000" s="12"/>
      <c r="K1000" s="12"/>
      <c r="M1000" s="12"/>
      <c r="N1000" s="12"/>
    </row>
  </sheetData>
  <sheetProtection selectLockedCells="1" selectUnlockedCells="1"/>
  <conditionalFormatting sqref="A3:A22 G37:G1000 M3:N1000 J3:K1000">
    <cfRule type="expression" dxfId="12" priority="1" stopIfTrue="1">
      <formula>NOT(ISERROR(SEARCH("DEAD",A3)))</formula>
    </cfRule>
  </conditionalFormatting>
  <dataValidations count="1">
    <dataValidation type="list" allowBlank="1" sqref="B3:E22 H37:H1000">
      <formula1>_CharacterLevels</formula1>
      <formula2>0</formula2>
    </dataValidation>
  </dataValidations>
  <pageMargins left="0.7" right="0.7" top="0.75" bottom="0.75" header="0.51180555555555551" footer="0.51180555555555551"/>
  <pageSetup firstPageNumber="0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 enableFormatConditionsCalculation="0"/>
  <dimension ref="A1:M525"/>
  <sheetViews>
    <sheetView workbookViewId="0">
      <pane ySplit="1" topLeftCell="A323" activePane="bottomLeft" state="frozen"/>
      <selection pane="bottomLeft" activeCell="A525" sqref="A525"/>
    </sheetView>
  </sheetViews>
  <sheetFormatPr baseColWidth="10" defaultColWidth="14.5" defaultRowHeight="15.75" customHeight="1" x14ac:dyDescent="0.15"/>
  <cols>
    <col min="1" max="1" width="30" style="72" customWidth="1"/>
    <col min="2" max="2" width="18.33203125" style="109" customWidth="1"/>
    <col min="3" max="3" width="15.5" style="72" customWidth="1"/>
    <col min="4" max="4" width="18.5" style="72" customWidth="1"/>
    <col min="5" max="5" width="15" style="72" customWidth="1"/>
    <col min="6" max="8" width="14.5" style="72"/>
    <col min="9" max="9" width="31.1640625" style="72" bestFit="1" customWidth="1"/>
    <col min="10" max="10" width="31.1640625" style="72" customWidth="1"/>
    <col min="11" max="16384" width="14.5" style="72"/>
  </cols>
  <sheetData>
    <row r="1" spans="1:13" ht="15.75" customHeight="1" x14ac:dyDescent="0.15">
      <c r="A1" s="71" t="s">
        <v>5</v>
      </c>
      <c r="B1" s="107" t="s">
        <v>10</v>
      </c>
      <c r="C1" s="71" t="s">
        <v>24</v>
      </c>
      <c r="D1" s="71" t="s">
        <v>25</v>
      </c>
      <c r="E1" s="71" t="s">
        <v>26</v>
      </c>
      <c r="F1" s="71" t="s">
        <v>27</v>
      </c>
      <c r="G1" s="71" t="s">
        <v>28</v>
      </c>
      <c r="H1" s="71" t="s">
        <v>705</v>
      </c>
      <c r="I1" s="71" t="s">
        <v>712</v>
      </c>
      <c r="J1" s="71" t="s">
        <v>847</v>
      </c>
      <c r="K1" s="71" t="s">
        <v>29</v>
      </c>
      <c r="L1" s="71" t="s">
        <v>30</v>
      </c>
      <c r="M1" s="71" t="s">
        <v>695</v>
      </c>
    </row>
    <row r="2" spans="1:13" ht="15.75" hidden="1" customHeight="1" x14ac:dyDescent="0.15">
      <c r="A2" s="73" t="s">
        <v>31</v>
      </c>
      <c r="B2" s="89" t="s">
        <v>32</v>
      </c>
      <c r="C2" s="74" t="s">
        <v>33</v>
      </c>
      <c r="D2" s="74" t="s">
        <v>31</v>
      </c>
      <c r="E2" s="74" t="s">
        <v>19</v>
      </c>
      <c r="F2" s="74">
        <v>13</v>
      </c>
      <c r="G2" s="74" t="s">
        <v>34</v>
      </c>
      <c r="H2" s="74">
        <v>2</v>
      </c>
      <c r="I2" s="83" t="str">
        <f t="shared" ref="I2:I33" si="0">HYPERLINK("http://www.aidedd.org/dnd/monstres.php?vo="&amp;SUBSTITUTE(A2," ","-"))</f>
        <v>http://www.aidedd.org/dnd/monstres.php?vo=Aarakocra</v>
      </c>
      <c r="J2" s="83"/>
      <c r="K2" s="74" t="s">
        <v>35</v>
      </c>
      <c r="L2" s="74" t="s">
        <v>35</v>
      </c>
    </row>
    <row r="3" spans="1:13" ht="15.75" hidden="1" customHeight="1" x14ac:dyDescent="0.15">
      <c r="A3" s="73" t="s">
        <v>36</v>
      </c>
      <c r="B3" s="89">
        <v>10</v>
      </c>
      <c r="C3" s="74" t="s">
        <v>37</v>
      </c>
      <c r="D3" s="74"/>
      <c r="E3" s="74" t="s">
        <v>38</v>
      </c>
      <c r="F3" s="74">
        <v>135</v>
      </c>
      <c r="G3" s="74" t="s">
        <v>39</v>
      </c>
      <c r="H3" s="74">
        <v>-1</v>
      </c>
      <c r="I3" s="83" t="str">
        <f t="shared" si="0"/>
        <v>http://www.aidedd.org/dnd/monstres.php?vo=Aboleth</v>
      </c>
      <c r="J3" s="83"/>
      <c r="K3" s="74" t="s">
        <v>2</v>
      </c>
      <c r="L3" s="74" t="s">
        <v>2</v>
      </c>
    </row>
    <row r="4" spans="1:13" ht="15.75" hidden="1" customHeight="1" x14ac:dyDescent="0.15">
      <c r="A4" s="76" t="s">
        <v>726</v>
      </c>
      <c r="B4" s="89">
        <v>10</v>
      </c>
      <c r="C4" s="74" t="s">
        <v>40</v>
      </c>
      <c r="D4" s="75" t="s">
        <v>727</v>
      </c>
      <c r="E4" s="74" t="s">
        <v>19</v>
      </c>
      <c r="F4" s="74">
        <v>136</v>
      </c>
      <c r="G4" s="74" t="s">
        <v>41</v>
      </c>
      <c r="H4" s="74">
        <v>4</v>
      </c>
      <c r="I4" s="83" t="str">
        <f t="shared" si="0"/>
        <v>http://www.aidedd.org/dnd/monstres.php?vo=Deva</v>
      </c>
      <c r="J4" s="83"/>
      <c r="K4" s="74" t="s">
        <v>35</v>
      </c>
      <c r="L4" s="74" t="s">
        <v>35</v>
      </c>
    </row>
    <row r="5" spans="1:13" ht="15.75" hidden="1" customHeight="1" x14ac:dyDescent="0.15">
      <c r="A5" s="76" t="s">
        <v>728</v>
      </c>
      <c r="B5" s="89">
        <v>16</v>
      </c>
      <c r="C5" s="74" t="s">
        <v>40</v>
      </c>
      <c r="D5" s="75" t="s">
        <v>727</v>
      </c>
      <c r="E5" s="74" t="s">
        <v>38</v>
      </c>
      <c r="F5" s="75">
        <v>200</v>
      </c>
      <c r="G5" s="74" t="s">
        <v>41</v>
      </c>
      <c r="H5" s="75">
        <v>5</v>
      </c>
      <c r="I5" s="83" t="str">
        <f t="shared" si="0"/>
        <v>http://www.aidedd.org/dnd/monstres.php?vo=Planetar</v>
      </c>
      <c r="J5" s="83"/>
      <c r="K5" s="74" t="s">
        <v>35</v>
      </c>
      <c r="L5" s="74" t="s">
        <v>35</v>
      </c>
    </row>
    <row r="6" spans="1:13" ht="15.75" hidden="1" customHeight="1" x14ac:dyDescent="0.15">
      <c r="A6" s="76" t="s">
        <v>729</v>
      </c>
      <c r="B6" s="89">
        <v>21</v>
      </c>
      <c r="C6" s="74" t="s">
        <v>40</v>
      </c>
      <c r="D6" s="75" t="s">
        <v>727</v>
      </c>
      <c r="E6" s="74" t="s">
        <v>38</v>
      </c>
      <c r="F6" s="75">
        <v>243</v>
      </c>
      <c r="G6" s="74" t="s">
        <v>41</v>
      </c>
      <c r="H6" s="75">
        <v>6</v>
      </c>
      <c r="I6" s="83" t="str">
        <f t="shared" si="0"/>
        <v>http://www.aidedd.org/dnd/monstres.php?vo=Solar</v>
      </c>
      <c r="J6" s="83"/>
      <c r="K6" s="74" t="s">
        <v>2</v>
      </c>
      <c r="L6" s="74" t="s">
        <v>35</v>
      </c>
    </row>
    <row r="7" spans="1:13" ht="15.75" hidden="1" customHeight="1" x14ac:dyDescent="0.15">
      <c r="A7" s="76" t="s">
        <v>730</v>
      </c>
      <c r="B7" s="89">
        <v>1</v>
      </c>
      <c r="C7" s="74" t="s">
        <v>42</v>
      </c>
      <c r="D7" s="75" t="s">
        <v>711</v>
      </c>
      <c r="E7" s="74" t="s">
        <v>19</v>
      </c>
      <c r="F7" s="75">
        <v>33</v>
      </c>
      <c r="G7" s="75" t="s">
        <v>694</v>
      </c>
      <c r="H7" s="75">
        <v>0</v>
      </c>
      <c r="I7" s="83" t="str">
        <f t="shared" si="0"/>
        <v>http://www.aidedd.org/dnd/monstres.php?vo=Animated-Armor</v>
      </c>
      <c r="J7" s="83"/>
      <c r="K7" s="74" t="s">
        <v>35</v>
      </c>
      <c r="L7" s="74" t="s">
        <v>35</v>
      </c>
    </row>
    <row r="8" spans="1:13" ht="15.75" hidden="1" customHeight="1" x14ac:dyDescent="0.15">
      <c r="A8" s="76" t="s">
        <v>710</v>
      </c>
      <c r="B8" s="89" t="s">
        <v>32</v>
      </c>
      <c r="C8" s="74" t="s">
        <v>42</v>
      </c>
      <c r="D8" s="75" t="s">
        <v>711</v>
      </c>
      <c r="E8" s="74" t="s">
        <v>43</v>
      </c>
      <c r="F8" s="74">
        <v>17</v>
      </c>
      <c r="G8" s="75" t="s">
        <v>694</v>
      </c>
      <c r="H8" s="74">
        <v>2</v>
      </c>
      <c r="I8" s="83" t="str">
        <f t="shared" si="0"/>
        <v>http://www.aidedd.org/dnd/monstres.php?vo=Flying-Sword</v>
      </c>
      <c r="J8" s="83"/>
      <c r="K8" s="74" t="s">
        <v>35</v>
      </c>
      <c r="L8" s="74" t="s">
        <v>35</v>
      </c>
    </row>
    <row r="9" spans="1:13" ht="15.75" hidden="1" customHeight="1" x14ac:dyDescent="0.15">
      <c r="A9" s="76" t="s">
        <v>731</v>
      </c>
      <c r="B9" s="89">
        <v>2</v>
      </c>
      <c r="C9" s="74" t="s">
        <v>42</v>
      </c>
      <c r="D9" s="75" t="s">
        <v>711</v>
      </c>
      <c r="E9" s="74" t="s">
        <v>38</v>
      </c>
      <c r="F9" s="75">
        <v>33</v>
      </c>
      <c r="G9" s="75" t="s">
        <v>694</v>
      </c>
      <c r="H9" s="75">
        <v>2</v>
      </c>
      <c r="I9" s="83" t="str">
        <f t="shared" si="0"/>
        <v>http://www.aidedd.org/dnd/monstres.php?vo=Rug-of-Smothering</v>
      </c>
      <c r="J9" s="83"/>
      <c r="K9" s="74" t="s">
        <v>35</v>
      </c>
      <c r="L9" s="74" t="s">
        <v>35</v>
      </c>
    </row>
    <row r="10" spans="1:13" ht="15.75" hidden="1" customHeight="1" x14ac:dyDescent="0.15">
      <c r="A10" s="73" t="s">
        <v>44</v>
      </c>
      <c r="B10" s="89">
        <v>2</v>
      </c>
      <c r="C10" s="74" t="s">
        <v>45</v>
      </c>
      <c r="D10" s="74"/>
      <c r="E10" s="74" t="s">
        <v>38</v>
      </c>
      <c r="F10" s="75">
        <v>39</v>
      </c>
      <c r="G10" s="75" t="s">
        <v>694</v>
      </c>
      <c r="H10" s="75">
        <v>0</v>
      </c>
      <c r="I10" s="83" t="str">
        <f t="shared" si="0"/>
        <v>http://www.aidedd.org/dnd/monstres.php?vo=Ankheg</v>
      </c>
      <c r="J10" s="83"/>
      <c r="K10" s="74" t="s">
        <v>35</v>
      </c>
      <c r="L10" s="74" t="s">
        <v>35</v>
      </c>
    </row>
    <row r="11" spans="1:13" ht="15.75" hidden="1" customHeight="1" x14ac:dyDescent="0.15">
      <c r="A11" s="73" t="s">
        <v>46</v>
      </c>
      <c r="B11" s="89" t="s">
        <v>47</v>
      </c>
      <c r="C11" s="74" t="s">
        <v>48</v>
      </c>
      <c r="D11" s="74"/>
      <c r="E11" s="74" t="s">
        <v>19</v>
      </c>
      <c r="F11" s="74">
        <v>19</v>
      </c>
      <c r="G11" s="75" t="s">
        <v>694</v>
      </c>
      <c r="H11" s="75">
        <v>2</v>
      </c>
      <c r="I11" s="83" t="str">
        <f t="shared" si="0"/>
        <v>http://www.aidedd.org/dnd/monstres.php?vo=Ape</v>
      </c>
      <c r="J11" s="83"/>
      <c r="K11" s="74" t="s">
        <v>35</v>
      </c>
      <c r="L11" s="74" t="s">
        <v>35</v>
      </c>
    </row>
    <row r="12" spans="1:13" ht="15.75" hidden="1" customHeight="1" x14ac:dyDescent="0.15">
      <c r="A12" s="76" t="s">
        <v>732</v>
      </c>
      <c r="B12" s="89">
        <v>7</v>
      </c>
      <c r="C12" s="74" t="s">
        <v>48</v>
      </c>
      <c r="D12" s="74"/>
      <c r="E12" s="74" t="s">
        <v>49</v>
      </c>
      <c r="F12" s="75">
        <v>157</v>
      </c>
      <c r="G12" s="75" t="s">
        <v>694</v>
      </c>
      <c r="H12" s="75">
        <v>2</v>
      </c>
      <c r="I12" s="83" t="str">
        <f t="shared" si="0"/>
        <v>http://www.aidedd.org/dnd/monstres.php?vo=Giant-Ape</v>
      </c>
      <c r="J12" s="83"/>
      <c r="K12" s="74" t="s">
        <v>35</v>
      </c>
      <c r="L12" s="74" t="s">
        <v>35</v>
      </c>
    </row>
    <row r="13" spans="1:13" ht="15.75" hidden="1" customHeight="1" x14ac:dyDescent="0.15">
      <c r="A13" s="73" t="s">
        <v>50</v>
      </c>
      <c r="B13" s="89">
        <v>0</v>
      </c>
      <c r="C13" s="74" t="s">
        <v>51</v>
      </c>
      <c r="D13" s="74"/>
      <c r="E13" s="74" t="s">
        <v>43</v>
      </c>
      <c r="F13" s="74">
        <v>10</v>
      </c>
      <c r="G13" s="75" t="s">
        <v>694</v>
      </c>
      <c r="H13" s="75">
        <v>-1</v>
      </c>
      <c r="I13" s="83" t="str">
        <f t="shared" si="0"/>
        <v>http://www.aidedd.org/dnd/monstres.php?vo=Awakened-shrub</v>
      </c>
      <c r="J13" s="83"/>
      <c r="K13" s="74" t="s">
        <v>35</v>
      </c>
      <c r="L13" s="74" t="s">
        <v>35</v>
      </c>
    </row>
    <row r="14" spans="1:13" ht="15.75" hidden="1" customHeight="1" x14ac:dyDescent="0.15">
      <c r="A14" s="73" t="s">
        <v>52</v>
      </c>
      <c r="B14" s="89">
        <v>2</v>
      </c>
      <c r="C14" s="74" t="s">
        <v>51</v>
      </c>
      <c r="D14" s="74"/>
      <c r="E14" s="74" t="s">
        <v>49</v>
      </c>
      <c r="F14" s="74">
        <v>59</v>
      </c>
      <c r="G14" s="74"/>
      <c r="H14" s="74"/>
      <c r="I14" s="83" t="str">
        <f t="shared" si="0"/>
        <v>http://www.aidedd.org/dnd/monstres.php?vo=Awakened-tree</v>
      </c>
      <c r="J14" s="83"/>
      <c r="K14" s="74" t="s">
        <v>35</v>
      </c>
      <c r="L14" s="74" t="s">
        <v>35</v>
      </c>
    </row>
    <row r="15" spans="1:13" ht="15.75" hidden="1" customHeight="1" x14ac:dyDescent="0.15">
      <c r="A15" s="73" t="s">
        <v>53</v>
      </c>
      <c r="B15" s="89" t="s">
        <v>32</v>
      </c>
      <c r="C15" s="74" t="s">
        <v>48</v>
      </c>
      <c r="D15" s="74"/>
      <c r="E15" s="74" t="s">
        <v>38</v>
      </c>
      <c r="F15" s="74">
        <v>19</v>
      </c>
      <c r="G15" s="74"/>
      <c r="H15" s="74"/>
      <c r="I15" s="83" t="str">
        <f t="shared" si="0"/>
        <v>http://www.aidedd.org/dnd/monstres.php?vo=Axe-beak</v>
      </c>
      <c r="J15" s="83"/>
      <c r="K15" s="74" t="s">
        <v>35</v>
      </c>
      <c r="L15" s="74" t="s">
        <v>35</v>
      </c>
    </row>
    <row r="16" spans="1:13" ht="15.75" hidden="1" customHeight="1" x14ac:dyDescent="0.15">
      <c r="A16" s="73" t="s">
        <v>54</v>
      </c>
      <c r="B16" s="89">
        <v>2</v>
      </c>
      <c r="C16" s="74" t="s">
        <v>55</v>
      </c>
      <c r="D16" s="74"/>
      <c r="E16" s="74" t="s">
        <v>19</v>
      </c>
      <c r="F16" s="74"/>
      <c r="G16" s="74" t="s">
        <v>56</v>
      </c>
      <c r="H16" s="74"/>
      <c r="I16" s="83" t="str">
        <f t="shared" si="0"/>
        <v>http://www.aidedd.org/dnd/monstres.php?vo=Azer</v>
      </c>
      <c r="J16" s="83"/>
      <c r="K16" s="74" t="s">
        <v>35</v>
      </c>
      <c r="L16" s="74" t="s">
        <v>35</v>
      </c>
    </row>
    <row r="17" spans="1:12" ht="15.75" hidden="1" customHeight="1" x14ac:dyDescent="0.15">
      <c r="A17" s="73" t="s">
        <v>57</v>
      </c>
      <c r="B17" s="89">
        <v>0</v>
      </c>
      <c r="C17" s="74" t="s">
        <v>48</v>
      </c>
      <c r="D17" s="74"/>
      <c r="E17" s="74" t="s">
        <v>43</v>
      </c>
      <c r="F17" s="74">
        <v>3</v>
      </c>
      <c r="G17" s="74"/>
      <c r="H17" s="74"/>
      <c r="I17" s="83" t="str">
        <f t="shared" si="0"/>
        <v>http://www.aidedd.org/dnd/monstres.php?vo=Baboon</v>
      </c>
      <c r="J17" s="83"/>
      <c r="K17" s="74" t="s">
        <v>35</v>
      </c>
      <c r="L17" s="74" t="s">
        <v>35</v>
      </c>
    </row>
    <row r="18" spans="1:12" ht="15.75" hidden="1" customHeight="1" x14ac:dyDescent="0.15">
      <c r="A18" s="73" t="s">
        <v>58</v>
      </c>
      <c r="B18" s="89">
        <v>0</v>
      </c>
      <c r="C18" s="74" t="s">
        <v>48</v>
      </c>
      <c r="D18" s="74"/>
      <c r="E18" s="74" t="s">
        <v>59</v>
      </c>
      <c r="F18" s="74">
        <v>3</v>
      </c>
      <c r="G18" s="74"/>
      <c r="H18" s="74"/>
      <c r="I18" s="83" t="str">
        <f t="shared" si="0"/>
        <v>http://www.aidedd.org/dnd/monstres.php?vo=Badger</v>
      </c>
      <c r="J18" s="83"/>
      <c r="K18" s="74" t="s">
        <v>35</v>
      </c>
      <c r="L18" s="74" t="s">
        <v>35</v>
      </c>
    </row>
    <row r="19" spans="1:12" ht="15.75" hidden="1" customHeight="1" x14ac:dyDescent="0.15">
      <c r="A19" s="73" t="s">
        <v>60</v>
      </c>
      <c r="B19" s="89" t="s">
        <v>32</v>
      </c>
      <c r="C19" s="74" t="s">
        <v>48</v>
      </c>
      <c r="D19" s="74"/>
      <c r="E19" s="74" t="s">
        <v>19</v>
      </c>
      <c r="F19" s="74"/>
      <c r="G19" s="74"/>
      <c r="H19" s="74"/>
      <c r="I19" s="83" t="str">
        <f t="shared" si="0"/>
        <v>http://www.aidedd.org/dnd/monstres.php?vo=Badger,-giant</v>
      </c>
      <c r="J19" s="83"/>
      <c r="K19" s="74" t="s">
        <v>35</v>
      </c>
      <c r="L19" s="74" t="s">
        <v>35</v>
      </c>
    </row>
    <row r="20" spans="1:12" ht="15.75" hidden="1" customHeight="1" x14ac:dyDescent="0.15">
      <c r="A20" s="73" t="s">
        <v>61</v>
      </c>
      <c r="B20" s="89">
        <v>4</v>
      </c>
      <c r="C20" s="74" t="s">
        <v>62</v>
      </c>
      <c r="D20" s="74"/>
      <c r="E20" s="74" t="s">
        <v>19</v>
      </c>
      <c r="F20" s="74">
        <v>58</v>
      </c>
      <c r="G20" s="74" t="s">
        <v>63</v>
      </c>
      <c r="H20" s="74"/>
      <c r="I20" s="83" t="str">
        <f t="shared" si="0"/>
        <v>http://www.aidedd.org/dnd/monstres.php?vo=Banshee</v>
      </c>
      <c r="J20" s="83"/>
      <c r="K20" s="74" t="s">
        <v>35</v>
      </c>
      <c r="L20" s="74" t="s">
        <v>35</v>
      </c>
    </row>
    <row r="21" spans="1:12" ht="15.75" hidden="1" customHeight="1" x14ac:dyDescent="0.15">
      <c r="A21" s="73" t="s">
        <v>64</v>
      </c>
      <c r="B21" s="89">
        <v>3</v>
      </c>
      <c r="C21" s="74" t="s">
        <v>45</v>
      </c>
      <c r="D21" s="74"/>
      <c r="E21" s="74" t="s">
        <v>19</v>
      </c>
      <c r="F21" s="74">
        <v>52</v>
      </c>
      <c r="G21" s="74"/>
      <c r="H21" s="74"/>
      <c r="I21" s="83" t="str">
        <f t="shared" si="0"/>
        <v>http://www.aidedd.org/dnd/monstres.php?vo=Basilisk</v>
      </c>
      <c r="J21" s="83"/>
      <c r="K21" s="74" t="s">
        <v>35</v>
      </c>
      <c r="L21" s="74" t="s">
        <v>35</v>
      </c>
    </row>
    <row r="22" spans="1:12" ht="15.75" hidden="1" customHeight="1" x14ac:dyDescent="0.15">
      <c r="A22" s="73" t="s">
        <v>65</v>
      </c>
      <c r="B22" s="89">
        <v>0</v>
      </c>
      <c r="C22" s="74" t="s">
        <v>48</v>
      </c>
      <c r="D22" s="74"/>
      <c r="E22" s="74" t="s">
        <v>59</v>
      </c>
      <c r="F22" s="74">
        <v>1</v>
      </c>
      <c r="G22" s="75" t="s">
        <v>694</v>
      </c>
      <c r="H22" s="74">
        <v>2</v>
      </c>
      <c r="I22" s="83" t="str">
        <f t="shared" si="0"/>
        <v>http://www.aidedd.org/dnd/monstres.php?vo=Bat</v>
      </c>
      <c r="J22" s="83"/>
      <c r="K22" s="74" t="s">
        <v>35</v>
      </c>
      <c r="L22" s="74" t="s">
        <v>35</v>
      </c>
    </row>
    <row r="23" spans="1:12" ht="15.75" hidden="1" customHeight="1" x14ac:dyDescent="0.15">
      <c r="A23" s="76" t="s">
        <v>741</v>
      </c>
      <c r="B23" s="89" t="s">
        <v>32</v>
      </c>
      <c r="C23" s="74" t="s">
        <v>48</v>
      </c>
      <c r="D23" s="74"/>
      <c r="E23" s="74" t="s">
        <v>38</v>
      </c>
      <c r="F23" s="74">
        <v>22</v>
      </c>
      <c r="G23" s="75" t="s">
        <v>694</v>
      </c>
      <c r="H23" s="74">
        <v>3</v>
      </c>
      <c r="I23" s="83" t="str">
        <f t="shared" si="0"/>
        <v>http://www.aidedd.org/dnd/monstres.php?vo=Giant-Bat</v>
      </c>
      <c r="J23" s="83"/>
      <c r="K23" s="74" t="s">
        <v>35</v>
      </c>
      <c r="L23" s="74" t="s">
        <v>35</v>
      </c>
    </row>
    <row r="24" spans="1:12" ht="15.75" hidden="1" customHeight="1" x14ac:dyDescent="0.15">
      <c r="A24" s="73" t="s">
        <v>66</v>
      </c>
      <c r="B24" s="89" t="s">
        <v>47</v>
      </c>
      <c r="C24" s="74" t="s">
        <v>48</v>
      </c>
      <c r="D24" s="74"/>
      <c r="E24" s="74" t="s">
        <v>19</v>
      </c>
      <c r="F24" s="74"/>
      <c r="G24" s="74"/>
      <c r="H24" s="74"/>
      <c r="I24" s="83" t="str">
        <f t="shared" si="0"/>
        <v>http://www.aidedd.org/dnd/monstres.php?vo=Bear,-black</v>
      </c>
      <c r="J24" s="83"/>
      <c r="K24" s="74" t="s">
        <v>35</v>
      </c>
      <c r="L24" s="74" t="s">
        <v>35</v>
      </c>
    </row>
    <row r="25" spans="1:12" ht="15.75" hidden="1" customHeight="1" x14ac:dyDescent="0.15">
      <c r="A25" s="73" t="s">
        <v>67</v>
      </c>
      <c r="B25" s="89">
        <v>1</v>
      </c>
      <c r="C25" s="74" t="s">
        <v>48</v>
      </c>
      <c r="D25" s="74"/>
      <c r="E25" s="74" t="s">
        <v>38</v>
      </c>
      <c r="F25" s="74"/>
      <c r="G25" s="74"/>
      <c r="H25" s="74"/>
      <c r="I25" s="83" t="str">
        <f t="shared" si="0"/>
        <v>http://www.aidedd.org/dnd/monstres.php?vo=Bear,-brown</v>
      </c>
      <c r="J25" s="83"/>
      <c r="K25" s="74" t="s">
        <v>35</v>
      </c>
      <c r="L25" s="74" t="s">
        <v>35</v>
      </c>
    </row>
    <row r="26" spans="1:12" ht="15.75" hidden="1" customHeight="1" x14ac:dyDescent="0.15">
      <c r="A26" s="73" t="s">
        <v>68</v>
      </c>
      <c r="B26" s="89">
        <v>2</v>
      </c>
      <c r="C26" s="74" t="s">
        <v>48</v>
      </c>
      <c r="D26" s="74"/>
      <c r="E26" s="74" t="s">
        <v>38</v>
      </c>
      <c r="F26" s="74"/>
      <c r="G26" s="74"/>
      <c r="H26" s="74"/>
      <c r="I26" s="83" t="str">
        <f t="shared" si="0"/>
        <v>http://www.aidedd.org/dnd/monstres.php?vo=Bear,-polar</v>
      </c>
      <c r="J26" s="83"/>
      <c r="K26" s="74" t="s">
        <v>35</v>
      </c>
      <c r="L26" s="74" t="s">
        <v>35</v>
      </c>
    </row>
    <row r="27" spans="1:12" ht="15.75" hidden="1" customHeight="1" x14ac:dyDescent="0.15">
      <c r="A27" s="73" t="s">
        <v>69</v>
      </c>
      <c r="B27" s="89">
        <v>11</v>
      </c>
      <c r="C27" s="74" t="s">
        <v>45</v>
      </c>
      <c r="D27" s="74"/>
      <c r="E27" s="74" t="s">
        <v>49</v>
      </c>
      <c r="F27" s="74"/>
      <c r="G27" s="74" t="s">
        <v>70</v>
      </c>
      <c r="H27" s="74"/>
      <c r="I27" s="83" t="str">
        <f t="shared" si="0"/>
        <v>http://www.aidedd.org/dnd/monstres.php?vo=Behir</v>
      </c>
      <c r="J27" s="83"/>
      <c r="K27" s="74" t="s">
        <v>35</v>
      </c>
      <c r="L27" s="74" t="s">
        <v>35</v>
      </c>
    </row>
    <row r="28" spans="1:12" ht="15.75" hidden="1" customHeight="1" x14ac:dyDescent="0.15">
      <c r="A28" s="73" t="s">
        <v>71</v>
      </c>
      <c r="B28" s="89" t="s">
        <v>72</v>
      </c>
      <c r="C28" s="74" t="s">
        <v>37</v>
      </c>
      <c r="D28" s="74"/>
      <c r="E28" s="74" t="s">
        <v>38</v>
      </c>
      <c r="F28" s="74"/>
      <c r="G28" s="74" t="s">
        <v>39</v>
      </c>
      <c r="H28" s="74"/>
      <c r="I28" s="83" t="str">
        <f t="shared" si="0"/>
        <v>http://www.aidedd.org/dnd/monstres.php?vo=Beholder</v>
      </c>
      <c r="J28" s="83"/>
      <c r="K28" s="74" t="s">
        <v>2</v>
      </c>
      <c r="L28" s="74" t="s">
        <v>2</v>
      </c>
    </row>
    <row r="29" spans="1:12" ht="15.75" hidden="1" customHeight="1" x14ac:dyDescent="0.15">
      <c r="A29" s="73" t="s">
        <v>73</v>
      </c>
      <c r="B29" s="89" t="s">
        <v>74</v>
      </c>
      <c r="C29" s="74" t="s">
        <v>62</v>
      </c>
      <c r="D29" s="74"/>
      <c r="E29" s="74" t="s">
        <v>38</v>
      </c>
      <c r="F29" s="74"/>
      <c r="G29" s="74" t="s">
        <v>39</v>
      </c>
      <c r="H29" s="74"/>
      <c r="I29" s="83" t="str">
        <f t="shared" si="0"/>
        <v>http://www.aidedd.org/dnd/monstres.php?vo=Beholder,-death-tyrant</v>
      </c>
      <c r="J29" s="83"/>
      <c r="K29" s="74" t="s">
        <v>2</v>
      </c>
      <c r="L29" s="74" t="s">
        <v>2</v>
      </c>
    </row>
    <row r="30" spans="1:12" ht="15.75" hidden="1" customHeight="1" x14ac:dyDescent="0.15">
      <c r="A30" s="73" t="s">
        <v>75</v>
      </c>
      <c r="B30" s="89">
        <v>3</v>
      </c>
      <c r="C30" s="74" t="s">
        <v>37</v>
      </c>
      <c r="D30" s="74"/>
      <c r="E30" s="74" t="s">
        <v>19</v>
      </c>
      <c r="F30" s="74">
        <v>39</v>
      </c>
      <c r="G30" s="74" t="s">
        <v>56</v>
      </c>
      <c r="H30" s="74"/>
      <c r="I30" s="83" t="str">
        <f t="shared" si="0"/>
        <v>http://www.aidedd.org/dnd/monstres.php?vo=Beholder,-spectator</v>
      </c>
      <c r="J30" s="83"/>
      <c r="K30" s="74" t="s">
        <v>35</v>
      </c>
      <c r="L30" s="74" t="s">
        <v>35</v>
      </c>
    </row>
    <row r="31" spans="1:12" ht="15.75" hidden="1" customHeight="1" x14ac:dyDescent="0.15">
      <c r="A31" s="73" t="s">
        <v>76</v>
      </c>
      <c r="B31" s="89" t="s">
        <v>32</v>
      </c>
      <c r="C31" s="74" t="s">
        <v>51</v>
      </c>
      <c r="D31" s="74"/>
      <c r="E31" s="74" t="s">
        <v>19</v>
      </c>
      <c r="F31" s="74"/>
      <c r="G31" s="74" t="s">
        <v>70</v>
      </c>
      <c r="H31" s="74"/>
      <c r="I31" s="83" t="str">
        <f t="shared" si="0"/>
        <v>http://www.aidedd.org/dnd/monstres.php?vo=Blight,-neede</v>
      </c>
      <c r="J31" s="83"/>
      <c r="K31" s="74" t="s">
        <v>35</v>
      </c>
      <c r="L31" s="74" t="s">
        <v>35</v>
      </c>
    </row>
    <row r="32" spans="1:12" ht="15.75" hidden="1" customHeight="1" x14ac:dyDescent="0.15">
      <c r="A32" s="73" t="s">
        <v>77</v>
      </c>
      <c r="B32" s="89" t="s">
        <v>78</v>
      </c>
      <c r="C32" s="74" t="s">
        <v>51</v>
      </c>
      <c r="D32" s="74"/>
      <c r="E32" s="74" t="s">
        <v>43</v>
      </c>
      <c r="F32" s="74">
        <v>4</v>
      </c>
      <c r="G32" s="74" t="s">
        <v>70</v>
      </c>
      <c r="H32" s="74"/>
      <c r="I32" s="83" t="str">
        <f t="shared" si="0"/>
        <v>http://www.aidedd.org/dnd/monstres.php?vo=Blight,-twig</v>
      </c>
      <c r="J32" s="83"/>
      <c r="K32" s="74" t="s">
        <v>35</v>
      </c>
      <c r="L32" s="74" t="s">
        <v>35</v>
      </c>
    </row>
    <row r="33" spans="1:12" ht="15.75" hidden="1" customHeight="1" x14ac:dyDescent="0.15">
      <c r="A33" s="73" t="s">
        <v>79</v>
      </c>
      <c r="B33" s="89" t="s">
        <v>47</v>
      </c>
      <c r="C33" s="74" t="s">
        <v>51</v>
      </c>
      <c r="D33" s="74"/>
      <c r="E33" s="74" t="s">
        <v>19</v>
      </c>
      <c r="F33" s="74"/>
      <c r="G33" s="74" t="s">
        <v>70</v>
      </c>
      <c r="H33" s="74"/>
      <c r="I33" s="83" t="str">
        <f t="shared" si="0"/>
        <v>http://www.aidedd.org/dnd/monstres.php?vo=Blight,-vine</v>
      </c>
      <c r="J33" s="83"/>
      <c r="K33" s="74" t="s">
        <v>35</v>
      </c>
      <c r="L33" s="74" t="s">
        <v>35</v>
      </c>
    </row>
    <row r="34" spans="1:12" ht="15.75" hidden="1" customHeight="1" x14ac:dyDescent="0.15">
      <c r="A34" s="72" t="s">
        <v>811</v>
      </c>
      <c r="B34" s="72">
        <v>6</v>
      </c>
      <c r="C34" s="72" t="s">
        <v>81</v>
      </c>
      <c r="E34" s="91" t="s">
        <v>38</v>
      </c>
      <c r="F34" s="72">
        <v>75</v>
      </c>
      <c r="G34" s="72" t="s">
        <v>63</v>
      </c>
      <c r="H34" s="72">
        <v>1</v>
      </c>
      <c r="I34" s="83"/>
      <c r="J34" s="72" t="s">
        <v>812</v>
      </c>
    </row>
    <row r="35" spans="1:12" ht="15.75" hidden="1" customHeight="1" x14ac:dyDescent="0.15">
      <c r="A35" s="73" t="s">
        <v>82</v>
      </c>
      <c r="B35" s="89" t="s">
        <v>78</v>
      </c>
      <c r="C35" s="74" t="s">
        <v>48</v>
      </c>
      <c r="D35" s="74"/>
      <c r="E35" s="74" t="s">
        <v>43</v>
      </c>
      <c r="F35" s="74">
        <v>7</v>
      </c>
      <c r="G35" s="74"/>
      <c r="H35" s="74"/>
      <c r="I35" s="83" t="str">
        <f t="shared" ref="I35:I66" si="1">HYPERLINK("http://www.aidedd.org/dnd/monstres.php?vo="&amp;SUBSTITUTE(A35," ","-"))</f>
        <v>http://www.aidedd.org/dnd/monstres.php?vo=Blood-hawk</v>
      </c>
      <c r="J35" s="83"/>
      <c r="K35" s="74" t="s">
        <v>35</v>
      </c>
      <c r="L35" s="74" t="s">
        <v>35</v>
      </c>
    </row>
    <row r="36" spans="1:12" ht="15.75" hidden="1" customHeight="1" x14ac:dyDescent="0.15">
      <c r="A36" s="73" t="s">
        <v>83</v>
      </c>
      <c r="B36" s="89" t="s">
        <v>32</v>
      </c>
      <c r="C36" s="74" t="s">
        <v>48</v>
      </c>
      <c r="D36" s="74"/>
      <c r="E36" s="74" t="s">
        <v>19</v>
      </c>
      <c r="F36" s="74">
        <v>11</v>
      </c>
      <c r="G36" s="74"/>
      <c r="H36" s="74"/>
      <c r="I36" s="83" t="str">
        <f t="shared" si="1"/>
        <v>http://www.aidedd.org/dnd/monstres.php?vo=Boar</v>
      </c>
      <c r="J36" s="83"/>
      <c r="K36" s="74" t="s">
        <v>35</v>
      </c>
      <c r="L36" s="74" t="s">
        <v>35</v>
      </c>
    </row>
    <row r="37" spans="1:12" ht="12.75" hidden="1" customHeight="1" x14ac:dyDescent="0.15">
      <c r="A37" s="73" t="s">
        <v>84</v>
      </c>
      <c r="B37" s="89">
        <v>2</v>
      </c>
      <c r="C37" s="74" t="s">
        <v>48</v>
      </c>
      <c r="D37" s="74"/>
      <c r="E37" s="74" t="s">
        <v>38</v>
      </c>
      <c r="F37" s="74"/>
      <c r="G37" s="74"/>
      <c r="H37" s="74"/>
      <c r="I37" s="83" t="str">
        <f t="shared" si="1"/>
        <v>http://www.aidedd.org/dnd/monstres.php?vo=Boar,-giant</v>
      </c>
      <c r="J37" s="83"/>
      <c r="K37" s="74" t="s">
        <v>35</v>
      </c>
      <c r="L37" s="74" t="s">
        <v>35</v>
      </c>
    </row>
    <row r="38" spans="1:12" ht="12.75" hidden="1" customHeight="1" x14ac:dyDescent="0.15">
      <c r="A38" s="73" t="s">
        <v>85</v>
      </c>
      <c r="B38" s="89">
        <v>1</v>
      </c>
      <c r="C38" s="74" t="s">
        <v>33</v>
      </c>
      <c r="D38" s="74" t="s">
        <v>86</v>
      </c>
      <c r="E38" s="74" t="s">
        <v>19</v>
      </c>
      <c r="F38" s="74">
        <v>27</v>
      </c>
      <c r="G38" s="74" t="s">
        <v>63</v>
      </c>
      <c r="H38" s="74"/>
      <c r="I38" s="83" t="str">
        <f t="shared" si="1"/>
        <v>http://www.aidedd.org/dnd/monstres.php?vo=Bugbear</v>
      </c>
      <c r="J38" s="83"/>
      <c r="K38" s="74" t="s">
        <v>35</v>
      </c>
      <c r="L38" s="74" t="s">
        <v>35</v>
      </c>
    </row>
    <row r="39" spans="1:12" ht="12.75" hidden="1" customHeight="1" x14ac:dyDescent="0.15">
      <c r="A39" s="73" t="s">
        <v>87</v>
      </c>
      <c r="B39" s="89">
        <v>3</v>
      </c>
      <c r="C39" s="74" t="s">
        <v>33</v>
      </c>
      <c r="D39" s="74" t="s">
        <v>86</v>
      </c>
      <c r="E39" s="74" t="s">
        <v>19</v>
      </c>
      <c r="F39" s="74"/>
      <c r="G39" s="74" t="s">
        <v>63</v>
      </c>
      <c r="H39" s="74"/>
      <c r="I39" s="83" t="str">
        <f t="shared" si="1"/>
        <v>http://www.aidedd.org/dnd/monstres.php?vo=Bugbear-chief</v>
      </c>
      <c r="J39" s="83"/>
      <c r="K39" s="74" t="s">
        <v>35</v>
      </c>
      <c r="L39" s="74" t="s">
        <v>35</v>
      </c>
    </row>
    <row r="40" spans="1:12" ht="12.75" hidden="1" customHeight="1" x14ac:dyDescent="0.15">
      <c r="A40" s="73" t="s">
        <v>88</v>
      </c>
      <c r="B40" s="89">
        <v>5</v>
      </c>
      <c r="C40" s="74" t="s">
        <v>45</v>
      </c>
      <c r="D40" s="74"/>
      <c r="E40" s="74" t="s">
        <v>38</v>
      </c>
      <c r="F40" s="74"/>
      <c r="G40" s="74"/>
      <c r="H40" s="74"/>
      <c r="I40" s="83" t="str">
        <f t="shared" si="1"/>
        <v>http://www.aidedd.org/dnd/monstres.php?vo=Bulette</v>
      </c>
      <c r="J40" s="83"/>
      <c r="K40" s="74" t="s">
        <v>35</v>
      </c>
      <c r="L40" s="74" t="s">
        <v>35</v>
      </c>
    </row>
    <row r="41" spans="1:12" ht="12.75" hidden="1" customHeight="1" x14ac:dyDescent="0.15">
      <c r="A41" s="73" t="s">
        <v>89</v>
      </c>
      <c r="B41" s="89" t="s">
        <v>32</v>
      </c>
      <c r="C41" s="74" t="s">
        <v>33</v>
      </c>
      <c r="D41" s="74" t="s">
        <v>89</v>
      </c>
      <c r="E41" s="74" t="s">
        <v>19</v>
      </c>
      <c r="F41" s="74"/>
      <c r="G41" s="74" t="s">
        <v>70</v>
      </c>
      <c r="H41" s="74"/>
      <c r="I41" s="83" t="str">
        <f t="shared" si="1"/>
        <v>http://www.aidedd.org/dnd/monstres.php?vo=Bullywug</v>
      </c>
      <c r="J41" s="83"/>
      <c r="K41" s="74" t="s">
        <v>35</v>
      </c>
      <c r="L41" s="74" t="s">
        <v>35</v>
      </c>
    </row>
    <row r="42" spans="1:12" ht="12.75" hidden="1" customHeight="1" x14ac:dyDescent="0.15">
      <c r="A42" s="73" t="s">
        <v>90</v>
      </c>
      <c r="B42" s="89">
        <v>5</v>
      </c>
      <c r="C42" s="74" t="s">
        <v>91</v>
      </c>
      <c r="D42" s="74"/>
      <c r="E42" s="74" t="s">
        <v>19</v>
      </c>
      <c r="F42" s="74"/>
      <c r="G42" s="74" t="s">
        <v>92</v>
      </c>
      <c r="H42" s="74"/>
      <c r="I42" s="83" t="str">
        <f t="shared" si="1"/>
        <v>http://www.aidedd.org/dnd/monstres.php?vo=Cambion</v>
      </c>
      <c r="J42" s="83"/>
      <c r="K42" s="74" t="s">
        <v>35</v>
      </c>
      <c r="L42" s="74" t="s">
        <v>35</v>
      </c>
    </row>
    <row r="43" spans="1:12" ht="12.75" hidden="1" customHeight="1" x14ac:dyDescent="0.15">
      <c r="A43" s="73" t="s">
        <v>93</v>
      </c>
      <c r="B43" s="89" t="s">
        <v>78</v>
      </c>
      <c r="C43" s="74" t="s">
        <v>48</v>
      </c>
      <c r="D43" s="74"/>
      <c r="E43" s="74" t="s">
        <v>38</v>
      </c>
      <c r="F43" s="74">
        <v>15</v>
      </c>
      <c r="G43" s="74"/>
      <c r="H43" s="74"/>
      <c r="I43" s="83" t="str">
        <f t="shared" si="1"/>
        <v>http://www.aidedd.org/dnd/monstres.php?vo=Camel</v>
      </c>
      <c r="J43" s="83"/>
      <c r="K43" s="74" t="s">
        <v>35</v>
      </c>
      <c r="L43" s="74" t="s">
        <v>35</v>
      </c>
    </row>
    <row r="44" spans="1:12" ht="12.75" hidden="1" customHeight="1" x14ac:dyDescent="0.15">
      <c r="A44" s="73" t="s">
        <v>94</v>
      </c>
      <c r="B44" s="89">
        <v>2</v>
      </c>
      <c r="C44" s="74" t="s">
        <v>45</v>
      </c>
      <c r="D44" s="74"/>
      <c r="E44" s="74" t="s">
        <v>38</v>
      </c>
      <c r="F44" s="74"/>
      <c r="G44" s="74"/>
      <c r="H44" s="74"/>
      <c r="I44" s="83" t="str">
        <f t="shared" si="1"/>
        <v>http://www.aidedd.org/dnd/monstres.php?vo=Carrion-crawler</v>
      </c>
      <c r="J44" s="83"/>
      <c r="K44" s="74" t="s">
        <v>35</v>
      </c>
      <c r="L44" s="74" t="s">
        <v>35</v>
      </c>
    </row>
    <row r="45" spans="1:12" ht="12.75" hidden="1" customHeight="1" x14ac:dyDescent="0.15">
      <c r="A45" s="73" t="s">
        <v>95</v>
      </c>
      <c r="B45" s="89">
        <v>0</v>
      </c>
      <c r="C45" s="74" t="s">
        <v>48</v>
      </c>
      <c r="D45" s="74"/>
      <c r="E45" s="74" t="s">
        <v>59</v>
      </c>
      <c r="F45" s="74">
        <v>2</v>
      </c>
      <c r="G45" s="74"/>
      <c r="H45" s="74"/>
      <c r="I45" s="83" t="str">
        <f t="shared" si="1"/>
        <v>http://www.aidedd.org/dnd/monstres.php?vo=Cat</v>
      </c>
      <c r="J45" s="83"/>
      <c r="K45" s="74" t="s">
        <v>35</v>
      </c>
      <c r="L45" s="74" t="s">
        <v>35</v>
      </c>
    </row>
    <row r="46" spans="1:12" ht="12.75" hidden="1" customHeight="1" x14ac:dyDescent="0.15">
      <c r="A46" s="73" t="s">
        <v>96</v>
      </c>
      <c r="B46" s="89">
        <v>2</v>
      </c>
      <c r="C46" s="74" t="s">
        <v>45</v>
      </c>
      <c r="D46" s="74"/>
      <c r="E46" s="74" t="s">
        <v>38</v>
      </c>
      <c r="F46" s="74">
        <v>45</v>
      </c>
      <c r="G46" s="74" t="s">
        <v>34</v>
      </c>
      <c r="H46" s="74"/>
      <c r="I46" s="83" t="str">
        <f t="shared" si="1"/>
        <v>http://www.aidedd.org/dnd/monstres.php?vo=Centaur</v>
      </c>
      <c r="J46" s="83"/>
      <c r="K46" s="74" t="s">
        <v>35</v>
      </c>
      <c r="L46" s="74" t="s">
        <v>35</v>
      </c>
    </row>
    <row r="47" spans="1:12" ht="12.75" hidden="1" customHeight="1" x14ac:dyDescent="0.15">
      <c r="A47" s="76" t="s">
        <v>725</v>
      </c>
      <c r="B47" s="89" t="s">
        <v>32</v>
      </c>
      <c r="C47" s="74" t="s">
        <v>48</v>
      </c>
      <c r="D47" s="74"/>
      <c r="E47" s="74" t="s">
        <v>43</v>
      </c>
      <c r="F47" s="74">
        <v>4</v>
      </c>
      <c r="G47" s="75" t="s">
        <v>694</v>
      </c>
      <c r="H47" s="74">
        <v>2</v>
      </c>
      <c r="I47" s="83" t="str">
        <f t="shared" si="1"/>
        <v>http://www.aidedd.org/dnd/monstres.php?vo=Giant-Centipede</v>
      </c>
      <c r="J47" s="83"/>
      <c r="K47" s="74" t="s">
        <v>35</v>
      </c>
      <c r="L47" s="74" t="s">
        <v>35</v>
      </c>
    </row>
    <row r="48" spans="1:12" ht="12.75" hidden="1" customHeight="1" x14ac:dyDescent="0.15">
      <c r="A48" s="73" t="s">
        <v>97</v>
      </c>
      <c r="B48" s="89">
        <v>6</v>
      </c>
      <c r="C48" s="74" t="s">
        <v>45</v>
      </c>
      <c r="D48" s="74"/>
      <c r="E48" s="74" t="s">
        <v>38</v>
      </c>
      <c r="F48" s="74">
        <v>114</v>
      </c>
      <c r="G48" s="74" t="s">
        <v>63</v>
      </c>
      <c r="H48" s="74"/>
      <c r="I48" s="83" t="str">
        <f t="shared" si="1"/>
        <v>http://www.aidedd.org/dnd/monstres.php?vo=Chimera</v>
      </c>
      <c r="J48" s="83"/>
      <c r="K48" s="74" t="s">
        <v>35</v>
      </c>
      <c r="L48" s="74" t="s">
        <v>35</v>
      </c>
    </row>
    <row r="49" spans="1:12" ht="12.75" hidden="1" customHeight="1" x14ac:dyDescent="0.15">
      <c r="A49" s="73" t="s">
        <v>98</v>
      </c>
      <c r="B49" s="89">
        <v>4</v>
      </c>
      <c r="C49" s="74" t="s">
        <v>37</v>
      </c>
      <c r="D49" s="74"/>
      <c r="E49" s="74" t="s">
        <v>38</v>
      </c>
      <c r="F49" s="74"/>
      <c r="G49" s="74" t="s">
        <v>63</v>
      </c>
      <c r="H49" s="74"/>
      <c r="I49" s="83" t="str">
        <f t="shared" si="1"/>
        <v>http://www.aidedd.org/dnd/monstres.php?vo=Chuul</v>
      </c>
      <c r="J49" s="83"/>
      <c r="K49" s="74" t="s">
        <v>35</v>
      </c>
      <c r="L49" s="74" t="s">
        <v>35</v>
      </c>
    </row>
    <row r="50" spans="1:12" ht="12.75" hidden="1" customHeight="1" x14ac:dyDescent="0.15">
      <c r="A50" s="73" t="s">
        <v>99</v>
      </c>
      <c r="B50" s="89">
        <v>8</v>
      </c>
      <c r="C50" s="74" t="s">
        <v>37</v>
      </c>
      <c r="D50" s="74"/>
      <c r="E50" s="74" t="s">
        <v>38</v>
      </c>
      <c r="F50" s="74"/>
      <c r="G50" s="74" t="s">
        <v>100</v>
      </c>
      <c r="H50" s="74"/>
      <c r="I50" s="83" t="str">
        <f t="shared" si="1"/>
        <v>http://www.aidedd.org/dnd/monstres.php?vo=Cloaker</v>
      </c>
      <c r="J50" s="83"/>
      <c r="K50" s="74" t="s">
        <v>35</v>
      </c>
      <c r="L50" s="74" t="s">
        <v>35</v>
      </c>
    </row>
    <row r="51" spans="1:12" ht="12.75" hidden="1" customHeight="1" x14ac:dyDescent="0.15">
      <c r="A51" s="73" t="s">
        <v>101</v>
      </c>
      <c r="B51" s="89" t="s">
        <v>47</v>
      </c>
      <c r="C51" s="74" t="s">
        <v>45</v>
      </c>
      <c r="D51" s="74"/>
      <c r="E51" s="74" t="s">
        <v>43</v>
      </c>
      <c r="F51" s="74">
        <v>27</v>
      </c>
      <c r="G51" s="74"/>
      <c r="H51" s="74"/>
      <c r="I51" s="83" t="str">
        <f t="shared" si="1"/>
        <v>http://www.aidedd.org/dnd/monstres.php?vo=Cockatrice</v>
      </c>
      <c r="J51" s="83"/>
      <c r="K51" s="74" t="s">
        <v>35</v>
      </c>
      <c r="L51" s="74" t="s">
        <v>35</v>
      </c>
    </row>
    <row r="52" spans="1:12" ht="12.75" hidden="1" customHeight="1" x14ac:dyDescent="0.15">
      <c r="A52" s="73" t="s">
        <v>102</v>
      </c>
      <c r="B52" s="89">
        <v>4</v>
      </c>
      <c r="C52" s="74" t="s">
        <v>40</v>
      </c>
      <c r="D52" s="74"/>
      <c r="E52" s="74" t="s">
        <v>19</v>
      </c>
      <c r="F52" s="74"/>
      <c r="G52" s="74" t="s">
        <v>41</v>
      </c>
      <c r="H52" s="74"/>
      <c r="I52" s="83" t="str">
        <f t="shared" si="1"/>
        <v>http://www.aidedd.org/dnd/monstres.php?vo=Couatl</v>
      </c>
      <c r="J52" s="83"/>
      <c r="K52" s="74" t="s">
        <v>35</v>
      </c>
      <c r="L52" s="74" t="s">
        <v>35</v>
      </c>
    </row>
    <row r="53" spans="1:12" ht="12.75" hidden="1" customHeight="1" x14ac:dyDescent="0.15">
      <c r="A53" s="73" t="s">
        <v>103</v>
      </c>
      <c r="B53" s="89">
        <v>0</v>
      </c>
      <c r="C53" s="74" t="s">
        <v>48</v>
      </c>
      <c r="D53" s="74"/>
      <c r="E53" s="74" t="s">
        <v>59</v>
      </c>
      <c r="F53" s="74">
        <v>2</v>
      </c>
      <c r="G53" s="74"/>
      <c r="H53" s="74"/>
      <c r="I53" s="83" t="str">
        <f t="shared" si="1"/>
        <v>http://www.aidedd.org/dnd/monstres.php?vo=Crab</v>
      </c>
      <c r="J53" s="83"/>
      <c r="K53" s="74" t="s">
        <v>35</v>
      </c>
      <c r="L53" s="74" t="s">
        <v>35</v>
      </c>
    </row>
    <row r="54" spans="1:12" ht="12.75" hidden="1" customHeight="1" x14ac:dyDescent="0.15">
      <c r="A54" s="73" t="s">
        <v>104</v>
      </c>
      <c r="B54" s="89" t="s">
        <v>78</v>
      </c>
      <c r="C54" s="74" t="s">
        <v>48</v>
      </c>
      <c r="D54" s="74"/>
      <c r="E54" s="74" t="s">
        <v>19</v>
      </c>
      <c r="F54" s="74"/>
      <c r="G54" s="74"/>
      <c r="H54" s="74"/>
      <c r="I54" s="83" t="str">
        <f t="shared" si="1"/>
        <v>http://www.aidedd.org/dnd/monstres.php?vo=Crab,-giant</v>
      </c>
      <c r="J54" s="83"/>
      <c r="K54" s="74" t="s">
        <v>35</v>
      </c>
      <c r="L54" s="74" t="s">
        <v>35</v>
      </c>
    </row>
    <row r="55" spans="1:12" ht="12.75" hidden="1" customHeight="1" x14ac:dyDescent="0.15">
      <c r="A55" s="73" t="s">
        <v>105</v>
      </c>
      <c r="B55" s="89">
        <v>0</v>
      </c>
      <c r="C55" s="74" t="s">
        <v>62</v>
      </c>
      <c r="D55" s="74"/>
      <c r="E55" s="74" t="s">
        <v>59</v>
      </c>
      <c r="F55" s="74">
        <v>2</v>
      </c>
      <c r="G55" s="74" t="s">
        <v>70</v>
      </c>
      <c r="H55" s="74">
        <v>2</v>
      </c>
      <c r="I55" s="83" t="str">
        <f t="shared" si="1"/>
        <v>http://www.aidedd.org/dnd/monstres.php?vo=Crawling-claw</v>
      </c>
      <c r="J55" s="83"/>
      <c r="K55" s="74" t="s">
        <v>35</v>
      </c>
      <c r="L55" s="74" t="s">
        <v>35</v>
      </c>
    </row>
    <row r="56" spans="1:12" ht="12.75" hidden="1" customHeight="1" x14ac:dyDescent="0.15">
      <c r="A56" s="73" t="s">
        <v>106</v>
      </c>
      <c r="B56" s="89" t="s">
        <v>47</v>
      </c>
      <c r="C56" s="74" t="s">
        <v>48</v>
      </c>
      <c r="D56" s="74"/>
      <c r="E56" s="74" t="s">
        <v>38</v>
      </c>
      <c r="F56" s="74">
        <v>19</v>
      </c>
      <c r="G56" s="74"/>
      <c r="H56" s="74"/>
      <c r="I56" s="83" t="str">
        <f t="shared" si="1"/>
        <v>http://www.aidedd.org/dnd/monstres.php?vo=Crocodile</v>
      </c>
      <c r="J56" s="83"/>
      <c r="K56" s="74" t="s">
        <v>35</v>
      </c>
      <c r="L56" s="74" t="s">
        <v>35</v>
      </c>
    </row>
    <row r="57" spans="1:12" ht="12.75" hidden="1" customHeight="1" x14ac:dyDescent="0.15">
      <c r="A57" s="73" t="s">
        <v>107</v>
      </c>
      <c r="B57" s="89">
        <v>5</v>
      </c>
      <c r="C57" s="74" t="s">
        <v>48</v>
      </c>
      <c r="D57" s="74"/>
      <c r="E57" s="74" t="s">
        <v>49</v>
      </c>
      <c r="F57" s="74"/>
      <c r="G57" s="74"/>
      <c r="H57" s="74"/>
      <c r="I57" s="83" t="str">
        <f t="shared" si="1"/>
        <v>http://www.aidedd.org/dnd/monstres.php?vo=Crocodile,-giant</v>
      </c>
      <c r="J57" s="83"/>
      <c r="K57" s="74" t="s">
        <v>35</v>
      </c>
      <c r="L57" s="74" t="s">
        <v>35</v>
      </c>
    </row>
    <row r="58" spans="1:12" ht="12.75" hidden="1" customHeight="1" x14ac:dyDescent="0.15">
      <c r="A58" s="73" t="s">
        <v>108</v>
      </c>
      <c r="B58" s="89">
        <v>6</v>
      </c>
      <c r="C58" s="74" t="s">
        <v>109</v>
      </c>
      <c r="D58" s="74"/>
      <c r="E58" s="74" t="s">
        <v>49</v>
      </c>
      <c r="F58" s="74">
        <v>138</v>
      </c>
      <c r="G58" s="74" t="s">
        <v>100</v>
      </c>
      <c r="H58" s="74"/>
      <c r="I58" s="83" t="str">
        <f t="shared" si="1"/>
        <v>http://www.aidedd.org/dnd/monstres.php?vo=Cyclops</v>
      </c>
      <c r="J58" s="83"/>
      <c r="K58" s="74" t="s">
        <v>35</v>
      </c>
      <c r="L58" s="74" t="s">
        <v>35</v>
      </c>
    </row>
    <row r="59" spans="1:12" ht="12.75" hidden="1" customHeight="1" x14ac:dyDescent="0.15">
      <c r="A59" s="73" t="s">
        <v>110</v>
      </c>
      <c r="B59" s="89" t="s">
        <v>47</v>
      </c>
      <c r="C59" s="74" t="s">
        <v>45</v>
      </c>
      <c r="D59" s="74"/>
      <c r="E59" s="74" t="s">
        <v>43</v>
      </c>
      <c r="F59" s="74"/>
      <c r="G59" s="74"/>
      <c r="H59" s="74"/>
      <c r="I59" s="83" t="str">
        <f t="shared" si="1"/>
        <v>http://www.aidedd.org/dnd/monstres.php?vo=Darkmantle</v>
      </c>
      <c r="J59" s="83"/>
      <c r="K59" s="74" t="s">
        <v>35</v>
      </c>
      <c r="L59" s="74" t="s">
        <v>35</v>
      </c>
    </row>
    <row r="60" spans="1:12" ht="12.75" hidden="1" customHeight="1" x14ac:dyDescent="0.15">
      <c r="A60" s="73" t="s">
        <v>111</v>
      </c>
      <c r="B60" s="89">
        <v>1</v>
      </c>
      <c r="C60" s="74" t="s">
        <v>45</v>
      </c>
      <c r="D60" s="74"/>
      <c r="E60" s="74" t="s">
        <v>19</v>
      </c>
      <c r="F60" s="74">
        <v>39</v>
      </c>
      <c r="G60" s="74" t="s">
        <v>70</v>
      </c>
      <c r="H60" s="74"/>
      <c r="I60" s="83" t="str">
        <f t="shared" si="1"/>
        <v>http://www.aidedd.org/dnd/monstres.php?vo=Death-dog</v>
      </c>
      <c r="J60" s="83"/>
      <c r="K60" s="74" t="s">
        <v>35</v>
      </c>
      <c r="L60" s="74" t="s">
        <v>35</v>
      </c>
    </row>
    <row r="61" spans="1:12" ht="12.75" hidden="1" customHeight="1" x14ac:dyDescent="0.15">
      <c r="A61" s="73" t="s">
        <v>112</v>
      </c>
      <c r="B61" s="89">
        <v>17</v>
      </c>
      <c r="C61" s="74" t="s">
        <v>62</v>
      </c>
      <c r="D61" s="74"/>
      <c r="E61" s="74" t="s">
        <v>19</v>
      </c>
      <c r="F61" s="74"/>
      <c r="G61" s="74" t="s">
        <v>63</v>
      </c>
      <c r="H61" s="74"/>
      <c r="I61" s="83" t="str">
        <f t="shared" si="1"/>
        <v>http://www.aidedd.org/dnd/monstres.php?vo=Death-Knight</v>
      </c>
      <c r="J61" s="83"/>
      <c r="K61" s="74" t="s">
        <v>35</v>
      </c>
      <c r="L61" s="74" t="s">
        <v>35</v>
      </c>
    </row>
    <row r="62" spans="1:12" ht="12.75" hidden="1" customHeight="1" x14ac:dyDescent="0.15">
      <c r="A62" s="73" t="s">
        <v>113</v>
      </c>
      <c r="B62" s="89">
        <v>0</v>
      </c>
      <c r="C62" s="74" t="s">
        <v>48</v>
      </c>
      <c r="D62" s="74"/>
      <c r="E62" s="74" t="s">
        <v>19</v>
      </c>
      <c r="F62" s="74">
        <v>4</v>
      </c>
      <c r="G62" s="74"/>
      <c r="H62" s="74"/>
      <c r="I62" s="83" t="str">
        <f t="shared" si="1"/>
        <v>http://www.aidedd.org/dnd/monstres.php?vo=Deer</v>
      </c>
      <c r="J62" s="83"/>
      <c r="K62" s="74" t="s">
        <v>35</v>
      </c>
      <c r="L62" s="74" t="s">
        <v>35</v>
      </c>
    </row>
    <row r="63" spans="1:12" ht="12.75" hidden="1" customHeight="1" x14ac:dyDescent="0.15">
      <c r="A63" s="73" t="s">
        <v>114</v>
      </c>
      <c r="B63" s="89" t="s">
        <v>115</v>
      </c>
      <c r="C63" s="74" t="s">
        <v>62</v>
      </c>
      <c r="D63" s="74"/>
      <c r="E63" s="74" t="s">
        <v>59</v>
      </c>
      <c r="F63" s="74"/>
      <c r="G63" s="74" t="s">
        <v>70</v>
      </c>
      <c r="H63" s="74"/>
      <c r="I63" s="83" t="str">
        <f t="shared" si="1"/>
        <v>http://www.aidedd.org/dnd/monstres.php?vo=Demilich</v>
      </c>
      <c r="J63" s="83"/>
      <c r="K63" s="74" t="s">
        <v>2</v>
      </c>
      <c r="L63" s="74" t="s">
        <v>2</v>
      </c>
    </row>
    <row r="64" spans="1:12" ht="12.75" hidden="1" customHeight="1" x14ac:dyDescent="0.15">
      <c r="A64" s="76" t="s">
        <v>756</v>
      </c>
      <c r="B64" s="89">
        <v>19</v>
      </c>
      <c r="C64" s="74" t="s">
        <v>91</v>
      </c>
      <c r="D64" s="74" t="s">
        <v>116</v>
      </c>
      <c r="E64" s="74" t="s">
        <v>49</v>
      </c>
      <c r="F64" s="74">
        <v>262</v>
      </c>
      <c r="G64" s="74" t="s">
        <v>63</v>
      </c>
      <c r="H64" s="74">
        <v>2</v>
      </c>
      <c r="I64" s="83" t="str">
        <f t="shared" si="1"/>
        <v>http://www.aidedd.org/dnd/monstres.php?vo=Balor</v>
      </c>
      <c r="J64" s="83"/>
      <c r="K64" s="74" t="s">
        <v>35</v>
      </c>
      <c r="L64" s="74" t="s">
        <v>35</v>
      </c>
    </row>
    <row r="65" spans="1:12" ht="12.75" hidden="1" customHeight="1" x14ac:dyDescent="0.15">
      <c r="A65" s="76" t="s">
        <v>755</v>
      </c>
      <c r="B65" s="89">
        <v>5</v>
      </c>
      <c r="C65" s="74" t="s">
        <v>91</v>
      </c>
      <c r="D65" s="74" t="s">
        <v>116</v>
      </c>
      <c r="E65" s="74" t="s">
        <v>38</v>
      </c>
      <c r="F65" s="74">
        <v>68</v>
      </c>
      <c r="G65" s="74" t="s">
        <v>63</v>
      </c>
      <c r="H65" s="74">
        <v>2</v>
      </c>
      <c r="I65" s="83" t="str">
        <f t="shared" si="1"/>
        <v>http://www.aidedd.org/dnd/monstres.php?vo=Barlgura</v>
      </c>
      <c r="J65" s="83"/>
      <c r="K65" s="74" t="s">
        <v>35</v>
      </c>
      <c r="L65" s="74" t="s">
        <v>35</v>
      </c>
    </row>
    <row r="66" spans="1:12" ht="12.75" hidden="1" customHeight="1" x14ac:dyDescent="0.15">
      <c r="A66" s="76" t="s">
        <v>754</v>
      </c>
      <c r="B66" s="89">
        <v>6</v>
      </c>
      <c r="C66" s="74" t="s">
        <v>91</v>
      </c>
      <c r="D66" s="74" t="s">
        <v>116</v>
      </c>
      <c r="E66" s="74" t="s">
        <v>38</v>
      </c>
      <c r="F66" s="74">
        <v>84</v>
      </c>
      <c r="G66" s="74" t="s">
        <v>63</v>
      </c>
      <c r="H66" s="74">
        <v>6</v>
      </c>
      <c r="I66" s="83" t="str">
        <f t="shared" si="1"/>
        <v>http://www.aidedd.org/dnd/monstres.php?vo=Chasme</v>
      </c>
      <c r="J66" s="83"/>
      <c r="K66" s="74" t="s">
        <v>35</v>
      </c>
      <c r="L66" s="74" t="s">
        <v>35</v>
      </c>
    </row>
    <row r="67" spans="1:12" ht="12.75" hidden="1" customHeight="1" x14ac:dyDescent="0.15">
      <c r="A67" s="76" t="s">
        <v>753</v>
      </c>
      <c r="B67" s="89" t="s">
        <v>32</v>
      </c>
      <c r="C67" s="74" t="s">
        <v>91</v>
      </c>
      <c r="D67" s="74" t="s">
        <v>116</v>
      </c>
      <c r="E67" s="74" t="s">
        <v>43</v>
      </c>
      <c r="F67" s="74">
        <v>18</v>
      </c>
      <c r="G67" s="74" t="s">
        <v>63</v>
      </c>
      <c r="H67" s="74">
        <v>0</v>
      </c>
      <c r="I67" s="83" t="str">
        <f t="shared" ref="I67:I98" si="2">HYPERLINK("http://www.aidedd.org/dnd/monstres.php?vo="&amp;SUBSTITUTE(A67," ","-"))</f>
        <v>http://www.aidedd.org/dnd/monstres.php?vo=Dretch</v>
      </c>
      <c r="J67" s="83"/>
      <c r="K67" s="74" t="s">
        <v>35</v>
      </c>
      <c r="L67" s="74" t="s">
        <v>35</v>
      </c>
    </row>
    <row r="68" spans="1:12" ht="12.75" hidden="1" customHeight="1" x14ac:dyDescent="0.15">
      <c r="A68" s="76" t="s">
        <v>752</v>
      </c>
      <c r="B68" s="89">
        <v>17</v>
      </c>
      <c r="C68" s="74" t="s">
        <v>91</v>
      </c>
      <c r="D68" s="74" t="s">
        <v>116</v>
      </c>
      <c r="E68" s="74" t="s">
        <v>49</v>
      </c>
      <c r="F68" s="75">
        <v>310</v>
      </c>
      <c r="G68" s="74" t="s">
        <v>63</v>
      </c>
      <c r="H68" s="75">
        <v>0</v>
      </c>
      <c r="I68" s="83" t="str">
        <f t="shared" si="2"/>
        <v>http://www.aidedd.org/dnd/monstres.php?vo=Goristro</v>
      </c>
      <c r="J68" s="83"/>
      <c r="K68" s="74" t="s">
        <v>35</v>
      </c>
      <c r="L68" s="74" t="s">
        <v>35</v>
      </c>
    </row>
    <row r="69" spans="1:12" ht="12.75" hidden="1" customHeight="1" x14ac:dyDescent="0.15">
      <c r="A69" s="76" t="s">
        <v>744</v>
      </c>
      <c r="B69" s="89">
        <v>8</v>
      </c>
      <c r="C69" s="74" t="s">
        <v>91</v>
      </c>
      <c r="D69" s="74" t="s">
        <v>116</v>
      </c>
      <c r="E69" s="74" t="s">
        <v>38</v>
      </c>
      <c r="F69" s="74">
        <v>136</v>
      </c>
      <c r="G69" s="74" t="s">
        <v>63</v>
      </c>
      <c r="H69" s="74">
        <v>3</v>
      </c>
      <c r="I69" s="83" t="str">
        <f t="shared" si="2"/>
        <v>http://www.aidedd.org/dnd/monstres.php?vo=Hezrou</v>
      </c>
      <c r="J69" s="83"/>
      <c r="K69" s="74" t="s">
        <v>35</v>
      </c>
      <c r="L69" s="74" t="s">
        <v>35</v>
      </c>
    </row>
    <row r="70" spans="1:12" ht="12.75" hidden="1" customHeight="1" x14ac:dyDescent="0.15">
      <c r="A70" s="76" t="s">
        <v>715</v>
      </c>
      <c r="B70" s="89" t="s">
        <v>78</v>
      </c>
      <c r="C70" s="74" t="s">
        <v>91</v>
      </c>
      <c r="D70" s="74" t="s">
        <v>116</v>
      </c>
      <c r="E70" s="74" t="s">
        <v>43</v>
      </c>
      <c r="F70" s="75">
        <v>9</v>
      </c>
      <c r="G70" s="74" t="s">
        <v>63</v>
      </c>
      <c r="H70" s="75">
        <v>-1</v>
      </c>
      <c r="I70" s="83" t="str">
        <f t="shared" si="2"/>
        <v>http://www.aidedd.org/dnd/monstres.php?vo=Manes</v>
      </c>
      <c r="J70" s="83"/>
      <c r="K70" s="74" t="s">
        <v>35</v>
      </c>
      <c r="L70" s="74" t="s">
        <v>35</v>
      </c>
    </row>
    <row r="71" spans="1:12" ht="12.75" hidden="1" customHeight="1" x14ac:dyDescent="0.15">
      <c r="A71" s="76" t="s">
        <v>749</v>
      </c>
      <c r="B71" s="89">
        <v>16</v>
      </c>
      <c r="C71" s="74" t="s">
        <v>91</v>
      </c>
      <c r="D71" s="74" t="s">
        <v>116</v>
      </c>
      <c r="E71" s="74" t="s">
        <v>38</v>
      </c>
      <c r="F71" s="74">
        <v>189</v>
      </c>
      <c r="G71" s="74" t="s">
        <v>63</v>
      </c>
      <c r="H71" s="74">
        <v>5</v>
      </c>
      <c r="I71" s="83" t="str">
        <f t="shared" si="2"/>
        <v>http://www.aidedd.org/dnd/monstres.php?vo=Marilith</v>
      </c>
      <c r="J71" s="83"/>
      <c r="K71" s="74" t="s">
        <v>35</v>
      </c>
      <c r="L71" s="74" t="s">
        <v>35</v>
      </c>
    </row>
    <row r="72" spans="1:12" ht="12.75" hidden="1" customHeight="1" x14ac:dyDescent="0.15">
      <c r="A72" s="76" t="s">
        <v>748</v>
      </c>
      <c r="B72" s="89">
        <v>13</v>
      </c>
      <c r="C72" s="74" t="s">
        <v>91</v>
      </c>
      <c r="D72" s="74" t="s">
        <v>116</v>
      </c>
      <c r="E72" s="74" t="s">
        <v>38</v>
      </c>
      <c r="F72" s="75">
        <v>184</v>
      </c>
      <c r="G72" s="74" t="s">
        <v>63</v>
      </c>
      <c r="H72" s="75">
        <v>0</v>
      </c>
      <c r="I72" s="83" t="str">
        <f t="shared" si="2"/>
        <v>http://www.aidedd.org/dnd/monstres.php?vo=Nalfeshnee</v>
      </c>
      <c r="J72" s="83"/>
      <c r="K72" s="74" t="s">
        <v>35</v>
      </c>
      <c r="L72" s="74" t="s">
        <v>35</v>
      </c>
    </row>
    <row r="73" spans="1:12" ht="12.75" hidden="1" customHeight="1" x14ac:dyDescent="0.15">
      <c r="A73" s="76" t="s">
        <v>746</v>
      </c>
      <c r="B73" s="89">
        <v>1</v>
      </c>
      <c r="C73" s="74" t="s">
        <v>91</v>
      </c>
      <c r="D73" s="74" t="s">
        <v>116</v>
      </c>
      <c r="E73" s="74" t="s">
        <v>59</v>
      </c>
      <c r="F73" s="74">
        <v>7</v>
      </c>
      <c r="G73" s="74" t="s">
        <v>63</v>
      </c>
      <c r="H73" s="74">
        <v>3</v>
      </c>
      <c r="I73" s="83" t="str">
        <f t="shared" si="2"/>
        <v>http://www.aidedd.org/dnd/monstres.php?vo=Quasit</v>
      </c>
      <c r="J73" s="83"/>
      <c r="K73" s="74" t="s">
        <v>35</v>
      </c>
      <c r="L73" s="74" t="s">
        <v>35</v>
      </c>
    </row>
    <row r="74" spans="1:12" ht="12.75" hidden="1" customHeight="1" x14ac:dyDescent="0.15">
      <c r="A74" s="73" t="s">
        <v>117</v>
      </c>
      <c r="B74" s="89">
        <v>1</v>
      </c>
      <c r="C74" s="74" t="s">
        <v>91</v>
      </c>
      <c r="D74" s="74" t="s">
        <v>118</v>
      </c>
      <c r="E74" s="74" t="s">
        <v>59</v>
      </c>
      <c r="F74" s="74"/>
      <c r="G74" s="74" t="s">
        <v>63</v>
      </c>
      <c r="H74" s="74"/>
      <c r="I74" s="83" t="str">
        <f t="shared" si="2"/>
        <v>http://www.aidedd.org/dnd/monstres.php?vo=Demon,-quasit</v>
      </c>
      <c r="J74" s="83"/>
      <c r="K74" s="74" t="s">
        <v>35</v>
      </c>
      <c r="L74" s="74" t="s">
        <v>35</v>
      </c>
    </row>
    <row r="75" spans="1:12" ht="12.75" hidden="1" customHeight="1" x14ac:dyDescent="0.15">
      <c r="A75" s="76" t="s">
        <v>745</v>
      </c>
      <c r="B75" s="89">
        <v>4</v>
      </c>
      <c r="C75" s="74" t="s">
        <v>91</v>
      </c>
      <c r="D75" s="74" t="s">
        <v>116</v>
      </c>
      <c r="E75" s="74" t="s">
        <v>19</v>
      </c>
      <c r="F75" s="74">
        <v>66</v>
      </c>
      <c r="G75" s="74" t="s">
        <v>63</v>
      </c>
      <c r="H75" s="74">
        <v>3</v>
      </c>
      <c r="I75" s="83" t="str">
        <f t="shared" si="2"/>
        <v>http://www.aidedd.org/dnd/monstres.php?vo=Shadow-Demon</v>
      </c>
      <c r="J75" s="83"/>
      <c r="K75" s="74" t="s">
        <v>35</v>
      </c>
      <c r="L75" s="74" t="s">
        <v>35</v>
      </c>
    </row>
    <row r="76" spans="1:12" ht="12.75" hidden="1" customHeight="1" x14ac:dyDescent="0.15">
      <c r="A76" s="76" t="s">
        <v>747</v>
      </c>
      <c r="B76" s="89">
        <v>6</v>
      </c>
      <c r="C76" s="74" t="s">
        <v>91</v>
      </c>
      <c r="D76" s="74" t="s">
        <v>116</v>
      </c>
      <c r="E76" s="74" t="s">
        <v>38</v>
      </c>
      <c r="F76" s="74">
        <v>104</v>
      </c>
      <c r="G76" s="74" t="s">
        <v>63</v>
      </c>
      <c r="H76" s="74">
        <v>2</v>
      </c>
      <c r="I76" s="83" t="str">
        <f t="shared" si="2"/>
        <v>http://www.aidedd.org/dnd/monstres.php?vo=Vrock</v>
      </c>
      <c r="J76" s="83"/>
      <c r="K76" s="74" t="s">
        <v>35</v>
      </c>
      <c r="L76" s="74" t="s">
        <v>35</v>
      </c>
    </row>
    <row r="77" spans="1:12" ht="12.75" hidden="1" customHeight="1" x14ac:dyDescent="0.15">
      <c r="A77" s="76" t="s">
        <v>750</v>
      </c>
      <c r="B77" s="89">
        <v>10</v>
      </c>
      <c r="C77" s="74" t="s">
        <v>91</v>
      </c>
      <c r="D77" s="74" t="s">
        <v>116</v>
      </c>
      <c r="E77" s="74" t="s">
        <v>19</v>
      </c>
      <c r="F77" s="75">
        <v>136</v>
      </c>
      <c r="G77" s="74" t="s">
        <v>63</v>
      </c>
      <c r="H77" s="75">
        <v>2</v>
      </c>
      <c r="I77" s="83" t="str">
        <f t="shared" si="2"/>
        <v>http://www.aidedd.org/dnd/monstres.php?vo=Yochlol</v>
      </c>
      <c r="J77" s="83"/>
      <c r="K77" s="74" t="s">
        <v>35</v>
      </c>
      <c r="L77" s="74" t="s">
        <v>35</v>
      </c>
    </row>
    <row r="78" spans="1:12" ht="12.75" hidden="1" customHeight="1" x14ac:dyDescent="0.15">
      <c r="A78" s="73" t="s">
        <v>119</v>
      </c>
      <c r="B78" s="89">
        <v>10</v>
      </c>
      <c r="C78" s="74" t="s">
        <v>91</v>
      </c>
      <c r="D78" s="74" t="s">
        <v>118</v>
      </c>
      <c r="E78" s="74" t="s">
        <v>19</v>
      </c>
      <c r="F78" s="74"/>
      <c r="G78" s="74" t="s">
        <v>63</v>
      </c>
      <c r="H78" s="74"/>
      <c r="I78" s="83" t="str">
        <f t="shared" si="2"/>
        <v>http://www.aidedd.org/dnd/monstres.php?vo=Demon,-yochlol</v>
      </c>
      <c r="J78" s="83"/>
      <c r="K78" s="74" t="s">
        <v>35</v>
      </c>
      <c r="L78" s="74" t="s">
        <v>35</v>
      </c>
    </row>
    <row r="79" spans="1:12" ht="12.75" hidden="1" customHeight="1" x14ac:dyDescent="0.15">
      <c r="A79" s="76" t="s">
        <v>751</v>
      </c>
      <c r="B79" s="89">
        <v>9</v>
      </c>
      <c r="C79" s="74" t="s">
        <v>91</v>
      </c>
      <c r="D79" s="74" t="s">
        <v>116</v>
      </c>
      <c r="E79" s="74" t="s">
        <v>38</v>
      </c>
      <c r="F79" s="75">
        <v>157</v>
      </c>
      <c r="G79" s="74" t="s">
        <v>63</v>
      </c>
      <c r="H79" s="75">
        <v>2</v>
      </c>
      <c r="I79" s="83" t="str">
        <f t="shared" si="2"/>
        <v>http://www.aidedd.org/dnd/monstres.php?vo=Glabrezu</v>
      </c>
      <c r="J79" s="83"/>
      <c r="K79" s="74" t="s">
        <v>35</v>
      </c>
      <c r="L79" s="74" t="s">
        <v>35</v>
      </c>
    </row>
    <row r="80" spans="1:12" ht="12.75" hidden="1" customHeight="1" x14ac:dyDescent="0.15">
      <c r="A80" s="73" t="s">
        <v>120</v>
      </c>
      <c r="B80" s="89">
        <v>5</v>
      </c>
      <c r="C80" s="74" t="s">
        <v>91</v>
      </c>
      <c r="D80" s="74" t="s">
        <v>121</v>
      </c>
      <c r="E80" s="74" t="s">
        <v>19</v>
      </c>
      <c r="F80" s="74"/>
      <c r="G80" s="74" t="s">
        <v>39</v>
      </c>
      <c r="H80" s="74"/>
      <c r="I80" s="83" t="str">
        <f t="shared" si="2"/>
        <v>http://www.aidedd.org/dnd/monstres.php?vo=Devil,-barbed</v>
      </c>
      <c r="J80" s="83"/>
      <c r="K80" s="74" t="s">
        <v>35</v>
      </c>
      <c r="L80" s="74" t="s">
        <v>35</v>
      </c>
    </row>
    <row r="81" spans="1:12" ht="12.75" hidden="1" customHeight="1" x14ac:dyDescent="0.15">
      <c r="A81" s="73" t="s">
        <v>122</v>
      </c>
      <c r="B81" s="89">
        <v>3</v>
      </c>
      <c r="C81" s="74" t="s">
        <v>91</v>
      </c>
      <c r="D81" s="74" t="s">
        <v>121</v>
      </c>
      <c r="E81" s="74" t="s">
        <v>19</v>
      </c>
      <c r="F81" s="74"/>
      <c r="G81" s="74" t="s">
        <v>39</v>
      </c>
      <c r="H81" s="74"/>
      <c r="I81" s="83" t="str">
        <f t="shared" si="2"/>
        <v>http://www.aidedd.org/dnd/monstres.php?vo=Devil,-bearded</v>
      </c>
      <c r="J81" s="83"/>
      <c r="K81" s="74" t="s">
        <v>35</v>
      </c>
      <c r="L81" s="74" t="s">
        <v>35</v>
      </c>
    </row>
    <row r="82" spans="1:12" ht="12.75" hidden="1" customHeight="1" x14ac:dyDescent="0.15">
      <c r="A82" s="73" t="s">
        <v>123</v>
      </c>
      <c r="B82" s="89">
        <v>9</v>
      </c>
      <c r="C82" s="74" t="s">
        <v>91</v>
      </c>
      <c r="D82" s="74" t="s">
        <v>121</v>
      </c>
      <c r="E82" s="74" t="s">
        <v>38</v>
      </c>
      <c r="F82" s="74"/>
      <c r="G82" s="74" t="s">
        <v>39</v>
      </c>
      <c r="H82" s="74"/>
      <c r="I82" s="83" t="str">
        <f t="shared" si="2"/>
        <v>http://www.aidedd.org/dnd/monstres.php?vo=Devil,-bone</v>
      </c>
      <c r="J82" s="83"/>
      <c r="K82" s="74" t="s">
        <v>35</v>
      </c>
      <c r="L82" s="74" t="s">
        <v>35</v>
      </c>
    </row>
    <row r="83" spans="1:12" ht="12.75" hidden="1" customHeight="1" x14ac:dyDescent="0.15">
      <c r="A83" s="73" t="s">
        <v>124</v>
      </c>
      <c r="B83" s="89">
        <v>8</v>
      </c>
      <c r="C83" s="74" t="s">
        <v>91</v>
      </c>
      <c r="D83" s="74" t="s">
        <v>121</v>
      </c>
      <c r="E83" s="74" t="s">
        <v>19</v>
      </c>
      <c r="F83" s="74"/>
      <c r="G83" s="74" t="s">
        <v>39</v>
      </c>
      <c r="H83" s="74"/>
      <c r="I83" s="83" t="str">
        <f t="shared" si="2"/>
        <v>http://www.aidedd.org/dnd/monstres.php?vo=Devil,-chain</v>
      </c>
      <c r="J83" s="83"/>
      <c r="K83" s="74" t="s">
        <v>35</v>
      </c>
      <c r="L83" s="74" t="s">
        <v>35</v>
      </c>
    </row>
    <row r="84" spans="1:12" ht="12.75" hidden="1" customHeight="1" x14ac:dyDescent="0.15">
      <c r="A84" s="73" t="s">
        <v>125</v>
      </c>
      <c r="B84" s="89">
        <v>12</v>
      </c>
      <c r="C84" s="74" t="s">
        <v>91</v>
      </c>
      <c r="D84" s="74" t="s">
        <v>121</v>
      </c>
      <c r="E84" s="74" t="s">
        <v>19</v>
      </c>
      <c r="F84" s="74"/>
      <c r="G84" s="74" t="s">
        <v>39</v>
      </c>
      <c r="H84" s="74"/>
      <c r="I84" s="83" t="str">
        <f t="shared" si="2"/>
        <v>http://www.aidedd.org/dnd/monstres.php?vo=Devil,-erinyes</v>
      </c>
      <c r="J84" s="83"/>
      <c r="K84" s="74" t="s">
        <v>35</v>
      </c>
      <c r="L84" s="74" t="s">
        <v>35</v>
      </c>
    </row>
    <row r="85" spans="1:12" ht="12.75" hidden="1" customHeight="1" x14ac:dyDescent="0.15">
      <c r="A85" s="73" t="s">
        <v>126</v>
      </c>
      <c r="B85" s="89">
        <v>11</v>
      </c>
      <c r="C85" s="74" t="s">
        <v>91</v>
      </c>
      <c r="D85" s="74" t="s">
        <v>121</v>
      </c>
      <c r="E85" s="74" t="s">
        <v>38</v>
      </c>
      <c r="F85" s="74"/>
      <c r="G85" s="74" t="s">
        <v>39</v>
      </c>
      <c r="H85" s="74"/>
      <c r="I85" s="83" t="str">
        <f t="shared" si="2"/>
        <v>http://www.aidedd.org/dnd/monstres.php?vo=Devil,-horned</v>
      </c>
      <c r="J85" s="83"/>
      <c r="K85" s="74" t="s">
        <v>35</v>
      </c>
      <c r="L85" s="74" t="s">
        <v>35</v>
      </c>
    </row>
    <row r="86" spans="1:12" ht="12.75" hidden="1" customHeight="1" x14ac:dyDescent="0.15">
      <c r="A86" s="73" t="s">
        <v>127</v>
      </c>
      <c r="B86" s="89">
        <v>14</v>
      </c>
      <c r="C86" s="74" t="s">
        <v>91</v>
      </c>
      <c r="D86" s="74" t="s">
        <v>121</v>
      </c>
      <c r="E86" s="74" t="s">
        <v>38</v>
      </c>
      <c r="F86" s="74"/>
      <c r="G86" s="74" t="s">
        <v>39</v>
      </c>
      <c r="H86" s="74"/>
      <c r="I86" s="83" t="str">
        <f t="shared" si="2"/>
        <v>http://www.aidedd.org/dnd/monstres.php?vo=Devil,-ice</v>
      </c>
      <c r="J86" s="83"/>
      <c r="K86" s="74" t="s">
        <v>35</v>
      </c>
      <c r="L86" s="74" t="s">
        <v>35</v>
      </c>
    </row>
    <row r="87" spans="1:12" ht="12.75" hidden="1" customHeight="1" x14ac:dyDescent="0.15">
      <c r="A87" s="73" t="s">
        <v>128</v>
      </c>
      <c r="B87" s="89">
        <v>1</v>
      </c>
      <c r="C87" s="74" t="s">
        <v>91</v>
      </c>
      <c r="D87" s="74" t="s">
        <v>121</v>
      </c>
      <c r="E87" s="74" t="s">
        <v>59</v>
      </c>
      <c r="F87" s="74"/>
      <c r="G87" s="74" t="s">
        <v>39</v>
      </c>
      <c r="H87" s="74"/>
      <c r="I87" s="83" t="str">
        <f t="shared" si="2"/>
        <v>http://www.aidedd.org/dnd/monstres.php?vo=Devil,-imp</v>
      </c>
      <c r="J87" s="83"/>
      <c r="K87" s="74" t="s">
        <v>35</v>
      </c>
      <c r="L87" s="74" t="s">
        <v>35</v>
      </c>
    </row>
    <row r="88" spans="1:12" ht="12.75" hidden="1" customHeight="1" x14ac:dyDescent="0.15">
      <c r="A88" s="73" t="s">
        <v>128</v>
      </c>
      <c r="B88" s="89">
        <v>1</v>
      </c>
      <c r="C88" s="74" t="s">
        <v>91</v>
      </c>
      <c r="D88" s="74" t="s">
        <v>118</v>
      </c>
      <c r="E88" s="74" t="s">
        <v>59</v>
      </c>
      <c r="F88" s="74"/>
      <c r="G88" s="74" t="s">
        <v>39</v>
      </c>
      <c r="H88" s="74"/>
      <c r="I88" s="83" t="str">
        <f t="shared" si="2"/>
        <v>http://www.aidedd.org/dnd/monstres.php?vo=Devil,-imp</v>
      </c>
      <c r="J88" s="83"/>
      <c r="K88" s="74" t="s">
        <v>35</v>
      </c>
      <c r="L88" s="74" t="s">
        <v>35</v>
      </c>
    </row>
    <row r="89" spans="1:12" ht="12.75" hidden="1" customHeight="1" x14ac:dyDescent="0.15">
      <c r="A89" s="73" t="s">
        <v>129</v>
      </c>
      <c r="B89" s="89">
        <v>0</v>
      </c>
      <c r="C89" s="74" t="s">
        <v>91</v>
      </c>
      <c r="D89" s="74" t="s">
        <v>121</v>
      </c>
      <c r="E89" s="74" t="s">
        <v>19</v>
      </c>
      <c r="F89" s="74"/>
      <c r="G89" s="74" t="s">
        <v>39</v>
      </c>
      <c r="H89" s="74"/>
      <c r="I89" s="83" t="str">
        <f t="shared" si="2"/>
        <v>http://www.aidedd.org/dnd/monstres.php?vo=Devil,-lemure</v>
      </c>
      <c r="J89" s="83"/>
      <c r="K89" s="74" t="s">
        <v>35</v>
      </c>
      <c r="L89" s="74" t="s">
        <v>35</v>
      </c>
    </row>
    <row r="90" spans="1:12" ht="12.75" hidden="1" customHeight="1" x14ac:dyDescent="0.15">
      <c r="A90" s="73" t="s">
        <v>130</v>
      </c>
      <c r="B90" s="89">
        <v>20</v>
      </c>
      <c r="C90" s="74" t="s">
        <v>91</v>
      </c>
      <c r="D90" s="74" t="s">
        <v>121</v>
      </c>
      <c r="E90" s="74" t="s">
        <v>38</v>
      </c>
      <c r="F90" s="74"/>
      <c r="G90" s="74" t="s">
        <v>39</v>
      </c>
      <c r="H90" s="74"/>
      <c r="I90" s="83" t="str">
        <f t="shared" si="2"/>
        <v>http://www.aidedd.org/dnd/monstres.php?vo=Devil,-pit-fiend</v>
      </c>
      <c r="J90" s="83"/>
      <c r="K90" s="74" t="s">
        <v>35</v>
      </c>
      <c r="L90" s="74" t="s">
        <v>35</v>
      </c>
    </row>
    <row r="91" spans="1:12" ht="12.75" hidden="1" customHeight="1" x14ac:dyDescent="0.15">
      <c r="A91" s="73" t="s">
        <v>131</v>
      </c>
      <c r="B91" s="89">
        <v>2</v>
      </c>
      <c r="C91" s="74" t="s">
        <v>91</v>
      </c>
      <c r="D91" s="74" t="s">
        <v>121</v>
      </c>
      <c r="E91" s="74" t="s">
        <v>43</v>
      </c>
      <c r="F91" s="74"/>
      <c r="G91" s="74" t="s">
        <v>39</v>
      </c>
      <c r="H91" s="74"/>
      <c r="I91" s="83" t="str">
        <f t="shared" si="2"/>
        <v>http://www.aidedd.org/dnd/monstres.php?vo=Devil,-spined</v>
      </c>
      <c r="J91" s="83"/>
      <c r="K91" s="74" t="s">
        <v>35</v>
      </c>
      <c r="L91" s="74" t="s">
        <v>35</v>
      </c>
    </row>
    <row r="92" spans="1:12" ht="12.75" hidden="1" customHeight="1" x14ac:dyDescent="0.15">
      <c r="A92" s="73" t="s">
        <v>132</v>
      </c>
      <c r="B92" s="89">
        <v>2</v>
      </c>
      <c r="C92" s="74" t="s">
        <v>48</v>
      </c>
      <c r="D92" s="74"/>
      <c r="E92" s="74" t="s">
        <v>38</v>
      </c>
      <c r="F92" s="74"/>
      <c r="G92" s="74"/>
      <c r="H92" s="74"/>
      <c r="I92" s="83" t="str">
        <f t="shared" si="2"/>
        <v>http://www.aidedd.org/dnd/monstres.php?vo=Dinosaur,-allosaurus</v>
      </c>
      <c r="J92" s="83"/>
      <c r="K92" s="74" t="s">
        <v>35</v>
      </c>
      <c r="L92" s="74" t="s">
        <v>35</v>
      </c>
    </row>
    <row r="93" spans="1:12" ht="12.75" hidden="1" customHeight="1" x14ac:dyDescent="0.15">
      <c r="A93" s="73" t="s">
        <v>133</v>
      </c>
      <c r="B93" s="89">
        <v>3</v>
      </c>
      <c r="C93" s="74" t="s">
        <v>48</v>
      </c>
      <c r="D93" s="74"/>
      <c r="E93" s="74" t="s">
        <v>49</v>
      </c>
      <c r="F93" s="74"/>
      <c r="G93" s="74"/>
      <c r="H93" s="74"/>
      <c r="I93" s="83" t="str">
        <f t="shared" si="2"/>
        <v>http://www.aidedd.org/dnd/monstres.php?vo=Dinosaur,-ankylosaurus</v>
      </c>
      <c r="J93" s="83"/>
      <c r="K93" s="74" t="s">
        <v>35</v>
      </c>
      <c r="L93" s="74" t="s">
        <v>35</v>
      </c>
    </row>
    <row r="94" spans="1:12" ht="12.75" hidden="1" customHeight="1" x14ac:dyDescent="0.15">
      <c r="A94" s="73" t="s">
        <v>134</v>
      </c>
      <c r="B94" s="89">
        <v>2</v>
      </c>
      <c r="C94" s="74" t="s">
        <v>48</v>
      </c>
      <c r="D94" s="74"/>
      <c r="E94" s="74" t="s">
        <v>38</v>
      </c>
      <c r="F94" s="74"/>
      <c r="G94" s="74"/>
      <c r="H94" s="74"/>
      <c r="I94" s="83" t="str">
        <f t="shared" si="2"/>
        <v>http://www.aidedd.org/dnd/monstres.php?vo=Dinosaur,-plesiosaurus</v>
      </c>
      <c r="J94" s="83"/>
      <c r="K94" s="74" t="s">
        <v>35</v>
      </c>
      <c r="L94" s="74" t="s">
        <v>35</v>
      </c>
    </row>
    <row r="95" spans="1:12" ht="12.75" hidden="1" customHeight="1" x14ac:dyDescent="0.15">
      <c r="A95" s="73" t="s">
        <v>135</v>
      </c>
      <c r="B95" s="89" t="s">
        <v>32</v>
      </c>
      <c r="C95" s="74" t="s">
        <v>48</v>
      </c>
      <c r="D95" s="74"/>
      <c r="E95" s="74" t="s">
        <v>19</v>
      </c>
      <c r="F95" s="74"/>
      <c r="G95" s="74"/>
      <c r="H95" s="74"/>
      <c r="I95" s="83" t="str">
        <f t="shared" si="2"/>
        <v>http://www.aidedd.org/dnd/monstres.php?vo=Dinosaur,-pteranodon</v>
      </c>
      <c r="J95" s="83"/>
      <c r="K95" s="74" t="s">
        <v>35</v>
      </c>
      <c r="L95" s="74" t="s">
        <v>35</v>
      </c>
    </row>
    <row r="96" spans="1:12" ht="12.75" hidden="1" customHeight="1" x14ac:dyDescent="0.15">
      <c r="A96" s="73" t="s">
        <v>136</v>
      </c>
      <c r="B96" s="89">
        <v>5</v>
      </c>
      <c r="C96" s="74" t="s">
        <v>48</v>
      </c>
      <c r="D96" s="74"/>
      <c r="E96" s="74" t="s">
        <v>49</v>
      </c>
      <c r="F96" s="74"/>
      <c r="G96" s="74"/>
      <c r="H96" s="74"/>
      <c r="I96" s="83" t="str">
        <f t="shared" si="2"/>
        <v>http://www.aidedd.org/dnd/monstres.php?vo=Dinosaur,-triceratops</v>
      </c>
      <c r="J96" s="83"/>
      <c r="K96" s="74" t="s">
        <v>35</v>
      </c>
      <c r="L96" s="74" t="s">
        <v>35</v>
      </c>
    </row>
    <row r="97" spans="1:12" ht="12.75" hidden="1" customHeight="1" x14ac:dyDescent="0.15">
      <c r="A97" s="73" t="s">
        <v>137</v>
      </c>
      <c r="B97" s="89">
        <v>8</v>
      </c>
      <c r="C97" s="74" t="s">
        <v>48</v>
      </c>
      <c r="D97" s="74"/>
      <c r="E97" s="74" t="s">
        <v>49</v>
      </c>
      <c r="F97" s="74"/>
      <c r="G97" s="74"/>
      <c r="H97" s="74"/>
      <c r="I97" s="83" t="str">
        <f t="shared" si="2"/>
        <v>http://www.aidedd.org/dnd/monstres.php?vo=Dinosaur,-tyrannosaurus-rex</v>
      </c>
      <c r="J97" s="83"/>
      <c r="K97" s="74" t="s">
        <v>35</v>
      </c>
      <c r="L97" s="74" t="s">
        <v>35</v>
      </c>
    </row>
    <row r="98" spans="1:12" ht="12.75" hidden="1" customHeight="1" x14ac:dyDescent="0.15">
      <c r="A98" s="73" t="s">
        <v>138</v>
      </c>
      <c r="B98" s="89">
        <v>1</v>
      </c>
      <c r="C98" s="74" t="s">
        <v>48</v>
      </c>
      <c r="D98" s="74"/>
      <c r="E98" s="74" t="s">
        <v>38</v>
      </c>
      <c r="F98" s="74">
        <v>37</v>
      </c>
      <c r="G98" s="74"/>
      <c r="H98" s="74"/>
      <c r="I98" s="83" t="str">
        <f t="shared" si="2"/>
        <v>http://www.aidedd.org/dnd/monstres.php?vo=Dire-wolf</v>
      </c>
      <c r="J98" s="83"/>
      <c r="K98" s="74" t="s">
        <v>35</v>
      </c>
      <c r="L98" s="74" t="s">
        <v>35</v>
      </c>
    </row>
    <row r="99" spans="1:12" ht="12.75" hidden="1" customHeight="1" x14ac:dyDescent="0.15">
      <c r="A99" s="73" t="s">
        <v>139</v>
      </c>
      <c r="B99" s="89">
        <v>3</v>
      </c>
      <c r="C99" s="74" t="s">
        <v>45</v>
      </c>
      <c r="D99" s="74"/>
      <c r="E99" s="74" t="s">
        <v>38</v>
      </c>
      <c r="F99" s="74"/>
      <c r="G99" s="74" t="s">
        <v>39</v>
      </c>
      <c r="H99" s="74"/>
      <c r="I99" s="83" t="str">
        <f t="shared" ref="I99:I130" si="3">HYPERLINK("http://www.aidedd.org/dnd/monstres.php?vo="&amp;SUBSTITUTE(A99," ","-"))</f>
        <v>http://www.aidedd.org/dnd/monstres.php?vo=Displacer-beast</v>
      </c>
      <c r="J99" s="83"/>
      <c r="K99" s="74" t="s">
        <v>35</v>
      </c>
      <c r="L99" s="74" t="s">
        <v>35</v>
      </c>
    </row>
    <row r="100" spans="1:12" ht="12.75" hidden="1" customHeight="1" x14ac:dyDescent="0.15">
      <c r="A100" s="73" t="s">
        <v>140</v>
      </c>
      <c r="B100" s="89">
        <v>3</v>
      </c>
      <c r="C100" s="74" t="s">
        <v>45</v>
      </c>
      <c r="D100" s="74" t="s">
        <v>118</v>
      </c>
      <c r="E100" s="74" t="s">
        <v>19</v>
      </c>
      <c r="F100" s="74">
        <v>52</v>
      </c>
      <c r="G100" s="74" t="s">
        <v>35</v>
      </c>
      <c r="H100" s="74"/>
      <c r="I100" s="83" t="str">
        <f t="shared" si="3"/>
        <v>http://www.aidedd.org/dnd/monstres.php?vo=Doppelganger</v>
      </c>
      <c r="J100" s="83"/>
      <c r="K100" s="74" t="s">
        <v>35</v>
      </c>
      <c r="L100" s="74" t="s">
        <v>35</v>
      </c>
    </row>
    <row r="101" spans="1:12" ht="12.75" hidden="1" customHeight="1" x14ac:dyDescent="0.15">
      <c r="A101" s="73" t="s">
        <v>141</v>
      </c>
      <c r="B101" s="89"/>
      <c r="C101" s="74" t="s">
        <v>62</v>
      </c>
      <c r="D101" s="74"/>
      <c r="E101" s="74"/>
      <c r="F101" s="74"/>
      <c r="G101" s="74"/>
      <c r="H101" s="74"/>
      <c r="I101" s="83" t="str">
        <f t="shared" si="3"/>
        <v>http://www.aidedd.org/dnd/monstres.php?vo=Dracolich-(template)</v>
      </c>
      <c r="J101" s="83"/>
      <c r="K101" s="74"/>
      <c r="L101" s="74"/>
    </row>
    <row r="102" spans="1:12" ht="12.75" hidden="1" customHeight="1" x14ac:dyDescent="0.15">
      <c r="A102" s="73" t="s">
        <v>142</v>
      </c>
      <c r="B102" s="89">
        <v>17</v>
      </c>
      <c r="C102" s="74" t="s">
        <v>62</v>
      </c>
      <c r="D102" s="74"/>
      <c r="E102" s="74" t="s">
        <v>49</v>
      </c>
      <c r="F102" s="74"/>
      <c r="G102" s="74" t="s">
        <v>39</v>
      </c>
      <c r="H102" s="74"/>
      <c r="I102" s="83" t="str">
        <f t="shared" si="3"/>
        <v>http://www.aidedd.org/dnd/monstres.php?vo=Dracolich,-blue,-adult</v>
      </c>
      <c r="J102" s="83"/>
      <c r="K102" s="74" t="s">
        <v>2</v>
      </c>
      <c r="L102" s="74" t="s">
        <v>2</v>
      </c>
    </row>
    <row r="103" spans="1:12" ht="12.75" hidden="1" customHeight="1" x14ac:dyDescent="0.15">
      <c r="A103" s="73" t="s">
        <v>143</v>
      </c>
      <c r="B103" s="89">
        <v>17</v>
      </c>
      <c r="C103" s="74" t="s">
        <v>144</v>
      </c>
      <c r="D103" s="74"/>
      <c r="E103" s="74" t="s">
        <v>145</v>
      </c>
      <c r="F103" s="74"/>
      <c r="G103" s="74" t="s">
        <v>35</v>
      </c>
      <c r="H103" s="74"/>
      <c r="I103" s="83" t="str">
        <f t="shared" si="3"/>
        <v>http://www.aidedd.org/dnd/monstres.php?vo=Dragon-turtle</v>
      </c>
      <c r="J103" s="83"/>
      <c r="K103" s="74" t="s">
        <v>35</v>
      </c>
      <c r="L103" s="74" t="s">
        <v>35</v>
      </c>
    </row>
    <row r="104" spans="1:12" ht="12.75" hidden="1" customHeight="1" x14ac:dyDescent="0.15">
      <c r="A104" s="73" t="s">
        <v>146</v>
      </c>
      <c r="B104" s="89">
        <v>14</v>
      </c>
      <c r="C104" s="74" t="s">
        <v>144</v>
      </c>
      <c r="D104" s="74"/>
      <c r="E104" s="74" t="s">
        <v>49</v>
      </c>
      <c r="F104" s="74"/>
      <c r="G104" s="74" t="s">
        <v>63</v>
      </c>
      <c r="H104" s="74"/>
      <c r="I104" s="83" t="str">
        <f t="shared" si="3"/>
        <v>http://www.aidedd.org/dnd/monstres.php?vo=Dragon,-black,-adult</v>
      </c>
      <c r="J104" s="83"/>
      <c r="K104" s="74" t="s">
        <v>2</v>
      </c>
      <c r="L104" s="74" t="s">
        <v>2</v>
      </c>
    </row>
    <row r="105" spans="1:12" ht="12.75" hidden="1" customHeight="1" x14ac:dyDescent="0.15">
      <c r="A105" s="73" t="s">
        <v>147</v>
      </c>
      <c r="B105" s="89">
        <v>21</v>
      </c>
      <c r="C105" s="74" t="s">
        <v>144</v>
      </c>
      <c r="D105" s="74"/>
      <c r="E105" s="74" t="s">
        <v>145</v>
      </c>
      <c r="F105" s="74"/>
      <c r="G105" s="74" t="s">
        <v>63</v>
      </c>
      <c r="H105" s="74"/>
      <c r="I105" s="83" t="str">
        <f t="shared" si="3"/>
        <v>http://www.aidedd.org/dnd/monstres.php?vo=Dragon,-black,-ancient</v>
      </c>
      <c r="J105" s="83"/>
      <c r="K105" s="74" t="s">
        <v>2</v>
      </c>
      <c r="L105" s="74" t="s">
        <v>2</v>
      </c>
    </row>
    <row r="106" spans="1:12" ht="12.75" hidden="1" customHeight="1" x14ac:dyDescent="0.15">
      <c r="A106" s="73" t="s">
        <v>148</v>
      </c>
      <c r="B106" s="89">
        <v>2</v>
      </c>
      <c r="C106" s="74" t="s">
        <v>144</v>
      </c>
      <c r="D106" s="74"/>
      <c r="E106" s="74" t="s">
        <v>19</v>
      </c>
      <c r="F106" s="74"/>
      <c r="G106" s="74" t="s">
        <v>63</v>
      </c>
      <c r="H106" s="74"/>
      <c r="I106" s="83" t="str">
        <f t="shared" si="3"/>
        <v>http://www.aidedd.org/dnd/monstres.php?vo=Dragon,-black,-wyrmling</v>
      </c>
      <c r="J106" s="83"/>
      <c r="K106" s="74" t="s">
        <v>35</v>
      </c>
      <c r="L106" s="74" t="s">
        <v>35</v>
      </c>
    </row>
    <row r="107" spans="1:12" ht="12.75" hidden="1" customHeight="1" x14ac:dyDescent="0.15">
      <c r="A107" s="73" t="s">
        <v>149</v>
      </c>
      <c r="B107" s="89">
        <v>7</v>
      </c>
      <c r="C107" s="74" t="s">
        <v>144</v>
      </c>
      <c r="D107" s="74"/>
      <c r="E107" s="74" t="s">
        <v>38</v>
      </c>
      <c r="F107" s="74"/>
      <c r="G107" s="74" t="s">
        <v>63</v>
      </c>
      <c r="H107" s="74"/>
      <c r="I107" s="83" t="str">
        <f t="shared" si="3"/>
        <v>http://www.aidedd.org/dnd/monstres.php?vo=Dragon,-black,-young</v>
      </c>
      <c r="J107" s="83"/>
      <c r="K107" s="74" t="s">
        <v>35</v>
      </c>
      <c r="L107" s="74" t="s">
        <v>35</v>
      </c>
    </row>
    <row r="108" spans="1:12" ht="12.75" hidden="1" customHeight="1" x14ac:dyDescent="0.15">
      <c r="A108" s="73" t="s">
        <v>150</v>
      </c>
      <c r="B108" s="89">
        <v>16</v>
      </c>
      <c r="C108" s="74" t="s">
        <v>144</v>
      </c>
      <c r="D108" s="74"/>
      <c r="E108" s="74" t="s">
        <v>49</v>
      </c>
      <c r="F108" s="74"/>
      <c r="G108" s="74" t="s">
        <v>39</v>
      </c>
      <c r="H108" s="74"/>
      <c r="I108" s="83" t="str">
        <f t="shared" si="3"/>
        <v>http://www.aidedd.org/dnd/monstres.php?vo=Dragon,-blue,-adult</v>
      </c>
      <c r="J108" s="83"/>
      <c r="K108" s="74" t="s">
        <v>2</v>
      </c>
      <c r="L108" s="74" t="s">
        <v>2</v>
      </c>
    </row>
    <row r="109" spans="1:12" ht="12.75" hidden="1" customHeight="1" x14ac:dyDescent="0.15">
      <c r="A109" s="73" t="s">
        <v>151</v>
      </c>
      <c r="B109" s="89">
        <v>23</v>
      </c>
      <c r="C109" s="74" t="s">
        <v>144</v>
      </c>
      <c r="D109" s="74"/>
      <c r="E109" s="74" t="s">
        <v>145</v>
      </c>
      <c r="F109" s="74"/>
      <c r="G109" s="74" t="s">
        <v>39</v>
      </c>
      <c r="H109" s="74"/>
      <c r="I109" s="83" t="str">
        <f t="shared" si="3"/>
        <v>http://www.aidedd.org/dnd/monstres.php?vo=Dragon,-blue,-ancient</v>
      </c>
      <c r="J109" s="83"/>
      <c r="K109" s="74" t="s">
        <v>2</v>
      </c>
      <c r="L109" s="74" t="s">
        <v>2</v>
      </c>
    </row>
    <row r="110" spans="1:12" ht="12.75" hidden="1" customHeight="1" x14ac:dyDescent="0.15">
      <c r="A110" s="73" t="s">
        <v>152</v>
      </c>
      <c r="B110" s="89">
        <v>3</v>
      </c>
      <c r="C110" s="74" t="s">
        <v>144</v>
      </c>
      <c r="D110" s="74"/>
      <c r="E110" s="74" t="s">
        <v>19</v>
      </c>
      <c r="F110" s="74"/>
      <c r="G110" s="74" t="s">
        <v>39</v>
      </c>
      <c r="H110" s="74"/>
      <c r="I110" s="83" t="str">
        <f t="shared" si="3"/>
        <v>http://www.aidedd.org/dnd/monstres.php?vo=Dragon,-blue,-wyrmling</v>
      </c>
      <c r="J110" s="83"/>
      <c r="K110" s="74" t="s">
        <v>35</v>
      </c>
      <c r="L110" s="74" t="s">
        <v>35</v>
      </c>
    </row>
    <row r="111" spans="1:12" ht="12.75" hidden="1" customHeight="1" x14ac:dyDescent="0.15">
      <c r="A111" s="73" t="s">
        <v>153</v>
      </c>
      <c r="B111" s="89">
        <v>9</v>
      </c>
      <c r="C111" s="74" t="s">
        <v>144</v>
      </c>
      <c r="D111" s="74"/>
      <c r="E111" s="74" t="s">
        <v>38</v>
      </c>
      <c r="F111" s="74"/>
      <c r="G111" s="74" t="s">
        <v>39</v>
      </c>
      <c r="H111" s="74"/>
      <c r="I111" s="83" t="str">
        <f t="shared" si="3"/>
        <v>http://www.aidedd.org/dnd/monstres.php?vo=Dragon,-blue,-young</v>
      </c>
      <c r="J111" s="83"/>
      <c r="K111" s="74" t="s">
        <v>35</v>
      </c>
      <c r="L111" s="74" t="s">
        <v>35</v>
      </c>
    </row>
    <row r="112" spans="1:12" ht="12.75" hidden="1" customHeight="1" x14ac:dyDescent="0.15">
      <c r="A112" s="73" t="s">
        <v>154</v>
      </c>
      <c r="B112" s="89">
        <v>13</v>
      </c>
      <c r="C112" s="74" t="s">
        <v>144</v>
      </c>
      <c r="D112" s="74"/>
      <c r="E112" s="74" t="s">
        <v>49</v>
      </c>
      <c r="F112" s="74"/>
      <c r="G112" s="74" t="s">
        <v>155</v>
      </c>
      <c r="H112" s="74"/>
      <c r="I112" s="83" t="str">
        <f t="shared" si="3"/>
        <v>http://www.aidedd.org/dnd/monstres.php?vo=Dragon,-brass,-adult</v>
      </c>
      <c r="J112" s="83"/>
      <c r="K112" s="74" t="s">
        <v>2</v>
      </c>
      <c r="L112" s="74" t="s">
        <v>2</v>
      </c>
    </row>
    <row r="113" spans="1:12" ht="12.75" hidden="1" customHeight="1" x14ac:dyDescent="0.15">
      <c r="A113" s="73" t="s">
        <v>156</v>
      </c>
      <c r="B113" s="89">
        <v>20</v>
      </c>
      <c r="C113" s="74" t="s">
        <v>144</v>
      </c>
      <c r="D113" s="74"/>
      <c r="E113" s="74" t="s">
        <v>145</v>
      </c>
      <c r="F113" s="74"/>
      <c r="G113" s="74" t="s">
        <v>155</v>
      </c>
      <c r="H113" s="74"/>
      <c r="I113" s="83" t="str">
        <f t="shared" si="3"/>
        <v>http://www.aidedd.org/dnd/monstres.php?vo=Dragon,-brass,-ancient</v>
      </c>
      <c r="J113" s="83"/>
      <c r="K113" s="74" t="s">
        <v>2</v>
      </c>
      <c r="L113" s="74" t="s">
        <v>2</v>
      </c>
    </row>
    <row r="114" spans="1:12" ht="12.75" hidden="1" customHeight="1" x14ac:dyDescent="0.15">
      <c r="A114" s="73" t="s">
        <v>157</v>
      </c>
      <c r="B114" s="89">
        <v>1</v>
      </c>
      <c r="C114" s="74" t="s">
        <v>144</v>
      </c>
      <c r="D114" s="74"/>
      <c r="E114" s="74" t="s">
        <v>19</v>
      </c>
      <c r="F114" s="74"/>
      <c r="G114" s="74" t="s">
        <v>155</v>
      </c>
      <c r="H114" s="74"/>
      <c r="I114" s="83" t="str">
        <f t="shared" si="3"/>
        <v>http://www.aidedd.org/dnd/monstres.php?vo=Dragon,-brass,-wyrmling</v>
      </c>
      <c r="J114" s="83"/>
      <c r="K114" s="74" t="s">
        <v>35</v>
      </c>
      <c r="L114" s="74" t="s">
        <v>35</v>
      </c>
    </row>
    <row r="115" spans="1:12" ht="12.75" hidden="1" customHeight="1" x14ac:dyDescent="0.15">
      <c r="A115" s="73" t="s">
        <v>158</v>
      </c>
      <c r="B115" s="89">
        <v>6</v>
      </c>
      <c r="C115" s="74" t="s">
        <v>144</v>
      </c>
      <c r="D115" s="74"/>
      <c r="E115" s="74" t="s">
        <v>38</v>
      </c>
      <c r="F115" s="74"/>
      <c r="G115" s="74" t="s">
        <v>155</v>
      </c>
      <c r="H115" s="74"/>
      <c r="I115" s="83" t="str">
        <f t="shared" si="3"/>
        <v>http://www.aidedd.org/dnd/monstres.php?vo=Dragon,-brass,-young</v>
      </c>
      <c r="J115" s="83"/>
      <c r="K115" s="74" t="s">
        <v>35</v>
      </c>
      <c r="L115" s="74" t="s">
        <v>35</v>
      </c>
    </row>
    <row r="116" spans="1:12" ht="12.75" hidden="1" customHeight="1" x14ac:dyDescent="0.15">
      <c r="A116" s="73" t="s">
        <v>159</v>
      </c>
      <c r="B116" s="89">
        <v>15</v>
      </c>
      <c r="C116" s="74" t="s">
        <v>144</v>
      </c>
      <c r="D116" s="74"/>
      <c r="E116" s="74" t="s">
        <v>49</v>
      </c>
      <c r="F116" s="74"/>
      <c r="G116" s="74" t="s">
        <v>41</v>
      </c>
      <c r="H116" s="74"/>
      <c r="I116" s="83" t="str">
        <f t="shared" si="3"/>
        <v>http://www.aidedd.org/dnd/monstres.php?vo=Dragon,-bronze,-adult</v>
      </c>
      <c r="J116" s="83"/>
      <c r="K116" s="74" t="s">
        <v>2</v>
      </c>
      <c r="L116" s="74" t="s">
        <v>2</v>
      </c>
    </row>
    <row r="117" spans="1:12" ht="12.75" hidden="1" customHeight="1" x14ac:dyDescent="0.15">
      <c r="A117" s="73" t="s">
        <v>160</v>
      </c>
      <c r="B117" s="89">
        <v>22</v>
      </c>
      <c r="C117" s="74" t="s">
        <v>144</v>
      </c>
      <c r="D117" s="74"/>
      <c r="E117" s="74" t="s">
        <v>145</v>
      </c>
      <c r="F117" s="74"/>
      <c r="G117" s="74" t="s">
        <v>41</v>
      </c>
      <c r="H117" s="74"/>
      <c r="I117" s="83" t="str">
        <f t="shared" si="3"/>
        <v>http://www.aidedd.org/dnd/monstres.php?vo=Dragon,-bronze,-ancient</v>
      </c>
      <c r="J117" s="83"/>
      <c r="K117" s="74" t="s">
        <v>2</v>
      </c>
      <c r="L117" s="74" t="s">
        <v>2</v>
      </c>
    </row>
    <row r="118" spans="1:12" ht="12.75" hidden="1" customHeight="1" x14ac:dyDescent="0.15">
      <c r="A118" s="73" t="s">
        <v>161</v>
      </c>
      <c r="B118" s="89">
        <v>2</v>
      </c>
      <c r="C118" s="74" t="s">
        <v>144</v>
      </c>
      <c r="D118" s="74"/>
      <c r="E118" s="74" t="s">
        <v>19</v>
      </c>
      <c r="F118" s="74"/>
      <c r="G118" s="74" t="s">
        <v>41</v>
      </c>
      <c r="H118" s="74"/>
      <c r="I118" s="83" t="str">
        <f t="shared" si="3"/>
        <v>http://www.aidedd.org/dnd/monstres.php?vo=Dragon,-bronze,-wyrmling</v>
      </c>
      <c r="J118" s="83"/>
      <c r="K118" s="74" t="s">
        <v>35</v>
      </c>
      <c r="L118" s="74" t="s">
        <v>35</v>
      </c>
    </row>
    <row r="119" spans="1:12" ht="12.75" hidden="1" customHeight="1" x14ac:dyDescent="0.15">
      <c r="A119" s="73" t="s">
        <v>162</v>
      </c>
      <c r="B119" s="89">
        <v>8</v>
      </c>
      <c r="C119" s="74" t="s">
        <v>144</v>
      </c>
      <c r="D119" s="74"/>
      <c r="E119" s="74" t="s">
        <v>38</v>
      </c>
      <c r="F119" s="74"/>
      <c r="G119" s="74" t="s">
        <v>41</v>
      </c>
      <c r="H119" s="74"/>
      <c r="I119" s="83" t="str">
        <f t="shared" si="3"/>
        <v>http://www.aidedd.org/dnd/monstres.php?vo=Dragon,-bronze,-young</v>
      </c>
      <c r="J119" s="83"/>
      <c r="K119" s="74" t="s">
        <v>35</v>
      </c>
      <c r="L119" s="74" t="s">
        <v>35</v>
      </c>
    </row>
    <row r="120" spans="1:12" ht="12.75" hidden="1" customHeight="1" x14ac:dyDescent="0.15">
      <c r="A120" s="73" t="s">
        <v>163</v>
      </c>
      <c r="B120" s="89">
        <v>14</v>
      </c>
      <c r="C120" s="74" t="s">
        <v>144</v>
      </c>
      <c r="D120" s="74"/>
      <c r="E120" s="74" t="s">
        <v>49</v>
      </c>
      <c r="F120" s="74"/>
      <c r="G120" s="74" t="s">
        <v>155</v>
      </c>
      <c r="H120" s="74"/>
      <c r="I120" s="83" t="str">
        <f t="shared" si="3"/>
        <v>http://www.aidedd.org/dnd/monstres.php?vo=Dragon,-copper,-adult</v>
      </c>
      <c r="J120" s="83"/>
      <c r="K120" s="74" t="s">
        <v>2</v>
      </c>
      <c r="L120" s="74" t="s">
        <v>2</v>
      </c>
    </row>
    <row r="121" spans="1:12" ht="12.75" hidden="1" customHeight="1" x14ac:dyDescent="0.15">
      <c r="A121" s="73" t="s">
        <v>164</v>
      </c>
      <c r="B121" s="89">
        <v>21</v>
      </c>
      <c r="C121" s="74" t="s">
        <v>144</v>
      </c>
      <c r="D121" s="74"/>
      <c r="E121" s="74" t="s">
        <v>145</v>
      </c>
      <c r="F121" s="74"/>
      <c r="G121" s="74" t="s">
        <v>155</v>
      </c>
      <c r="H121" s="74"/>
      <c r="I121" s="83" t="str">
        <f t="shared" si="3"/>
        <v>http://www.aidedd.org/dnd/monstres.php?vo=Dragon,-copper,-ancient</v>
      </c>
      <c r="J121" s="83"/>
      <c r="K121" s="74" t="s">
        <v>2</v>
      </c>
      <c r="L121" s="74" t="s">
        <v>2</v>
      </c>
    </row>
    <row r="122" spans="1:12" ht="12.75" hidden="1" customHeight="1" x14ac:dyDescent="0.15">
      <c r="A122" s="73" t="s">
        <v>165</v>
      </c>
      <c r="B122" s="89">
        <v>1</v>
      </c>
      <c r="C122" s="74" t="s">
        <v>144</v>
      </c>
      <c r="D122" s="74"/>
      <c r="E122" s="74" t="s">
        <v>19</v>
      </c>
      <c r="F122" s="74"/>
      <c r="G122" s="74" t="s">
        <v>155</v>
      </c>
      <c r="H122" s="74"/>
      <c r="I122" s="83" t="str">
        <f t="shared" si="3"/>
        <v>http://www.aidedd.org/dnd/monstres.php?vo=Dragon,-copper,-wyrmling</v>
      </c>
      <c r="J122" s="83"/>
      <c r="K122" s="74" t="s">
        <v>35</v>
      </c>
      <c r="L122" s="74" t="s">
        <v>35</v>
      </c>
    </row>
    <row r="123" spans="1:12" ht="12.75" hidden="1" customHeight="1" x14ac:dyDescent="0.15">
      <c r="A123" s="73" t="s">
        <v>166</v>
      </c>
      <c r="B123" s="89">
        <v>7</v>
      </c>
      <c r="C123" s="74" t="s">
        <v>144</v>
      </c>
      <c r="D123" s="74"/>
      <c r="E123" s="74" t="s">
        <v>38</v>
      </c>
      <c r="F123" s="74"/>
      <c r="G123" s="74" t="s">
        <v>155</v>
      </c>
      <c r="H123" s="74"/>
      <c r="I123" s="83" t="str">
        <f t="shared" si="3"/>
        <v>http://www.aidedd.org/dnd/monstres.php?vo=Dragon,-copper,-young</v>
      </c>
      <c r="J123" s="83"/>
      <c r="K123" s="74" t="s">
        <v>35</v>
      </c>
      <c r="L123" s="74" t="s">
        <v>35</v>
      </c>
    </row>
    <row r="124" spans="1:12" ht="12.75" hidden="1" customHeight="1" x14ac:dyDescent="0.15">
      <c r="A124" s="73" t="s">
        <v>167</v>
      </c>
      <c r="B124" s="89">
        <v>17</v>
      </c>
      <c r="C124" s="74" t="s">
        <v>144</v>
      </c>
      <c r="D124" s="74"/>
      <c r="E124" s="74" t="s">
        <v>49</v>
      </c>
      <c r="F124" s="74"/>
      <c r="G124" s="74" t="s">
        <v>41</v>
      </c>
      <c r="H124" s="74"/>
      <c r="I124" s="83" t="str">
        <f t="shared" si="3"/>
        <v>http://www.aidedd.org/dnd/monstres.php?vo=Dragon,-gold,-adult</v>
      </c>
      <c r="J124" s="83"/>
      <c r="K124" s="74" t="s">
        <v>2</v>
      </c>
      <c r="L124" s="74" t="s">
        <v>2</v>
      </c>
    </row>
    <row r="125" spans="1:12" ht="12.75" hidden="1" customHeight="1" x14ac:dyDescent="0.15">
      <c r="A125" s="73" t="s">
        <v>168</v>
      </c>
      <c r="B125" s="89">
        <v>24</v>
      </c>
      <c r="C125" s="74" t="s">
        <v>144</v>
      </c>
      <c r="D125" s="74"/>
      <c r="E125" s="74" t="s">
        <v>145</v>
      </c>
      <c r="F125" s="74"/>
      <c r="G125" s="74" t="s">
        <v>41</v>
      </c>
      <c r="H125" s="74"/>
      <c r="I125" s="83" t="str">
        <f t="shared" si="3"/>
        <v>http://www.aidedd.org/dnd/monstres.php?vo=Dragon,-gold,-ancient</v>
      </c>
      <c r="J125" s="83"/>
      <c r="K125" s="74" t="s">
        <v>2</v>
      </c>
      <c r="L125" s="74" t="s">
        <v>2</v>
      </c>
    </row>
    <row r="126" spans="1:12" ht="12.75" hidden="1" customHeight="1" x14ac:dyDescent="0.15">
      <c r="A126" s="73" t="s">
        <v>169</v>
      </c>
      <c r="B126" s="89">
        <v>3</v>
      </c>
      <c r="C126" s="74" t="s">
        <v>144</v>
      </c>
      <c r="D126" s="74"/>
      <c r="E126" s="74" t="s">
        <v>19</v>
      </c>
      <c r="F126" s="74"/>
      <c r="G126" s="74" t="s">
        <v>41</v>
      </c>
      <c r="H126" s="74"/>
      <c r="I126" s="83" t="str">
        <f t="shared" si="3"/>
        <v>http://www.aidedd.org/dnd/monstres.php?vo=Dragon,-gold,-wyrmling</v>
      </c>
      <c r="J126" s="83"/>
      <c r="K126" s="74" t="s">
        <v>35</v>
      </c>
      <c r="L126" s="74" t="s">
        <v>35</v>
      </c>
    </row>
    <row r="127" spans="1:12" ht="12.75" hidden="1" customHeight="1" x14ac:dyDescent="0.15">
      <c r="A127" s="73" t="s">
        <v>170</v>
      </c>
      <c r="B127" s="89">
        <v>10</v>
      </c>
      <c r="C127" s="74" t="s">
        <v>144</v>
      </c>
      <c r="D127" s="74"/>
      <c r="E127" s="74" t="s">
        <v>38</v>
      </c>
      <c r="F127" s="74"/>
      <c r="G127" s="74" t="s">
        <v>41</v>
      </c>
      <c r="H127" s="74"/>
      <c r="I127" s="83" t="str">
        <f t="shared" si="3"/>
        <v>http://www.aidedd.org/dnd/monstres.php?vo=Dragon,-gold,-young</v>
      </c>
      <c r="J127" s="83"/>
      <c r="K127" s="74" t="s">
        <v>35</v>
      </c>
      <c r="L127" s="74" t="s">
        <v>35</v>
      </c>
    </row>
    <row r="128" spans="1:12" ht="12.75" hidden="1" customHeight="1" x14ac:dyDescent="0.15">
      <c r="A128" s="73" t="s">
        <v>171</v>
      </c>
      <c r="B128" s="89">
        <v>15</v>
      </c>
      <c r="C128" s="74" t="s">
        <v>144</v>
      </c>
      <c r="D128" s="74"/>
      <c r="E128" s="74" t="s">
        <v>49</v>
      </c>
      <c r="F128" s="74"/>
      <c r="G128" s="74" t="s">
        <v>39</v>
      </c>
      <c r="H128" s="74"/>
      <c r="I128" s="83" t="str">
        <f t="shared" si="3"/>
        <v>http://www.aidedd.org/dnd/monstres.php?vo=Dragon,-green,-adult</v>
      </c>
      <c r="J128" s="83"/>
      <c r="K128" s="74" t="s">
        <v>2</v>
      </c>
      <c r="L128" s="74" t="s">
        <v>2</v>
      </c>
    </row>
    <row r="129" spans="1:12" ht="12.75" hidden="1" customHeight="1" x14ac:dyDescent="0.15">
      <c r="A129" s="73" t="s">
        <v>172</v>
      </c>
      <c r="B129" s="89">
        <v>22</v>
      </c>
      <c r="C129" s="74" t="s">
        <v>144</v>
      </c>
      <c r="D129" s="74"/>
      <c r="E129" s="74" t="s">
        <v>145</v>
      </c>
      <c r="F129" s="74"/>
      <c r="G129" s="74" t="s">
        <v>39</v>
      </c>
      <c r="H129" s="74"/>
      <c r="I129" s="83" t="str">
        <f t="shared" si="3"/>
        <v>http://www.aidedd.org/dnd/monstres.php?vo=Dragon,-green,-ancient</v>
      </c>
      <c r="J129" s="83"/>
      <c r="K129" s="74" t="s">
        <v>2</v>
      </c>
      <c r="L129" s="74" t="s">
        <v>2</v>
      </c>
    </row>
    <row r="130" spans="1:12" ht="12.75" hidden="1" customHeight="1" x14ac:dyDescent="0.15">
      <c r="A130" s="73" t="s">
        <v>173</v>
      </c>
      <c r="B130" s="89">
        <v>2</v>
      </c>
      <c r="C130" s="74" t="s">
        <v>144</v>
      </c>
      <c r="D130" s="74"/>
      <c r="E130" s="74" t="s">
        <v>19</v>
      </c>
      <c r="F130" s="74"/>
      <c r="G130" s="74" t="s">
        <v>39</v>
      </c>
      <c r="H130" s="74"/>
      <c r="I130" s="83" t="str">
        <f t="shared" si="3"/>
        <v>http://www.aidedd.org/dnd/monstres.php?vo=Dragon,-green,-wyrmling</v>
      </c>
      <c r="J130" s="83"/>
      <c r="K130" s="74" t="s">
        <v>35</v>
      </c>
      <c r="L130" s="74" t="s">
        <v>35</v>
      </c>
    </row>
    <row r="131" spans="1:12" ht="12.75" hidden="1" customHeight="1" x14ac:dyDescent="0.15">
      <c r="A131" s="73" t="s">
        <v>174</v>
      </c>
      <c r="B131" s="89">
        <v>8</v>
      </c>
      <c r="C131" s="74" t="s">
        <v>144</v>
      </c>
      <c r="D131" s="74"/>
      <c r="E131" s="74" t="s">
        <v>38</v>
      </c>
      <c r="F131" s="74">
        <v>136</v>
      </c>
      <c r="G131" s="74" t="s">
        <v>39</v>
      </c>
      <c r="H131" s="74"/>
      <c r="I131" s="83" t="str">
        <f t="shared" ref="I131:I144" si="4">HYPERLINK("http://www.aidedd.org/dnd/monstres.php?vo="&amp;SUBSTITUTE(A131," ","-"))</f>
        <v>http://www.aidedd.org/dnd/monstres.php?vo=Dragon,-green,-young</v>
      </c>
      <c r="J131" s="83"/>
      <c r="K131" s="74" t="s">
        <v>35</v>
      </c>
      <c r="L131" s="74" t="s">
        <v>35</v>
      </c>
    </row>
    <row r="132" spans="1:12" ht="12.75" hidden="1" customHeight="1" x14ac:dyDescent="0.15">
      <c r="A132" s="73" t="s">
        <v>175</v>
      </c>
      <c r="B132" s="89">
        <v>17</v>
      </c>
      <c r="C132" s="74" t="s">
        <v>144</v>
      </c>
      <c r="D132" s="74"/>
      <c r="E132" s="74" t="s">
        <v>49</v>
      </c>
      <c r="F132" s="74"/>
      <c r="G132" s="74" t="s">
        <v>63</v>
      </c>
      <c r="H132" s="74"/>
      <c r="I132" s="83" t="str">
        <f t="shared" si="4"/>
        <v>http://www.aidedd.org/dnd/monstres.php?vo=Dragon,-red,-adult</v>
      </c>
      <c r="J132" s="83"/>
      <c r="K132" s="74" t="s">
        <v>2</v>
      </c>
      <c r="L132" s="74" t="s">
        <v>2</v>
      </c>
    </row>
    <row r="133" spans="1:12" ht="12.75" hidden="1" customHeight="1" x14ac:dyDescent="0.15">
      <c r="A133" s="73" t="s">
        <v>176</v>
      </c>
      <c r="B133" s="89">
        <v>24</v>
      </c>
      <c r="C133" s="74" t="s">
        <v>144</v>
      </c>
      <c r="D133" s="74"/>
      <c r="E133" s="74" t="s">
        <v>145</v>
      </c>
      <c r="F133" s="74"/>
      <c r="G133" s="74" t="s">
        <v>63</v>
      </c>
      <c r="H133" s="74"/>
      <c r="I133" s="83" t="str">
        <f t="shared" si="4"/>
        <v>http://www.aidedd.org/dnd/monstres.php?vo=Dragon,-red,-ancient</v>
      </c>
      <c r="J133" s="83"/>
      <c r="K133" s="74" t="s">
        <v>2</v>
      </c>
      <c r="L133" s="74" t="s">
        <v>2</v>
      </c>
    </row>
    <row r="134" spans="1:12" ht="12.75" hidden="1" customHeight="1" x14ac:dyDescent="0.15">
      <c r="A134" s="73" t="s">
        <v>177</v>
      </c>
      <c r="B134" s="89">
        <v>4</v>
      </c>
      <c r="C134" s="74" t="s">
        <v>144</v>
      </c>
      <c r="D134" s="74"/>
      <c r="E134" s="74" t="s">
        <v>19</v>
      </c>
      <c r="F134" s="74"/>
      <c r="G134" s="74" t="s">
        <v>63</v>
      </c>
      <c r="H134" s="74"/>
      <c r="I134" s="83" t="str">
        <f t="shared" si="4"/>
        <v>http://www.aidedd.org/dnd/monstres.php?vo=Dragon,-red,-wyrmling</v>
      </c>
      <c r="J134" s="83"/>
      <c r="K134" s="74" t="s">
        <v>35</v>
      </c>
      <c r="L134" s="74" t="s">
        <v>35</v>
      </c>
    </row>
    <row r="135" spans="1:12" ht="12.75" hidden="1" customHeight="1" x14ac:dyDescent="0.15">
      <c r="A135" s="73" t="s">
        <v>178</v>
      </c>
      <c r="B135" s="89">
        <v>10</v>
      </c>
      <c r="C135" s="74" t="s">
        <v>144</v>
      </c>
      <c r="D135" s="74"/>
      <c r="E135" s="74" t="s">
        <v>38</v>
      </c>
      <c r="F135" s="74"/>
      <c r="G135" s="74" t="s">
        <v>63</v>
      </c>
      <c r="H135" s="74"/>
      <c r="I135" s="83" t="str">
        <f t="shared" si="4"/>
        <v>http://www.aidedd.org/dnd/monstres.php?vo=Dragon,-red,-young</v>
      </c>
      <c r="J135" s="83"/>
      <c r="K135" s="74" t="s">
        <v>35</v>
      </c>
      <c r="L135" s="74" t="s">
        <v>35</v>
      </c>
    </row>
    <row r="136" spans="1:12" ht="12.75" hidden="1" customHeight="1" x14ac:dyDescent="0.15">
      <c r="A136" s="73" t="s">
        <v>179</v>
      </c>
      <c r="B136" s="89">
        <v>16</v>
      </c>
      <c r="C136" s="74" t="s">
        <v>144</v>
      </c>
      <c r="D136" s="74"/>
      <c r="E136" s="74" t="s">
        <v>49</v>
      </c>
      <c r="F136" s="74"/>
      <c r="G136" s="74" t="s">
        <v>41</v>
      </c>
      <c r="H136" s="74"/>
      <c r="I136" s="83" t="str">
        <f t="shared" si="4"/>
        <v>http://www.aidedd.org/dnd/monstres.php?vo=Dragon,-silver,-adult</v>
      </c>
      <c r="J136" s="83"/>
      <c r="K136" s="74" t="s">
        <v>2</v>
      </c>
      <c r="L136" s="74" t="s">
        <v>2</v>
      </c>
    </row>
    <row r="137" spans="1:12" ht="12.75" hidden="1" customHeight="1" x14ac:dyDescent="0.15">
      <c r="A137" s="73" t="s">
        <v>180</v>
      </c>
      <c r="B137" s="89">
        <v>23</v>
      </c>
      <c r="C137" s="74" t="s">
        <v>144</v>
      </c>
      <c r="D137" s="74"/>
      <c r="E137" s="74" t="s">
        <v>145</v>
      </c>
      <c r="F137" s="74"/>
      <c r="G137" s="74" t="s">
        <v>41</v>
      </c>
      <c r="H137" s="74"/>
      <c r="I137" s="83" t="str">
        <f t="shared" si="4"/>
        <v>http://www.aidedd.org/dnd/monstres.php?vo=Dragon,-silver,-ancient</v>
      </c>
      <c r="J137" s="83"/>
      <c r="K137" s="74" t="s">
        <v>2</v>
      </c>
      <c r="L137" s="74" t="s">
        <v>2</v>
      </c>
    </row>
    <row r="138" spans="1:12" ht="12.75" hidden="1" customHeight="1" x14ac:dyDescent="0.15">
      <c r="A138" s="73" t="s">
        <v>181</v>
      </c>
      <c r="B138" s="89">
        <v>2</v>
      </c>
      <c r="C138" s="74" t="s">
        <v>144</v>
      </c>
      <c r="D138" s="74"/>
      <c r="E138" s="74" t="s">
        <v>19</v>
      </c>
      <c r="F138" s="74"/>
      <c r="G138" s="74" t="s">
        <v>41</v>
      </c>
      <c r="H138" s="74"/>
      <c r="I138" s="83" t="str">
        <f t="shared" si="4"/>
        <v>http://www.aidedd.org/dnd/monstres.php?vo=Dragon,-silver,-wyrmling</v>
      </c>
      <c r="J138" s="83"/>
      <c r="K138" s="74" t="s">
        <v>35</v>
      </c>
      <c r="L138" s="74" t="s">
        <v>35</v>
      </c>
    </row>
    <row r="139" spans="1:12" ht="12.75" hidden="1" customHeight="1" x14ac:dyDescent="0.15">
      <c r="A139" s="73" t="s">
        <v>182</v>
      </c>
      <c r="B139" s="89">
        <v>9</v>
      </c>
      <c r="C139" s="74" t="s">
        <v>144</v>
      </c>
      <c r="D139" s="74"/>
      <c r="E139" s="74" t="s">
        <v>38</v>
      </c>
      <c r="F139" s="74"/>
      <c r="G139" s="74" t="s">
        <v>41</v>
      </c>
      <c r="H139" s="74"/>
      <c r="I139" s="83" t="str">
        <f t="shared" si="4"/>
        <v>http://www.aidedd.org/dnd/monstres.php?vo=Dragon,-silver,-young</v>
      </c>
      <c r="J139" s="83"/>
      <c r="K139" s="74" t="s">
        <v>35</v>
      </c>
      <c r="L139" s="74" t="s">
        <v>35</v>
      </c>
    </row>
    <row r="140" spans="1:12" ht="12.75" hidden="1" customHeight="1" x14ac:dyDescent="0.15">
      <c r="A140" s="73" t="s">
        <v>183</v>
      </c>
      <c r="B140" s="89">
        <v>13</v>
      </c>
      <c r="C140" s="74" t="s">
        <v>144</v>
      </c>
      <c r="D140" s="74"/>
      <c r="E140" s="74" t="s">
        <v>49</v>
      </c>
      <c r="F140" s="74"/>
      <c r="G140" s="74" t="s">
        <v>63</v>
      </c>
      <c r="H140" s="74"/>
      <c r="I140" s="83" t="str">
        <f t="shared" si="4"/>
        <v>http://www.aidedd.org/dnd/monstres.php?vo=Dragon,-white,-adult</v>
      </c>
      <c r="J140" s="83"/>
      <c r="K140" s="74" t="s">
        <v>2</v>
      </c>
      <c r="L140" s="74" t="s">
        <v>2</v>
      </c>
    </row>
    <row r="141" spans="1:12" ht="12.75" hidden="1" customHeight="1" x14ac:dyDescent="0.15">
      <c r="A141" s="73" t="s">
        <v>184</v>
      </c>
      <c r="B141" s="89">
        <v>20</v>
      </c>
      <c r="C141" s="74" t="s">
        <v>144</v>
      </c>
      <c r="D141" s="74"/>
      <c r="E141" s="74" t="s">
        <v>145</v>
      </c>
      <c r="F141" s="74"/>
      <c r="G141" s="74" t="s">
        <v>63</v>
      </c>
      <c r="H141" s="74"/>
      <c r="I141" s="83" t="str">
        <f t="shared" si="4"/>
        <v>http://www.aidedd.org/dnd/monstres.php?vo=Dragon,-white,-ancient</v>
      </c>
      <c r="J141" s="83"/>
      <c r="K141" s="74" t="s">
        <v>2</v>
      </c>
      <c r="L141" s="74" t="s">
        <v>2</v>
      </c>
    </row>
    <row r="142" spans="1:12" ht="12.75" hidden="1" customHeight="1" x14ac:dyDescent="0.15">
      <c r="A142" s="73" t="s">
        <v>185</v>
      </c>
      <c r="B142" s="89">
        <v>2</v>
      </c>
      <c r="C142" s="74" t="s">
        <v>144</v>
      </c>
      <c r="D142" s="74"/>
      <c r="E142" s="74" t="s">
        <v>19</v>
      </c>
      <c r="F142" s="74"/>
      <c r="G142" s="74" t="s">
        <v>63</v>
      </c>
      <c r="H142" s="74"/>
      <c r="I142" s="83" t="str">
        <f t="shared" si="4"/>
        <v>http://www.aidedd.org/dnd/monstres.php?vo=Dragon,-white,-wyrmling</v>
      </c>
      <c r="J142" s="83"/>
      <c r="K142" s="74" t="s">
        <v>35</v>
      </c>
      <c r="L142" s="74" t="s">
        <v>35</v>
      </c>
    </row>
    <row r="143" spans="1:12" ht="12.75" hidden="1" customHeight="1" x14ac:dyDescent="0.15">
      <c r="A143" s="73" t="s">
        <v>186</v>
      </c>
      <c r="B143" s="89">
        <v>6</v>
      </c>
      <c r="C143" s="74" t="s">
        <v>144</v>
      </c>
      <c r="D143" s="74"/>
      <c r="E143" s="74" t="s">
        <v>38</v>
      </c>
      <c r="F143" s="74"/>
      <c r="G143" s="74" t="s">
        <v>63</v>
      </c>
      <c r="H143" s="74"/>
      <c r="I143" s="83" t="str">
        <f t="shared" si="4"/>
        <v>http://www.aidedd.org/dnd/monstres.php?vo=Dragon,-white,-young</v>
      </c>
      <c r="J143" s="83"/>
      <c r="K143" s="74" t="s">
        <v>35</v>
      </c>
      <c r="L143" s="74" t="s">
        <v>35</v>
      </c>
    </row>
    <row r="144" spans="1:12" ht="12.75" hidden="1" customHeight="1" x14ac:dyDescent="0.15">
      <c r="A144" s="73" t="s">
        <v>187</v>
      </c>
      <c r="B144" s="89">
        <v>6</v>
      </c>
      <c r="C144" s="74" t="s">
        <v>45</v>
      </c>
      <c r="D144" s="74"/>
      <c r="E144" s="74" t="s">
        <v>38</v>
      </c>
      <c r="F144" s="74"/>
      <c r="G144" s="74" t="s">
        <v>63</v>
      </c>
      <c r="H144" s="74"/>
      <c r="I144" s="83" t="str">
        <f t="shared" si="4"/>
        <v>http://www.aidedd.org/dnd/monstres.php?vo=Drider</v>
      </c>
      <c r="J144" s="83"/>
      <c r="K144" s="74" t="s">
        <v>35</v>
      </c>
      <c r="L144" s="74" t="s">
        <v>35</v>
      </c>
    </row>
    <row r="145" spans="1:12" ht="12.75" hidden="1" customHeight="1" x14ac:dyDescent="0.15">
      <c r="A145" s="72" t="s">
        <v>813</v>
      </c>
      <c r="B145" s="72">
        <v>7</v>
      </c>
      <c r="C145" s="72" t="s">
        <v>81</v>
      </c>
      <c r="E145" s="91" t="s">
        <v>19</v>
      </c>
      <c r="F145" s="72">
        <v>91</v>
      </c>
      <c r="G145" s="72" t="s">
        <v>63</v>
      </c>
      <c r="H145" s="72">
        <v>3</v>
      </c>
      <c r="I145" s="83"/>
      <c r="J145" s="72" t="s">
        <v>814</v>
      </c>
    </row>
    <row r="146" spans="1:12" ht="12.75" hidden="1" customHeight="1" x14ac:dyDescent="0.15">
      <c r="A146" s="73" t="s">
        <v>189</v>
      </c>
      <c r="B146" s="89">
        <v>1</v>
      </c>
      <c r="C146" s="74" t="s">
        <v>33</v>
      </c>
      <c r="D146" s="74" t="s">
        <v>190</v>
      </c>
      <c r="E146" s="74" t="s">
        <v>19</v>
      </c>
      <c r="F146" s="74"/>
      <c r="G146" s="74" t="s">
        <v>39</v>
      </c>
      <c r="H146" s="74"/>
      <c r="I146" s="83" t="str">
        <f t="shared" ref="I146:I177" si="5">HYPERLINK("http://www.aidedd.org/dnd/monstres.php?vo="&amp;SUBSTITUTE(A146," ","-"))</f>
        <v>http://www.aidedd.org/dnd/monstres.php?vo=Duergar</v>
      </c>
      <c r="J146" s="83"/>
      <c r="K146" s="74" t="s">
        <v>35</v>
      </c>
      <c r="L146" s="74" t="s">
        <v>35</v>
      </c>
    </row>
    <row r="147" spans="1:12" ht="12.75" hidden="1" customHeight="1" x14ac:dyDescent="0.15">
      <c r="A147" s="73" t="s">
        <v>191</v>
      </c>
      <c r="B147" s="89">
        <v>0</v>
      </c>
      <c r="C147" s="74" t="s">
        <v>48</v>
      </c>
      <c r="D147" s="74"/>
      <c r="E147" s="74" t="s">
        <v>43</v>
      </c>
      <c r="F147" s="74">
        <v>3</v>
      </c>
      <c r="G147" s="74"/>
      <c r="H147" s="74"/>
      <c r="I147" s="83" t="str">
        <f t="shared" si="5"/>
        <v>http://www.aidedd.org/dnd/monstres.php?vo=Eagle</v>
      </c>
      <c r="J147" s="83"/>
      <c r="K147" s="74" t="s">
        <v>35</v>
      </c>
      <c r="L147" s="74" t="s">
        <v>35</v>
      </c>
    </row>
    <row r="148" spans="1:12" ht="12.75" hidden="1" customHeight="1" x14ac:dyDescent="0.15">
      <c r="A148" s="73" t="s">
        <v>192</v>
      </c>
      <c r="B148" s="89">
        <v>1</v>
      </c>
      <c r="C148" s="74" t="s">
        <v>48</v>
      </c>
      <c r="D148" s="74"/>
      <c r="E148" s="74" t="s">
        <v>38</v>
      </c>
      <c r="F148" s="74"/>
      <c r="G148" s="74" t="s">
        <v>34</v>
      </c>
      <c r="H148" s="74"/>
      <c r="I148" s="83" t="str">
        <f t="shared" si="5"/>
        <v>http://www.aidedd.org/dnd/monstres.php?vo=Eagle,-giant</v>
      </c>
      <c r="J148" s="83"/>
      <c r="K148" s="74" t="s">
        <v>35</v>
      </c>
      <c r="L148" s="74" t="s">
        <v>35</v>
      </c>
    </row>
    <row r="149" spans="1:12" ht="12.75" hidden="1" customHeight="1" x14ac:dyDescent="0.15">
      <c r="A149" s="73" t="s">
        <v>193</v>
      </c>
      <c r="B149" s="89">
        <v>5</v>
      </c>
      <c r="C149" s="74" t="s">
        <v>55</v>
      </c>
      <c r="D149" s="74"/>
      <c r="E149" s="74" t="s">
        <v>38</v>
      </c>
      <c r="F149" s="74"/>
      <c r="G149" s="74" t="s">
        <v>35</v>
      </c>
      <c r="H149" s="74"/>
      <c r="I149" s="83" t="str">
        <f t="shared" si="5"/>
        <v>http://www.aidedd.org/dnd/monstres.php?vo=Elemental,-air</v>
      </c>
      <c r="J149" s="83"/>
      <c r="K149" s="74" t="s">
        <v>35</v>
      </c>
      <c r="L149" s="74" t="s">
        <v>35</v>
      </c>
    </row>
    <row r="150" spans="1:12" ht="12.75" hidden="1" customHeight="1" x14ac:dyDescent="0.15">
      <c r="A150" s="73" t="s">
        <v>194</v>
      </c>
      <c r="B150" s="89">
        <v>5</v>
      </c>
      <c r="C150" s="74" t="s">
        <v>55</v>
      </c>
      <c r="D150" s="74"/>
      <c r="E150" s="74" t="s">
        <v>38</v>
      </c>
      <c r="F150" s="74"/>
      <c r="G150" s="74" t="s">
        <v>35</v>
      </c>
      <c r="H150" s="74"/>
      <c r="I150" s="83" t="str">
        <f t="shared" si="5"/>
        <v>http://www.aidedd.org/dnd/monstres.php?vo=Elemental,-earth</v>
      </c>
      <c r="J150" s="83"/>
      <c r="K150" s="74" t="s">
        <v>35</v>
      </c>
      <c r="L150" s="74" t="s">
        <v>35</v>
      </c>
    </row>
    <row r="151" spans="1:12" ht="12.75" hidden="1" customHeight="1" x14ac:dyDescent="0.15">
      <c r="A151" s="73" t="s">
        <v>195</v>
      </c>
      <c r="B151" s="89">
        <v>5</v>
      </c>
      <c r="C151" s="74" t="s">
        <v>55</v>
      </c>
      <c r="D151" s="74"/>
      <c r="E151" s="74" t="s">
        <v>38</v>
      </c>
      <c r="F151" s="74"/>
      <c r="G151" s="74" t="s">
        <v>35</v>
      </c>
      <c r="H151" s="74"/>
      <c r="I151" s="83" t="str">
        <f t="shared" si="5"/>
        <v>http://www.aidedd.org/dnd/monstres.php?vo=Elemental,-fire</v>
      </c>
      <c r="J151" s="83"/>
      <c r="K151" s="74" t="s">
        <v>35</v>
      </c>
      <c r="L151" s="74" t="s">
        <v>35</v>
      </c>
    </row>
    <row r="152" spans="1:12" ht="12.75" hidden="1" customHeight="1" x14ac:dyDescent="0.15">
      <c r="A152" s="73" t="s">
        <v>196</v>
      </c>
      <c r="B152" s="89">
        <v>5</v>
      </c>
      <c r="C152" s="74" t="s">
        <v>55</v>
      </c>
      <c r="D152" s="74"/>
      <c r="E152" s="74" t="s">
        <v>38</v>
      </c>
      <c r="F152" s="74"/>
      <c r="G152" s="74" t="s">
        <v>35</v>
      </c>
      <c r="H152" s="74"/>
      <c r="I152" s="83" t="str">
        <f t="shared" si="5"/>
        <v>http://www.aidedd.org/dnd/monstres.php?vo=Elemental,-water</v>
      </c>
      <c r="J152" s="83"/>
      <c r="K152" s="74" t="s">
        <v>35</v>
      </c>
      <c r="L152" s="74" t="s">
        <v>35</v>
      </c>
    </row>
    <row r="153" spans="1:12" ht="12.75" hidden="1" customHeight="1" x14ac:dyDescent="0.15">
      <c r="A153" s="73" t="s">
        <v>197</v>
      </c>
      <c r="B153" s="89">
        <v>4</v>
      </c>
      <c r="C153" s="74" t="s">
        <v>48</v>
      </c>
      <c r="D153" s="74"/>
      <c r="E153" s="74" t="s">
        <v>49</v>
      </c>
      <c r="F153" s="74">
        <v>76</v>
      </c>
      <c r="G153" s="74"/>
      <c r="H153" s="74"/>
      <c r="I153" s="83" t="str">
        <f t="shared" si="5"/>
        <v>http://www.aidedd.org/dnd/monstres.php?vo=Elephant</v>
      </c>
      <c r="J153" s="83"/>
      <c r="K153" s="74" t="s">
        <v>35</v>
      </c>
      <c r="L153" s="74" t="s">
        <v>35</v>
      </c>
    </row>
    <row r="154" spans="1:12" ht="12.75" hidden="1" customHeight="1" x14ac:dyDescent="0.15">
      <c r="A154" s="73" t="s">
        <v>198</v>
      </c>
      <c r="B154" s="89" t="s">
        <v>32</v>
      </c>
      <c r="C154" s="74" t="s">
        <v>33</v>
      </c>
      <c r="D154" s="74" t="s">
        <v>199</v>
      </c>
      <c r="E154" s="74" t="s">
        <v>19</v>
      </c>
      <c r="F154" s="74"/>
      <c r="G154" s="74" t="s">
        <v>70</v>
      </c>
      <c r="H154" s="74"/>
      <c r="I154" s="83" t="str">
        <f t="shared" si="5"/>
        <v>http://www.aidedd.org/dnd/monstres.php?vo=Elf,-drow</v>
      </c>
      <c r="J154" s="83"/>
      <c r="K154" s="74" t="s">
        <v>35</v>
      </c>
      <c r="L154" s="74" t="s">
        <v>35</v>
      </c>
    </row>
    <row r="155" spans="1:12" ht="12.75" hidden="1" customHeight="1" x14ac:dyDescent="0.15">
      <c r="A155" s="73" t="s">
        <v>200</v>
      </c>
      <c r="B155" s="89">
        <v>5</v>
      </c>
      <c r="C155" s="74" t="s">
        <v>33</v>
      </c>
      <c r="D155" s="74" t="s">
        <v>199</v>
      </c>
      <c r="E155" s="74" t="s">
        <v>19</v>
      </c>
      <c r="F155" s="74"/>
      <c r="G155" s="74" t="s">
        <v>70</v>
      </c>
      <c r="H155" s="74"/>
      <c r="I155" s="83" t="str">
        <f t="shared" si="5"/>
        <v>http://www.aidedd.org/dnd/monstres.php?vo=Elf,-drow,-elite-warrior</v>
      </c>
      <c r="J155" s="83"/>
      <c r="K155" s="74" t="s">
        <v>35</v>
      </c>
      <c r="L155" s="74" t="s">
        <v>35</v>
      </c>
    </row>
    <row r="156" spans="1:12" ht="12.75" hidden="1" customHeight="1" x14ac:dyDescent="0.15">
      <c r="A156" s="73" t="s">
        <v>201</v>
      </c>
      <c r="B156" s="89">
        <v>7</v>
      </c>
      <c r="C156" s="74" t="s">
        <v>33</v>
      </c>
      <c r="D156" s="74" t="s">
        <v>199</v>
      </c>
      <c r="E156" s="74" t="s">
        <v>19</v>
      </c>
      <c r="F156" s="74"/>
      <c r="G156" s="74" t="s">
        <v>70</v>
      </c>
      <c r="H156" s="74"/>
      <c r="I156" s="83" t="str">
        <f t="shared" si="5"/>
        <v>http://www.aidedd.org/dnd/monstres.php?vo=Elf,-drow,-mage</v>
      </c>
      <c r="J156" s="83"/>
      <c r="K156" s="74" t="s">
        <v>35</v>
      </c>
      <c r="L156" s="74" t="s">
        <v>35</v>
      </c>
    </row>
    <row r="157" spans="1:12" ht="12.75" hidden="1" customHeight="1" x14ac:dyDescent="0.15">
      <c r="A157" s="73" t="s">
        <v>202</v>
      </c>
      <c r="B157" s="89">
        <v>8</v>
      </c>
      <c r="C157" s="74" t="s">
        <v>33</v>
      </c>
      <c r="D157" s="74" t="s">
        <v>199</v>
      </c>
      <c r="E157" s="74" t="s">
        <v>19</v>
      </c>
      <c r="F157" s="74"/>
      <c r="G157" s="74" t="s">
        <v>70</v>
      </c>
      <c r="H157" s="74"/>
      <c r="I157" s="83" t="str">
        <f t="shared" si="5"/>
        <v>http://www.aidedd.org/dnd/monstres.php?vo=Elf,-drow,-priestess-of-Lolth</v>
      </c>
      <c r="J157" s="83"/>
      <c r="K157" s="74" t="s">
        <v>35</v>
      </c>
      <c r="L157" s="74" t="s">
        <v>35</v>
      </c>
    </row>
    <row r="158" spans="1:12" ht="12.75" hidden="1" customHeight="1" x14ac:dyDescent="0.15">
      <c r="A158" s="73" t="s">
        <v>203</v>
      </c>
      <c r="B158" s="89" t="s">
        <v>32</v>
      </c>
      <c r="C158" s="74" t="s">
        <v>48</v>
      </c>
      <c r="D158" s="74"/>
      <c r="E158" s="74" t="s">
        <v>38</v>
      </c>
      <c r="F158" s="74">
        <v>13</v>
      </c>
      <c r="G158" s="74"/>
      <c r="H158" s="74"/>
      <c r="I158" s="83" t="str">
        <f t="shared" si="5"/>
        <v>http://www.aidedd.org/dnd/monstres.php?vo=Elk</v>
      </c>
      <c r="J158" s="83"/>
      <c r="K158" s="74" t="s">
        <v>35</v>
      </c>
      <c r="L158" s="74" t="s">
        <v>35</v>
      </c>
    </row>
    <row r="159" spans="1:12" ht="12.75" hidden="1" customHeight="1" x14ac:dyDescent="0.15">
      <c r="A159" s="73" t="s">
        <v>204</v>
      </c>
      <c r="B159" s="89">
        <v>2</v>
      </c>
      <c r="C159" s="74" t="s">
        <v>48</v>
      </c>
      <c r="D159" s="74"/>
      <c r="E159" s="74" t="s">
        <v>49</v>
      </c>
      <c r="F159" s="74">
        <v>42</v>
      </c>
      <c r="G159" s="74"/>
      <c r="H159" s="74"/>
      <c r="I159" s="83" t="str">
        <f t="shared" si="5"/>
        <v>http://www.aidedd.org/dnd/monstres.php?vo=Elk,-giant</v>
      </c>
      <c r="J159" s="83"/>
      <c r="K159" s="74" t="s">
        <v>35</v>
      </c>
      <c r="L159" s="74" t="s">
        <v>35</v>
      </c>
    </row>
    <row r="160" spans="1:12" ht="12.75" hidden="1" customHeight="1" x14ac:dyDescent="0.15">
      <c r="A160" s="73" t="s">
        <v>205</v>
      </c>
      <c r="B160" s="89">
        <v>23</v>
      </c>
      <c r="C160" s="74" t="s">
        <v>40</v>
      </c>
      <c r="D160" s="74" t="s">
        <v>206</v>
      </c>
      <c r="E160" s="74" t="s">
        <v>49</v>
      </c>
      <c r="F160" s="74"/>
      <c r="G160" s="74" t="s">
        <v>155</v>
      </c>
      <c r="H160" s="74"/>
      <c r="I160" s="83" t="str">
        <f t="shared" si="5"/>
        <v>http://www.aidedd.org/dnd/monstres.php?vo=Empyrean</v>
      </c>
      <c r="J160" s="83"/>
      <c r="K160" s="74" t="s">
        <v>2</v>
      </c>
      <c r="L160" s="74" t="s">
        <v>35</v>
      </c>
    </row>
    <row r="161" spans="1:12" ht="12.75" hidden="1" customHeight="1" x14ac:dyDescent="0.15">
      <c r="A161" s="73" t="s">
        <v>205</v>
      </c>
      <c r="B161" s="89">
        <v>23</v>
      </c>
      <c r="C161" s="74" t="s">
        <v>40</v>
      </c>
      <c r="D161" s="74" t="s">
        <v>206</v>
      </c>
      <c r="E161" s="74" t="s">
        <v>49</v>
      </c>
      <c r="F161" s="74"/>
      <c r="G161" s="74" t="s">
        <v>70</v>
      </c>
      <c r="H161" s="74"/>
      <c r="I161" s="83" t="str">
        <f t="shared" si="5"/>
        <v>http://www.aidedd.org/dnd/monstres.php?vo=Empyrean</v>
      </c>
      <c r="J161" s="83"/>
      <c r="K161" s="74" t="s">
        <v>2</v>
      </c>
      <c r="L161" s="74" t="s">
        <v>35</v>
      </c>
    </row>
    <row r="162" spans="1:12" ht="12.75" hidden="1" customHeight="1" x14ac:dyDescent="0.15">
      <c r="A162" s="73" t="s">
        <v>207</v>
      </c>
      <c r="B162" s="89">
        <v>2</v>
      </c>
      <c r="C162" s="74" t="s">
        <v>45</v>
      </c>
      <c r="D162" s="74"/>
      <c r="E162" s="74" t="s">
        <v>19</v>
      </c>
      <c r="F162" s="74">
        <v>44</v>
      </c>
      <c r="G162" s="74" t="s">
        <v>70</v>
      </c>
      <c r="H162" s="74">
        <v>2</v>
      </c>
      <c r="I162" s="83" t="str">
        <f t="shared" si="5"/>
        <v>http://www.aidedd.org/dnd/monstres.php?vo=Ettercap</v>
      </c>
      <c r="J162" s="83"/>
      <c r="K162" s="74" t="s">
        <v>35</v>
      </c>
      <c r="L162" s="74" t="s">
        <v>35</v>
      </c>
    </row>
    <row r="163" spans="1:12" ht="12.75" hidden="1" customHeight="1" x14ac:dyDescent="0.15">
      <c r="A163" s="73" t="s">
        <v>208</v>
      </c>
      <c r="B163" s="89">
        <v>4</v>
      </c>
      <c r="C163" s="74" t="s">
        <v>109</v>
      </c>
      <c r="D163" s="74"/>
      <c r="E163" s="74" t="s">
        <v>38</v>
      </c>
      <c r="F163" s="74"/>
      <c r="G163" s="74" t="s">
        <v>63</v>
      </c>
      <c r="H163" s="74"/>
      <c r="I163" s="83" t="str">
        <f t="shared" si="5"/>
        <v>http://www.aidedd.org/dnd/monstres.php?vo=Ettin</v>
      </c>
      <c r="J163" s="83"/>
      <c r="K163" s="74" t="s">
        <v>35</v>
      </c>
      <c r="L163" s="74" t="s">
        <v>35</v>
      </c>
    </row>
    <row r="164" spans="1:12" ht="12.75" hidden="1" customHeight="1" x14ac:dyDescent="0.15">
      <c r="A164" s="73" t="s">
        <v>209</v>
      </c>
      <c r="B164" s="89" t="s">
        <v>210</v>
      </c>
      <c r="C164" s="74" t="s">
        <v>144</v>
      </c>
      <c r="D164" s="74"/>
      <c r="E164" s="74" t="s">
        <v>59</v>
      </c>
      <c r="F164" s="74"/>
      <c r="G164" s="74" t="s">
        <v>155</v>
      </c>
      <c r="H164" s="74"/>
      <c r="I164" s="83" t="str">
        <f t="shared" si="5"/>
        <v>http://www.aidedd.org/dnd/monstres.php?vo=Faerie-Dragon</v>
      </c>
      <c r="J164" s="83"/>
      <c r="K164" s="74" t="s">
        <v>35</v>
      </c>
      <c r="L164" s="74" t="s">
        <v>35</v>
      </c>
    </row>
    <row r="165" spans="1:12" ht="12.75" hidden="1" customHeight="1" x14ac:dyDescent="0.15">
      <c r="A165" s="73" t="s">
        <v>211</v>
      </c>
      <c r="B165" s="89">
        <v>0</v>
      </c>
      <c r="C165" s="74" t="s">
        <v>48</v>
      </c>
      <c r="D165" s="74"/>
      <c r="E165" s="74" t="s">
        <v>43</v>
      </c>
      <c r="F165" s="74"/>
      <c r="G165" s="74"/>
      <c r="H165" s="74"/>
      <c r="I165" s="83" t="str">
        <f t="shared" si="5"/>
        <v>http://www.aidedd.org/dnd/monstres.php?vo=Fire-beetle,-giant</v>
      </c>
      <c r="J165" s="83"/>
      <c r="K165" s="74" t="s">
        <v>35</v>
      </c>
      <c r="L165" s="74" t="s">
        <v>35</v>
      </c>
    </row>
    <row r="166" spans="1:12" ht="12.75" hidden="1" customHeight="1" x14ac:dyDescent="0.15">
      <c r="A166" s="73" t="s">
        <v>212</v>
      </c>
      <c r="B166" s="89">
        <v>4</v>
      </c>
      <c r="C166" s="74" t="s">
        <v>62</v>
      </c>
      <c r="D166" s="74"/>
      <c r="E166" s="74" t="s">
        <v>59</v>
      </c>
      <c r="F166" s="74">
        <v>40</v>
      </c>
      <c r="G166" s="74" t="s">
        <v>70</v>
      </c>
      <c r="H166" s="74"/>
      <c r="I166" s="83" t="str">
        <f t="shared" si="5"/>
        <v>http://www.aidedd.org/dnd/monstres.php?vo=Flameskull</v>
      </c>
      <c r="J166" s="83"/>
      <c r="K166" s="74" t="s">
        <v>35</v>
      </c>
      <c r="L166" s="74" t="s">
        <v>35</v>
      </c>
    </row>
    <row r="167" spans="1:12" ht="12.75" hidden="1" customHeight="1" x14ac:dyDescent="0.15">
      <c r="A167" s="73" t="s">
        <v>213</v>
      </c>
      <c r="B167" s="89" t="s">
        <v>78</v>
      </c>
      <c r="C167" s="74" t="s">
        <v>37</v>
      </c>
      <c r="D167" s="74"/>
      <c r="E167" s="74" t="s">
        <v>43</v>
      </c>
      <c r="F167" s="74"/>
      <c r="G167" s="74" t="s">
        <v>41</v>
      </c>
      <c r="H167" s="74"/>
      <c r="I167" s="83" t="str">
        <f t="shared" si="5"/>
        <v>http://www.aidedd.org/dnd/monstres.php?vo=Flumph</v>
      </c>
      <c r="J167" s="83"/>
      <c r="K167" s="74" t="s">
        <v>35</v>
      </c>
      <c r="L167" s="74" t="s">
        <v>35</v>
      </c>
    </row>
    <row r="168" spans="1:12" ht="12.75" hidden="1" customHeight="1" x14ac:dyDescent="0.15">
      <c r="A168" s="73" t="s">
        <v>214</v>
      </c>
      <c r="B168" s="89">
        <v>8</v>
      </c>
      <c r="C168" s="74" t="s">
        <v>109</v>
      </c>
      <c r="D168" s="74"/>
      <c r="E168" s="74" t="s">
        <v>49</v>
      </c>
      <c r="F168" s="74"/>
      <c r="G168" s="74" t="s">
        <v>63</v>
      </c>
      <c r="H168" s="74"/>
      <c r="I168" s="83" t="str">
        <f t="shared" si="5"/>
        <v>http://www.aidedd.org/dnd/monstres.php?vo=Fomorian</v>
      </c>
      <c r="J168" s="83"/>
      <c r="K168" s="74" t="s">
        <v>35</v>
      </c>
      <c r="L168" s="74" t="s">
        <v>35</v>
      </c>
    </row>
    <row r="169" spans="1:12" ht="12.75" hidden="1" customHeight="1" x14ac:dyDescent="0.15">
      <c r="A169" s="73" t="s">
        <v>215</v>
      </c>
      <c r="B169" s="89">
        <v>0</v>
      </c>
      <c r="C169" s="74" t="s">
        <v>48</v>
      </c>
      <c r="D169" s="74"/>
      <c r="E169" s="74" t="s">
        <v>59</v>
      </c>
      <c r="F169" s="74">
        <v>1</v>
      </c>
      <c r="G169" s="74"/>
      <c r="H169" s="74"/>
      <c r="I169" s="83" t="str">
        <f t="shared" si="5"/>
        <v>http://www.aidedd.org/dnd/monstres.php?vo=Frog</v>
      </c>
      <c r="J169" s="83"/>
      <c r="K169" s="74" t="s">
        <v>35</v>
      </c>
      <c r="L169" s="74" t="s">
        <v>35</v>
      </c>
    </row>
    <row r="170" spans="1:12" ht="12.75" hidden="1" customHeight="1" x14ac:dyDescent="0.15">
      <c r="A170" s="73" t="s">
        <v>216</v>
      </c>
      <c r="B170" s="89" t="s">
        <v>32</v>
      </c>
      <c r="C170" s="74" t="s">
        <v>48</v>
      </c>
      <c r="D170" s="74"/>
      <c r="E170" s="74" t="s">
        <v>19</v>
      </c>
      <c r="F170" s="74"/>
      <c r="G170" s="74"/>
      <c r="H170" s="74"/>
      <c r="I170" s="83" t="str">
        <f t="shared" si="5"/>
        <v>http://www.aidedd.org/dnd/monstres.php?vo=Frog,-giant</v>
      </c>
      <c r="J170" s="83"/>
      <c r="K170" s="74" t="s">
        <v>35</v>
      </c>
      <c r="L170" s="74" t="s">
        <v>35</v>
      </c>
    </row>
    <row r="171" spans="1:12" ht="12.75" hidden="1" customHeight="1" x14ac:dyDescent="0.15">
      <c r="A171" s="73" t="s">
        <v>217</v>
      </c>
      <c r="B171" s="89" t="s">
        <v>47</v>
      </c>
      <c r="C171" s="74" t="s">
        <v>51</v>
      </c>
      <c r="D171" s="74"/>
      <c r="E171" s="74" t="s">
        <v>38</v>
      </c>
      <c r="F171" s="74"/>
      <c r="G171" s="74"/>
      <c r="H171" s="74"/>
      <c r="I171" s="83" t="str">
        <f t="shared" si="5"/>
        <v>http://www.aidedd.org/dnd/monstres.php?vo=Fungi,-gas-spore</v>
      </c>
      <c r="J171" s="83"/>
      <c r="K171" s="74" t="s">
        <v>35</v>
      </c>
      <c r="L171" s="74" t="s">
        <v>35</v>
      </c>
    </row>
    <row r="172" spans="1:12" ht="12.75" hidden="1" customHeight="1" x14ac:dyDescent="0.15">
      <c r="A172" s="73" t="s">
        <v>218</v>
      </c>
      <c r="B172" s="89">
        <v>0</v>
      </c>
      <c r="C172" s="74" t="s">
        <v>51</v>
      </c>
      <c r="D172" s="74"/>
      <c r="E172" s="74" t="s">
        <v>19</v>
      </c>
      <c r="F172" s="74"/>
      <c r="G172" s="74"/>
      <c r="H172" s="74"/>
      <c r="I172" s="83" t="str">
        <f t="shared" si="5"/>
        <v>http://www.aidedd.org/dnd/monstres.php?vo=Fungi,-shrieker</v>
      </c>
      <c r="J172" s="83"/>
      <c r="K172" s="74" t="s">
        <v>35</v>
      </c>
      <c r="L172" s="74" t="s">
        <v>35</v>
      </c>
    </row>
    <row r="173" spans="1:12" ht="12.75" hidden="1" customHeight="1" x14ac:dyDescent="0.15">
      <c r="A173" s="73" t="s">
        <v>219</v>
      </c>
      <c r="B173" s="89" t="s">
        <v>32</v>
      </c>
      <c r="C173" s="74" t="s">
        <v>51</v>
      </c>
      <c r="D173" s="74"/>
      <c r="E173" s="74" t="s">
        <v>19</v>
      </c>
      <c r="F173" s="74"/>
      <c r="G173" s="74"/>
      <c r="H173" s="74"/>
      <c r="I173" s="83" t="str">
        <f t="shared" si="5"/>
        <v>http://www.aidedd.org/dnd/monstres.php?vo=Fungi,-violet</v>
      </c>
      <c r="J173" s="83"/>
      <c r="K173" s="74" t="s">
        <v>35</v>
      </c>
      <c r="L173" s="74" t="s">
        <v>35</v>
      </c>
    </row>
    <row r="174" spans="1:12" ht="12.75" hidden="1" customHeight="1" x14ac:dyDescent="0.15">
      <c r="A174" s="73" t="s">
        <v>220</v>
      </c>
      <c r="B174" s="89">
        <v>6</v>
      </c>
      <c r="C174" s="74" t="s">
        <v>55</v>
      </c>
      <c r="D174" s="74"/>
      <c r="E174" s="74" t="s">
        <v>19</v>
      </c>
      <c r="F174" s="74"/>
      <c r="G174" s="74" t="s">
        <v>35</v>
      </c>
      <c r="H174" s="74"/>
      <c r="I174" s="83" t="str">
        <f t="shared" si="5"/>
        <v>http://www.aidedd.org/dnd/monstres.php?vo=Galeb-duhr</v>
      </c>
      <c r="J174" s="83"/>
      <c r="K174" s="74" t="s">
        <v>35</v>
      </c>
      <c r="L174" s="74" t="s">
        <v>35</v>
      </c>
    </row>
    <row r="175" spans="1:12" ht="12.75" hidden="1" customHeight="1" x14ac:dyDescent="0.15">
      <c r="A175" s="73" t="s">
        <v>221</v>
      </c>
      <c r="B175" s="89">
        <v>2</v>
      </c>
      <c r="C175" s="74" t="s">
        <v>55</v>
      </c>
      <c r="D175" s="74"/>
      <c r="E175" s="74" t="s">
        <v>19</v>
      </c>
      <c r="F175" s="74">
        <v>52</v>
      </c>
      <c r="G175" s="74" t="s">
        <v>63</v>
      </c>
      <c r="H175" s="74"/>
      <c r="I175" s="83" t="str">
        <f t="shared" si="5"/>
        <v>http://www.aidedd.org/dnd/monstres.php?vo=Gargoyle</v>
      </c>
      <c r="J175" s="83"/>
      <c r="K175" s="74" t="s">
        <v>35</v>
      </c>
      <c r="L175" s="74" t="s">
        <v>35</v>
      </c>
    </row>
    <row r="176" spans="1:12" ht="12.75" hidden="1" customHeight="1" x14ac:dyDescent="0.15">
      <c r="A176" s="73" t="s">
        <v>222</v>
      </c>
      <c r="B176" s="89">
        <v>11</v>
      </c>
      <c r="C176" s="74" t="s">
        <v>55</v>
      </c>
      <c r="D176" s="74"/>
      <c r="E176" s="74" t="s">
        <v>38</v>
      </c>
      <c r="F176" s="74"/>
      <c r="G176" s="74" t="s">
        <v>70</v>
      </c>
      <c r="H176" s="74"/>
      <c r="I176" s="83" t="str">
        <f t="shared" si="5"/>
        <v>http://www.aidedd.org/dnd/monstres.php?vo=Genie,-dao</v>
      </c>
      <c r="J176" s="83"/>
      <c r="K176" s="74" t="s">
        <v>35</v>
      </c>
      <c r="L176" s="74" t="s">
        <v>35</v>
      </c>
    </row>
    <row r="177" spans="1:12" ht="12.75" hidden="1" customHeight="1" x14ac:dyDescent="0.15">
      <c r="A177" s="73" t="s">
        <v>223</v>
      </c>
      <c r="B177" s="89">
        <v>11</v>
      </c>
      <c r="C177" s="74" t="s">
        <v>55</v>
      </c>
      <c r="D177" s="74"/>
      <c r="E177" s="74" t="s">
        <v>38</v>
      </c>
      <c r="F177" s="74"/>
      <c r="G177" s="74" t="s">
        <v>155</v>
      </c>
      <c r="H177" s="74"/>
      <c r="I177" s="83" t="str">
        <f t="shared" si="5"/>
        <v>http://www.aidedd.org/dnd/monstres.php?vo=Genie,-djinni</v>
      </c>
      <c r="J177" s="83"/>
      <c r="K177" s="74" t="s">
        <v>35</v>
      </c>
      <c r="L177" s="74" t="s">
        <v>35</v>
      </c>
    </row>
    <row r="178" spans="1:12" ht="12.75" hidden="1" customHeight="1" x14ac:dyDescent="0.15">
      <c r="A178" s="73" t="s">
        <v>224</v>
      </c>
      <c r="B178" s="89">
        <v>11</v>
      </c>
      <c r="C178" s="74" t="s">
        <v>55</v>
      </c>
      <c r="D178" s="74"/>
      <c r="E178" s="74" t="s">
        <v>38</v>
      </c>
      <c r="F178" s="74"/>
      <c r="G178" s="74" t="s">
        <v>39</v>
      </c>
      <c r="H178" s="74"/>
      <c r="I178" s="83" t="str">
        <f t="shared" ref="I178:I209" si="6">HYPERLINK("http://www.aidedd.org/dnd/monstres.php?vo="&amp;SUBSTITUTE(A178," ","-"))</f>
        <v>http://www.aidedd.org/dnd/monstres.php?vo=Genie,-efreeti</v>
      </c>
      <c r="J178" s="83"/>
      <c r="K178" s="74" t="s">
        <v>35</v>
      </c>
      <c r="L178" s="74" t="s">
        <v>35</v>
      </c>
    </row>
    <row r="179" spans="1:12" ht="12.75" hidden="1" customHeight="1" x14ac:dyDescent="0.15">
      <c r="A179" s="73" t="s">
        <v>225</v>
      </c>
      <c r="B179" s="89">
        <v>11</v>
      </c>
      <c r="C179" s="74" t="s">
        <v>55</v>
      </c>
      <c r="D179" s="74"/>
      <c r="E179" s="74" t="s">
        <v>38</v>
      </c>
      <c r="F179" s="74"/>
      <c r="G179" s="74" t="s">
        <v>100</v>
      </c>
      <c r="H179" s="74"/>
      <c r="I179" s="83" t="str">
        <f t="shared" si="6"/>
        <v>http://www.aidedd.org/dnd/monstres.php?vo=Genie,-marid</v>
      </c>
      <c r="J179" s="83"/>
      <c r="K179" s="74" t="s">
        <v>35</v>
      </c>
      <c r="L179" s="74" t="s">
        <v>35</v>
      </c>
    </row>
    <row r="180" spans="1:12" ht="12.75" hidden="1" customHeight="1" x14ac:dyDescent="0.15">
      <c r="A180" s="73" t="s">
        <v>226</v>
      </c>
      <c r="B180" s="89">
        <v>4</v>
      </c>
      <c r="C180" s="74" t="s">
        <v>62</v>
      </c>
      <c r="D180" s="74"/>
      <c r="E180" s="74" t="s">
        <v>19</v>
      </c>
      <c r="F180" s="74">
        <v>45</v>
      </c>
      <c r="G180" s="74" t="s">
        <v>227</v>
      </c>
      <c r="H180" s="74"/>
      <c r="I180" s="83" t="str">
        <f t="shared" si="6"/>
        <v>http://www.aidedd.org/dnd/monstres.php?vo=Ghost</v>
      </c>
      <c r="J180" s="83"/>
      <c r="K180" s="74" t="s">
        <v>35</v>
      </c>
      <c r="L180" s="74" t="s">
        <v>35</v>
      </c>
    </row>
    <row r="181" spans="1:12" ht="12.75" hidden="1" customHeight="1" x14ac:dyDescent="0.15">
      <c r="A181" s="73" t="s">
        <v>228</v>
      </c>
      <c r="B181" s="89">
        <v>1</v>
      </c>
      <c r="C181" s="74" t="s">
        <v>62</v>
      </c>
      <c r="D181" s="74"/>
      <c r="E181" s="74" t="s">
        <v>19</v>
      </c>
      <c r="F181" s="74">
        <v>22</v>
      </c>
      <c r="G181" s="74" t="s">
        <v>63</v>
      </c>
      <c r="H181" s="74">
        <v>2</v>
      </c>
      <c r="I181" s="83" t="str">
        <f t="shared" si="6"/>
        <v>http://www.aidedd.org/dnd/monstres.php?vo=Ghoul</v>
      </c>
      <c r="J181" s="83"/>
      <c r="K181" s="74" t="s">
        <v>35</v>
      </c>
      <c r="L181" s="74" t="s">
        <v>35</v>
      </c>
    </row>
    <row r="182" spans="1:12" ht="12.75" hidden="1" customHeight="1" x14ac:dyDescent="0.15">
      <c r="A182" s="76" t="s">
        <v>724</v>
      </c>
      <c r="B182" s="89">
        <v>2</v>
      </c>
      <c r="C182" s="74" t="s">
        <v>62</v>
      </c>
      <c r="D182" s="74"/>
      <c r="E182" s="74" t="s">
        <v>19</v>
      </c>
      <c r="F182" s="74"/>
      <c r="G182" s="74" t="s">
        <v>63</v>
      </c>
      <c r="H182" s="74"/>
      <c r="I182" s="83" t="str">
        <f t="shared" si="6"/>
        <v>http://www.aidedd.org/dnd/monstres.php?vo=Ghast</v>
      </c>
      <c r="J182" s="83"/>
      <c r="K182" s="74" t="s">
        <v>35</v>
      </c>
      <c r="L182" s="74" t="s">
        <v>35</v>
      </c>
    </row>
    <row r="183" spans="1:12" ht="12.75" hidden="1" customHeight="1" x14ac:dyDescent="0.15">
      <c r="A183" s="73" t="s">
        <v>229</v>
      </c>
      <c r="B183" s="89">
        <v>9</v>
      </c>
      <c r="C183" s="74" t="s">
        <v>109</v>
      </c>
      <c r="D183" s="74"/>
      <c r="E183" s="74" t="s">
        <v>49</v>
      </c>
      <c r="F183" s="74"/>
      <c r="G183" s="74" t="s">
        <v>34</v>
      </c>
      <c r="H183" s="74"/>
      <c r="I183" s="83" t="str">
        <f t="shared" si="6"/>
        <v>http://www.aidedd.org/dnd/monstres.php?vo=Giant,-cloud</v>
      </c>
      <c r="J183" s="83"/>
      <c r="K183" s="74" t="s">
        <v>35</v>
      </c>
      <c r="L183" s="74" t="s">
        <v>35</v>
      </c>
    </row>
    <row r="184" spans="1:12" ht="12.75" hidden="1" customHeight="1" x14ac:dyDescent="0.15">
      <c r="A184" s="73" t="s">
        <v>229</v>
      </c>
      <c r="B184" s="89">
        <v>9</v>
      </c>
      <c r="C184" s="74" t="s">
        <v>109</v>
      </c>
      <c r="D184" s="74"/>
      <c r="E184" s="74" t="s">
        <v>49</v>
      </c>
      <c r="F184" s="74"/>
      <c r="G184" s="74" t="s">
        <v>70</v>
      </c>
      <c r="H184" s="74"/>
      <c r="I184" s="83" t="str">
        <f t="shared" si="6"/>
        <v>http://www.aidedd.org/dnd/monstres.php?vo=Giant,-cloud</v>
      </c>
      <c r="J184" s="83"/>
      <c r="K184" s="74" t="s">
        <v>35</v>
      </c>
      <c r="L184" s="74" t="s">
        <v>35</v>
      </c>
    </row>
    <row r="185" spans="1:12" ht="12.75" hidden="1" customHeight="1" x14ac:dyDescent="0.15">
      <c r="A185" s="73" t="s">
        <v>230</v>
      </c>
      <c r="B185" s="89">
        <v>9</v>
      </c>
      <c r="C185" s="74" t="s">
        <v>109</v>
      </c>
      <c r="D185" s="74"/>
      <c r="E185" s="74" t="s">
        <v>49</v>
      </c>
      <c r="F185" s="74"/>
      <c r="G185" s="74" t="s">
        <v>39</v>
      </c>
      <c r="H185" s="74"/>
      <c r="I185" s="83" t="str">
        <f t="shared" si="6"/>
        <v>http://www.aidedd.org/dnd/monstres.php?vo=Giant,-fire</v>
      </c>
      <c r="J185" s="83"/>
      <c r="K185" s="74" t="s">
        <v>35</v>
      </c>
      <c r="L185" s="74" t="s">
        <v>35</v>
      </c>
    </row>
    <row r="186" spans="1:12" ht="12.75" hidden="1" customHeight="1" x14ac:dyDescent="0.15">
      <c r="A186" s="73" t="s">
        <v>231</v>
      </c>
      <c r="B186" s="89">
        <v>8</v>
      </c>
      <c r="C186" s="74" t="s">
        <v>109</v>
      </c>
      <c r="D186" s="74"/>
      <c r="E186" s="74" t="s">
        <v>49</v>
      </c>
      <c r="F186" s="74"/>
      <c r="G186" s="74" t="s">
        <v>70</v>
      </c>
      <c r="H186" s="74"/>
      <c r="I186" s="83" t="str">
        <f t="shared" si="6"/>
        <v>http://www.aidedd.org/dnd/monstres.php?vo=Giant,-frost</v>
      </c>
      <c r="J186" s="83"/>
      <c r="K186" s="74" t="s">
        <v>35</v>
      </c>
      <c r="L186" s="74" t="s">
        <v>35</v>
      </c>
    </row>
    <row r="187" spans="1:12" ht="12.75" hidden="1" customHeight="1" x14ac:dyDescent="0.15">
      <c r="A187" s="73" t="s">
        <v>232</v>
      </c>
      <c r="B187" s="89">
        <v>5</v>
      </c>
      <c r="C187" s="74" t="s">
        <v>109</v>
      </c>
      <c r="D187" s="74"/>
      <c r="E187" s="74" t="s">
        <v>49</v>
      </c>
      <c r="F187" s="74"/>
      <c r="G187" s="74" t="s">
        <v>63</v>
      </c>
      <c r="H187" s="74"/>
      <c r="I187" s="83" t="str">
        <f t="shared" si="6"/>
        <v>http://www.aidedd.org/dnd/monstres.php?vo=Giant,-hill</v>
      </c>
      <c r="J187" s="83"/>
      <c r="K187" s="74" t="s">
        <v>35</v>
      </c>
      <c r="L187" s="74" t="s">
        <v>35</v>
      </c>
    </row>
    <row r="188" spans="1:12" ht="12.75" hidden="1" customHeight="1" x14ac:dyDescent="0.15">
      <c r="A188" s="73" t="s">
        <v>233</v>
      </c>
      <c r="B188" s="89">
        <v>7</v>
      </c>
      <c r="C188" s="74" t="s">
        <v>109</v>
      </c>
      <c r="D188" s="74"/>
      <c r="E188" s="74" t="s">
        <v>49</v>
      </c>
      <c r="F188" s="74"/>
      <c r="G188" s="74" t="s">
        <v>35</v>
      </c>
      <c r="H188" s="74"/>
      <c r="I188" s="83" t="str">
        <f t="shared" si="6"/>
        <v>http://www.aidedd.org/dnd/monstres.php?vo=Giant,-stone</v>
      </c>
      <c r="J188" s="83"/>
      <c r="K188" s="74" t="s">
        <v>35</v>
      </c>
      <c r="L188" s="74" t="s">
        <v>35</v>
      </c>
    </row>
    <row r="189" spans="1:12" ht="12.75" hidden="1" customHeight="1" x14ac:dyDescent="0.15">
      <c r="A189" s="73" t="s">
        <v>234</v>
      </c>
      <c r="B189" s="89">
        <v>13</v>
      </c>
      <c r="C189" s="74" t="s">
        <v>109</v>
      </c>
      <c r="D189" s="74"/>
      <c r="E189" s="74" t="s">
        <v>49</v>
      </c>
      <c r="F189" s="74"/>
      <c r="G189" s="74" t="s">
        <v>155</v>
      </c>
      <c r="H189" s="74"/>
      <c r="I189" s="83" t="str">
        <f t="shared" si="6"/>
        <v>http://www.aidedd.org/dnd/monstres.php?vo=Giant,-storm</v>
      </c>
      <c r="J189" s="83"/>
      <c r="K189" s="74" t="s">
        <v>35</v>
      </c>
      <c r="L189" s="74" t="s">
        <v>35</v>
      </c>
    </row>
    <row r="190" spans="1:12" ht="12.75" hidden="1" customHeight="1" x14ac:dyDescent="0.15">
      <c r="A190" s="73" t="s">
        <v>235</v>
      </c>
      <c r="B190" s="89">
        <v>2</v>
      </c>
      <c r="C190" s="74" t="s">
        <v>37</v>
      </c>
      <c r="D190" s="74"/>
      <c r="E190" s="74" t="s">
        <v>19</v>
      </c>
      <c r="F190" s="74"/>
      <c r="G190" s="74" t="s">
        <v>35</v>
      </c>
      <c r="H190" s="74"/>
      <c r="I190" s="83" t="str">
        <f t="shared" si="6"/>
        <v>http://www.aidedd.org/dnd/monstres.php?vo=Gibbering-mouther</v>
      </c>
      <c r="J190" s="83"/>
      <c r="K190" s="74" t="s">
        <v>35</v>
      </c>
      <c r="L190" s="74" t="s">
        <v>35</v>
      </c>
    </row>
    <row r="191" spans="1:12" ht="12.75" hidden="1" customHeight="1" x14ac:dyDescent="0.15">
      <c r="A191" s="73" t="s">
        <v>236</v>
      </c>
      <c r="B191" s="89">
        <v>8</v>
      </c>
      <c r="C191" s="74" t="s">
        <v>33</v>
      </c>
      <c r="D191" s="74" t="s">
        <v>237</v>
      </c>
      <c r="E191" s="74" t="s">
        <v>19</v>
      </c>
      <c r="F191" s="74"/>
      <c r="G191" s="74" t="s">
        <v>39</v>
      </c>
      <c r="H191" s="74"/>
      <c r="I191" s="83" t="str">
        <f t="shared" si="6"/>
        <v>http://www.aidedd.org/dnd/monstres.php?vo=Gith,-githyanki-knight</v>
      </c>
      <c r="J191" s="83"/>
      <c r="K191" s="74" t="s">
        <v>35</v>
      </c>
      <c r="L191" s="74" t="s">
        <v>35</v>
      </c>
    </row>
    <row r="192" spans="1:12" ht="12.75" hidden="1" customHeight="1" x14ac:dyDescent="0.15">
      <c r="A192" s="73" t="s">
        <v>238</v>
      </c>
      <c r="B192" s="89">
        <v>3</v>
      </c>
      <c r="C192" s="74" t="s">
        <v>33</v>
      </c>
      <c r="D192" s="74" t="s">
        <v>237</v>
      </c>
      <c r="E192" s="74" t="s">
        <v>19</v>
      </c>
      <c r="F192" s="74"/>
      <c r="G192" s="74" t="s">
        <v>39</v>
      </c>
      <c r="H192" s="74"/>
      <c r="I192" s="83" t="str">
        <f t="shared" si="6"/>
        <v>http://www.aidedd.org/dnd/monstres.php?vo=Gith,-githyanki-warrior</v>
      </c>
      <c r="J192" s="83"/>
      <c r="K192" s="74" t="s">
        <v>35</v>
      </c>
      <c r="L192" s="74" t="s">
        <v>35</v>
      </c>
    </row>
    <row r="193" spans="1:12" ht="12.75" hidden="1" customHeight="1" x14ac:dyDescent="0.15">
      <c r="A193" s="73" t="s">
        <v>239</v>
      </c>
      <c r="B193" s="89">
        <v>2</v>
      </c>
      <c r="C193" s="74" t="s">
        <v>33</v>
      </c>
      <c r="D193" s="74" t="s">
        <v>237</v>
      </c>
      <c r="E193" s="74" t="s">
        <v>19</v>
      </c>
      <c r="F193" s="74"/>
      <c r="G193" s="74" t="s">
        <v>56</v>
      </c>
      <c r="H193" s="74"/>
      <c r="I193" s="83" t="str">
        <f t="shared" si="6"/>
        <v>http://www.aidedd.org/dnd/monstres.php?vo=Gith,-githzerai-monk</v>
      </c>
      <c r="J193" s="83"/>
      <c r="K193" s="74" t="s">
        <v>35</v>
      </c>
      <c r="L193" s="74" t="s">
        <v>35</v>
      </c>
    </row>
    <row r="194" spans="1:12" ht="12.75" hidden="1" customHeight="1" x14ac:dyDescent="0.15">
      <c r="A194" s="73" t="s">
        <v>240</v>
      </c>
      <c r="B194" s="89">
        <v>6</v>
      </c>
      <c r="C194" s="74" t="s">
        <v>33</v>
      </c>
      <c r="D194" s="74" t="s">
        <v>237</v>
      </c>
      <c r="E194" s="74" t="s">
        <v>19</v>
      </c>
      <c r="F194" s="74"/>
      <c r="G194" s="74" t="s">
        <v>56</v>
      </c>
      <c r="H194" s="74"/>
      <c r="I194" s="83" t="str">
        <f t="shared" si="6"/>
        <v>http://www.aidedd.org/dnd/monstres.php?vo=Gith,-githzerai-zerth</v>
      </c>
      <c r="J194" s="83"/>
      <c r="K194" s="74" t="s">
        <v>35</v>
      </c>
      <c r="L194" s="74" t="s">
        <v>35</v>
      </c>
    </row>
    <row r="195" spans="1:12" ht="12.75" hidden="1" customHeight="1" x14ac:dyDescent="0.15">
      <c r="A195" s="73" t="s">
        <v>241</v>
      </c>
      <c r="B195" s="89" t="s">
        <v>47</v>
      </c>
      <c r="C195" s="74" t="s">
        <v>33</v>
      </c>
      <c r="D195" s="74" t="s">
        <v>241</v>
      </c>
      <c r="E195" s="74" t="s">
        <v>19</v>
      </c>
      <c r="F195" s="74">
        <v>22</v>
      </c>
      <c r="G195" s="74" t="s">
        <v>63</v>
      </c>
      <c r="H195" s="74"/>
      <c r="I195" s="83" t="str">
        <f t="shared" si="6"/>
        <v>http://www.aidedd.org/dnd/monstres.php?vo=Gnoll</v>
      </c>
      <c r="J195" s="83"/>
      <c r="K195" s="74" t="s">
        <v>35</v>
      </c>
      <c r="L195" s="74" t="s">
        <v>35</v>
      </c>
    </row>
    <row r="196" spans="1:12" ht="12.75" hidden="1" customHeight="1" x14ac:dyDescent="0.15">
      <c r="A196" s="73" t="s">
        <v>242</v>
      </c>
      <c r="B196" s="89">
        <v>4</v>
      </c>
      <c r="C196" s="74" t="s">
        <v>91</v>
      </c>
      <c r="D196" s="74" t="s">
        <v>241</v>
      </c>
      <c r="E196" s="74" t="s">
        <v>19</v>
      </c>
      <c r="F196" s="74"/>
      <c r="G196" s="74" t="s">
        <v>63</v>
      </c>
      <c r="H196" s="74"/>
      <c r="I196" s="83" t="str">
        <f t="shared" si="6"/>
        <v>http://www.aidedd.org/dnd/monstres.php?vo=Gnoll,-fang-of-Yeenoghu</v>
      </c>
      <c r="J196" s="83"/>
      <c r="K196" s="74" t="s">
        <v>35</v>
      </c>
      <c r="L196" s="74" t="s">
        <v>35</v>
      </c>
    </row>
    <row r="197" spans="1:12" ht="12.75" hidden="1" customHeight="1" x14ac:dyDescent="0.15">
      <c r="A197" s="73" t="s">
        <v>243</v>
      </c>
      <c r="B197" s="89">
        <v>2</v>
      </c>
      <c r="C197" s="74" t="s">
        <v>33</v>
      </c>
      <c r="D197" s="74" t="s">
        <v>241</v>
      </c>
      <c r="E197" s="74" t="s">
        <v>19</v>
      </c>
      <c r="F197" s="74"/>
      <c r="G197" s="74" t="s">
        <v>63</v>
      </c>
      <c r="H197" s="74"/>
      <c r="I197" s="83" t="str">
        <f t="shared" si="6"/>
        <v>http://www.aidedd.org/dnd/monstres.php?vo=Gnoll,-pack-lord</v>
      </c>
      <c r="J197" s="83"/>
      <c r="K197" s="74" t="s">
        <v>35</v>
      </c>
      <c r="L197" s="74" t="s">
        <v>35</v>
      </c>
    </row>
    <row r="198" spans="1:12" ht="12.75" hidden="1" customHeight="1" x14ac:dyDescent="0.15">
      <c r="A198" s="73" t="s">
        <v>244</v>
      </c>
      <c r="B198" s="89" t="s">
        <v>47</v>
      </c>
      <c r="C198" s="74" t="s">
        <v>33</v>
      </c>
      <c r="D198" s="74" t="s">
        <v>245</v>
      </c>
      <c r="E198" s="74" t="s">
        <v>43</v>
      </c>
      <c r="F198" s="74"/>
      <c r="G198" s="74" t="s">
        <v>34</v>
      </c>
      <c r="H198" s="74"/>
      <c r="I198" s="83" t="str">
        <f t="shared" si="6"/>
        <v>http://www.aidedd.org/dnd/monstres.php?vo=Gnome,-deep-(Svirfneblin)</v>
      </c>
      <c r="J198" s="83"/>
      <c r="K198" s="74" t="s">
        <v>35</v>
      </c>
      <c r="L198" s="74" t="s">
        <v>35</v>
      </c>
    </row>
    <row r="199" spans="1:12" ht="12.75" hidden="1" customHeight="1" x14ac:dyDescent="0.15">
      <c r="A199" s="73" t="s">
        <v>246</v>
      </c>
      <c r="B199" s="89">
        <v>0</v>
      </c>
      <c r="C199" s="74" t="s">
        <v>48</v>
      </c>
      <c r="D199" s="74"/>
      <c r="E199" s="74" t="s">
        <v>19</v>
      </c>
      <c r="F199" s="74">
        <v>4</v>
      </c>
      <c r="G199" s="74"/>
      <c r="H199" s="74"/>
      <c r="I199" s="83" t="str">
        <f t="shared" si="6"/>
        <v>http://www.aidedd.org/dnd/monstres.php?vo=Goat</v>
      </c>
      <c r="J199" s="83"/>
      <c r="K199" s="74" t="s">
        <v>35</v>
      </c>
      <c r="L199" s="74" t="s">
        <v>35</v>
      </c>
    </row>
    <row r="200" spans="1:12" ht="12.75" hidden="1" customHeight="1" x14ac:dyDescent="0.15">
      <c r="A200" s="73" t="s">
        <v>247</v>
      </c>
      <c r="B200" s="89" t="s">
        <v>47</v>
      </c>
      <c r="C200" s="74" t="s">
        <v>48</v>
      </c>
      <c r="D200" s="74"/>
      <c r="E200" s="74" t="s">
        <v>38</v>
      </c>
      <c r="F200" s="74"/>
      <c r="G200" s="74"/>
      <c r="H200" s="74"/>
      <c r="I200" s="83" t="str">
        <f t="shared" si="6"/>
        <v>http://www.aidedd.org/dnd/monstres.php?vo=Goat,-giant</v>
      </c>
      <c r="J200" s="83"/>
      <c r="K200" s="74" t="s">
        <v>35</v>
      </c>
      <c r="L200" s="74" t="s">
        <v>35</v>
      </c>
    </row>
    <row r="201" spans="1:12" ht="12.75" hidden="1" customHeight="1" x14ac:dyDescent="0.15">
      <c r="A201" s="73" t="s">
        <v>248</v>
      </c>
      <c r="B201" s="89" t="s">
        <v>32</v>
      </c>
      <c r="C201" s="74" t="s">
        <v>33</v>
      </c>
      <c r="D201" s="74" t="s">
        <v>86</v>
      </c>
      <c r="E201" s="74" t="s">
        <v>43</v>
      </c>
      <c r="F201" s="74">
        <v>7</v>
      </c>
      <c r="G201" s="74" t="s">
        <v>70</v>
      </c>
      <c r="H201" s="74"/>
      <c r="I201" s="83" t="str">
        <f t="shared" si="6"/>
        <v>http://www.aidedd.org/dnd/monstres.php?vo=Goblin</v>
      </c>
      <c r="J201" s="83"/>
      <c r="K201" s="74" t="s">
        <v>35</v>
      </c>
      <c r="L201" s="74" t="s">
        <v>35</v>
      </c>
    </row>
    <row r="202" spans="1:12" ht="12.75" hidden="1" customHeight="1" x14ac:dyDescent="0.15">
      <c r="A202" s="73" t="s">
        <v>249</v>
      </c>
      <c r="B202" s="89">
        <v>1</v>
      </c>
      <c r="C202" s="74" t="s">
        <v>33</v>
      </c>
      <c r="D202" s="74" t="s">
        <v>86</v>
      </c>
      <c r="E202" s="74" t="s">
        <v>43</v>
      </c>
      <c r="F202" s="74"/>
      <c r="G202" s="74" t="s">
        <v>70</v>
      </c>
      <c r="H202" s="74"/>
      <c r="I202" s="83" t="str">
        <f t="shared" si="6"/>
        <v>http://www.aidedd.org/dnd/monstres.php?vo=Goblin,-boss</v>
      </c>
      <c r="J202" s="83"/>
      <c r="K202" s="74" t="s">
        <v>35</v>
      </c>
      <c r="L202" s="74" t="s">
        <v>35</v>
      </c>
    </row>
    <row r="203" spans="1:12" ht="12.75" hidden="1" customHeight="1" x14ac:dyDescent="0.15">
      <c r="A203" s="73" t="s">
        <v>250</v>
      </c>
      <c r="B203" s="89">
        <v>9</v>
      </c>
      <c r="C203" s="74" t="s">
        <v>42</v>
      </c>
      <c r="D203" s="74"/>
      <c r="E203" s="74" t="s">
        <v>38</v>
      </c>
      <c r="F203" s="74"/>
      <c r="G203" s="74"/>
      <c r="H203" s="74"/>
      <c r="I203" s="83" t="str">
        <f t="shared" si="6"/>
        <v>http://www.aidedd.org/dnd/monstres.php?vo=Golem,-clay</v>
      </c>
      <c r="J203" s="83"/>
      <c r="K203" s="74" t="s">
        <v>35</v>
      </c>
      <c r="L203" s="74" t="s">
        <v>35</v>
      </c>
    </row>
    <row r="204" spans="1:12" ht="12.75" hidden="1" customHeight="1" x14ac:dyDescent="0.15">
      <c r="A204" s="73" t="s">
        <v>251</v>
      </c>
      <c r="B204" s="89">
        <v>5</v>
      </c>
      <c r="C204" s="74" t="s">
        <v>42</v>
      </c>
      <c r="D204" s="74"/>
      <c r="E204" s="74" t="s">
        <v>19</v>
      </c>
      <c r="F204" s="74"/>
      <c r="G204" s="74"/>
      <c r="H204" s="74"/>
      <c r="I204" s="83" t="str">
        <f t="shared" si="6"/>
        <v>http://www.aidedd.org/dnd/monstres.php?vo=Golem,-flesh</v>
      </c>
      <c r="J204" s="83"/>
      <c r="K204" s="74" t="s">
        <v>35</v>
      </c>
      <c r="L204" s="74" t="s">
        <v>35</v>
      </c>
    </row>
    <row r="205" spans="1:12" ht="12.75" hidden="1" customHeight="1" x14ac:dyDescent="0.15">
      <c r="A205" s="73" t="s">
        <v>252</v>
      </c>
      <c r="B205" s="89">
        <v>16</v>
      </c>
      <c r="C205" s="74" t="s">
        <v>42</v>
      </c>
      <c r="D205" s="74"/>
      <c r="E205" s="74" t="s">
        <v>38</v>
      </c>
      <c r="F205" s="74"/>
      <c r="G205" s="74"/>
      <c r="H205" s="74"/>
      <c r="I205" s="83" t="str">
        <f t="shared" si="6"/>
        <v>http://www.aidedd.org/dnd/monstres.php?vo=Golem,-iron</v>
      </c>
      <c r="J205" s="83"/>
      <c r="K205" s="74" t="s">
        <v>35</v>
      </c>
      <c r="L205" s="74" t="s">
        <v>35</v>
      </c>
    </row>
    <row r="206" spans="1:12" ht="12.75" hidden="1" customHeight="1" x14ac:dyDescent="0.15">
      <c r="A206" s="73" t="s">
        <v>253</v>
      </c>
      <c r="B206" s="89">
        <v>10</v>
      </c>
      <c r="C206" s="74" t="s">
        <v>42</v>
      </c>
      <c r="D206" s="74"/>
      <c r="E206" s="74" t="s">
        <v>38</v>
      </c>
      <c r="F206" s="74"/>
      <c r="G206" s="74"/>
      <c r="H206" s="74"/>
      <c r="I206" s="83" t="str">
        <f t="shared" si="6"/>
        <v>http://www.aidedd.org/dnd/monstres.php?vo=Golem,-stone</v>
      </c>
      <c r="J206" s="83"/>
      <c r="K206" s="74" t="s">
        <v>35</v>
      </c>
      <c r="L206" s="74" t="s">
        <v>35</v>
      </c>
    </row>
    <row r="207" spans="1:12" ht="12.75" hidden="1" customHeight="1" x14ac:dyDescent="0.15">
      <c r="A207" s="73" t="s">
        <v>254</v>
      </c>
      <c r="B207" s="89">
        <v>5</v>
      </c>
      <c r="C207" s="74" t="s">
        <v>45</v>
      </c>
      <c r="D207" s="74"/>
      <c r="E207" s="74" t="s">
        <v>38</v>
      </c>
      <c r="F207" s="74"/>
      <c r="G207" s="74"/>
      <c r="H207" s="74"/>
      <c r="I207" s="83" t="str">
        <f t="shared" si="6"/>
        <v>http://www.aidedd.org/dnd/monstres.php?vo=Gorgon</v>
      </c>
      <c r="J207" s="83"/>
      <c r="K207" s="74" t="s">
        <v>35</v>
      </c>
      <c r="L207" s="74" t="s">
        <v>35</v>
      </c>
    </row>
    <row r="208" spans="1:12" ht="12.75" hidden="1" customHeight="1" x14ac:dyDescent="0.15">
      <c r="A208" s="73" t="s">
        <v>255</v>
      </c>
      <c r="B208" s="89">
        <v>3</v>
      </c>
      <c r="C208" s="74" t="s">
        <v>37</v>
      </c>
      <c r="D208" s="74"/>
      <c r="E208" s="74" t="s">
        <v>19</v>
      </c>
      <c r="F208" s="74"/>
      <c r="G208" s="74" t="s">
        <v>70</v>
      </c>
      <c r="H208" s="74"/>
      <c r="I208" s="83" t="str">
        <f t="shared" si="6"/>
        <v>http://www.aidedd.org/dnd/monstres.php?vo=Grell</v>
      </c>
      <c r="J208" s="83"/>
      <c r="K208" s="74" t="s">
        <v>35</v>
      </c>
      <c r="L208" s="74" t="s">
        <v>35</v>
      </c>
    </row>
    <row r="209" spans="1:12" ht="12.75" hidden="1" customHeight="1" x14ac:dyDescent="0.15">
      <c r="A209" s="73" t="s">
        <v>256</v>
      </c>
      <c r="B209" s="89">
        <v>2</v>
      </c>
      <c r="C209" s="74" t="s">
        <v>45</v>
      </c>
      <c r="D209" s="74"/>
      <c r="E209" s="74" t="s">
        <v>19</v>
      </c>
      <c r="F209" s="74">
        <v>27</v>
      </c>
      <c r="G209" s="74" t="s">
        <v>35</v>
      </c>
      <c r="H209" s="74"/>
      <c r="I209" s="83" t="str">
        <f t="shared" si="6"/>
        <v>http://www.aidedd.org/dnd/monstres.php?vo=Grick</v>
      </c>
      <c r="J209" s="83"/>
      <c r="K209" s="74" t="s">
        <v>35</v>
      </c>
      <c r="L209" s="74" t="s">
        <v>35</v>
      </c>
    </row>
    <row r="210" spans="1:12" ht="12.75" hidden="1" customHeight="1" x14ac:dyDescent="0.15">
      <c r="A210" s="73" t="s">
        <v>257</v>
      </c>
      <c r="B210" s="89">
        <v>7</v>
      </c>
      <c r="C210" s="74" t="s">
        <v>45</v>
      </c>
      <c r="D210" s="74"/>
      <c r="E210" s="74" t="s">
        <v>38</v>
      </c>
      <c r="F210" s="74"/>
      <c r="G210" s="74" t="s">
        <v>35</v>
      </c>
      <c r="H210" s="74"/>
      <c r="I210" s="83" t="str">
        <f t="shared" ref="I210:I241" si="7">HYPERLINK("http://www.aidedd.org/dnd/monstres.php?vo="&amp;SUBSTITUTE(A210," ","-"))</f>
        <v>http://www.aidedd.org/dnd/monstres.php?vo=Grick,-alpha</v>
      </c>
      <c r="J210" s="83"/>
      <c r="K210" s="74" t="s">
        <v>35</v>
      </c>
      <c r="L210" s="74" t="s">
        <v>35</v>
      </c>
    </row>
    <row r="211" spans="1:12" ht="12.75" hidden="1" customHeight="1" x14ac:dyDescent="0.15">
      <c r="A211" s="73" t="s">
        <v>258</v>
      </c>
      <c r="B211" s="89">
        <v>2</v>
      </c>
      <c r="C211" s="74" t="s">
        <v>45</v>
      </c>
      <c r="D211" s="74"/>
      <c r="E211" s="74" t="s">
        <v>38</v>
      </c>
      <c r="F211" s="74"/>
      <c r="G211" s="74"/>
      <c r="H211" s="74"/>
      <c r="I211" s="83" t="str">
        <f t="shared" si="7"/>
        <v>http://www.aidedd.org/dnd/monstres.php?vo=Griffon</v>
      </c>
      <c r="J211" s="83"/>
      <c r="K211" s="74" t="s">
        <v>35</v>
      </c>
      <c r="L211" s="74" t="s">
        <v>35</v>
      </c>
    </row>
    <row r="212" spans="1:12" ht="12.75" hidden="1" customHeight="1" x14ac:dyDescent="0.15">
      <c r="A212" s="73" t="s">
        <v>259</v>
      </c>
      <c r="B212" s="89" t="s">
        <v>32</v>
      </c>
      <c r="C212" s="74" t="s">
        <v>33</v>
      </c>
      <c r="D212" s="74" t="s">
        <v>260</v>
      </c>
      <c r="E212" s="74" t="s">
        <v>19</v>
      </c>
      <c r="F212" s="74"/>
      <c r="G212" s="74" t="s">
        <v>70</v>
      </c>
      <c r="H212" s="74"/>
      <c r="I212" s="83" t="str">
        <f t="shared" si="7"/>
        <v>http://www.aidedd.org/dnd/monstres.php?vo=Grimlock</v>
      </c>
      <c r="J212" s="83"/>
      <c r="K212" s="74" t="s">
        <v>35</v>
      </c>
      <c r="L212" s="74" t="s">
        <v>35</v>
      </c>
    </row>
    <row r="213" spans="1:12" ht="12.75" hidden="1" customHeight="1" x14ac:dyDescent="0.15">
      <c r="A213" s="73" t="s">
        <v>80</v>
      </c>
      <c r="B213" s="89" t="s">
        <v>32</v>
      </c>
      <c r="C213" s="74" t="s">
        <v>81</v>
      </c>
      <c r="D213" s="74"/>
      <c r="E213" s="74" t="s">
        <v>19</v>
      </c>
      <c r="F213" s="74">
        <v>22</v>
      </c>
      <c r="G213" s="74" t="s">
        <v>41</v>
      </c>
      <c r="H213" s="74">
        <v>3</v>
      </c>
      <c r="I213" s="83" t="str">
        <f t="shared" si="7"/>
        <v>http://www.aidedd.org/dnd/monstres.php?vo=Blink-dog</v>
      </c>
      <c r="J213" s="83"/>
      <c r="K213" s="74" t="s">
        <v>35</v>
      </c>
      <c r="L213" s="74" t="s">
        <v>35</v>
      </c>
    </row>
    <row r="214" spans="1:12" ht="12.75" hidden="1" customHeight="1" x14ac:dyDescent="0.15">
      <c r="A214" s="73" t="s">
        <v>262</v>
      </c>
      <c r="B214" s="89">
        <v>5</v>
      </c>
      <c r="C214" s="74" t="s">
        <v>91</v>
      </c>
      <c r="D214" s="74"/>
      <c r="E214" s="74" t="s">
        <v>19</v>
      </c>
      <c r="F214" s="74"/>
      <c r="G214" s="74" t="s">
        <v>70</v>
      </c>
      <c r="H214" s="74"/>
      <c r="I214" s="83" t="str">
        <f t="shared" si="7"/>
        <v>http://www.aidedd.org/dnd/monstres.php?vo=Hag,-night</v>
      </c>
      <c r="J214" s="83"/>
      <c r="K214" s="74" t="s">
        <v>35</v>
      </c>
      <c r="L214" s="74" t="s">
        <v>35</v>
      </c>
    </row>
    <row r="215" spans="1:12" ht="12.75" hidden="1" customHeight="1" x14ac:dyDescent="0.15">
      <c r="A215" s="73" t="s">
        <v>264</v>
      </c>
      <c r="B215" s="89"/>
      <c r="C215" s="74"/>
      <c r="D215" s="74"/>
      <c r="E215" s="74"/>
      <c r="F215" s="74"/>
      <c r="G215" s="74"/>
      <c r="H215" s="74"/>
      <c r="I215" s="83" t="str">
        <f t="shared" si="7"/>
        <v>http://www.aidedd.org/dnd/monstres.php?vo=Half-dragon-(template)</v>
      </c>
      <c r="J215" s="83"/>
      <c r="K215" s="74"/>
      <c r="L215" s="74"/>
    </row>
    <row r="216" spans="1:12" ht="12.75" hidden="1" customHeight="1" x14ac:dyDescent="0.15">
      <c r="A216" s="73" t="s">
        <v>265</v>
      </c>
      <c r="B216" s="89">
        <v>5</v>
      </c>
      <c r="C216" s="74" t="s">
        <v>33</v>
      </c>
      <c r="D216" s="74" t="s">
        <v>266</v>
      </c>
      <c r="E216" s="74" t="s">
        <v>19</v>
      </c>
      <c r="F216" s="74"/>
      <c r="G216" s="74" t="s">
        <v>227</v>
      </c>
      <c r="H216" s="74"/>
      <c r="I216" s="83" t="str">
        <f t="shared" si="7"/>
        <v>http://www.aidedd.org/dnd/monstres.php?vo=Half-red-dragon-veteran</v>
      </c>
      <c r="J216" s="83"/>
      <c r="K216" s="74" t="s">
        <v>35</v>
      </c>
      <c r="L216" s="74" t="s">
        <v>35</v>
      </c>
    </row>
    <row r="217" spans="1:12" ht="12.75" hidden="1" customHeight="1" x14ac:dyDescent="0.15">
      <c r="A217" s="73" t="s">
        <v>267</v>
      </c>
      <c r="B217" s="89">
        <v>1</v>
      </c>
      <c r="C217" s="74" t="s">
        <v>45</v>
      </c>
      <c r="D217" s="74"/>
      <c r="E217" s="74" t="s">
        <v>19</v>
      </c>
      <c r="F217" s="74"/>
      <c r="G217" s="74" t="s">
        <v>63</v>
      </c>
      <c r="H217" s="74"/>
      <c r="I217" s="83" t="str">
        <f t="shared" si="7"/>
        <v>http://www.aidedd.org/dnd/monstres.php?vo=Harpy</v>
      </c>
      <c r="J217" s="83"/>
      <c r="K217" s="74" t="s">
        <v>35</v>
      </c>
      <c r="L217" s="74" t="s">
        <v>35</v>
      </c>
    </row>
    <row r="218" spans="1:12" ht="12.75" hidden="1" customHeight="1" x14ac:dyDescent="0.15">
      <c r="A218" s="73" t="s">
        <v>268</v>
      </c>
      <c r="B218" s="89">
        <v>0</v>
      </c>
      <c r="C218" s="74" t="s">
        <v>48</v>
      </c>
      <c r="D218" s="74"/>
      <c r="E218" s="74" t="s">
        <v>59</v>
      </c>
      <c r="F218" s="74"/>
      <c r="G218" s="74"/>
      <c r="H218" s="74"/>
      <c r="I218" s="83" t="str">
        <f t="shared" si="7"/>
        <v>http://www.aidedd.org/dnd/monstres.php?vo=Hawk</v>
      </c>
      <c r="J218" s="83"/>
      <c r="K218" s="74" t="s">
        <v>35</v>
      </c>
      <c r="L218" s="74" t="s">
        <v>35</v>
      </c>
    </row>
    <row r="219" spans="1:12" ht="12.75" hidden="1" customHeight="1" x14ac:dyDescent="0.15">
      <c r="A219" s="73" t="s">
        <v>269</v>
      </c>
      <c r="B219" s="89">
        <v>3</v>
      </c>
      <c r="C219" s="74" t="s">
        <v>91</v>
      </c>
      <c r="D219" s="74"/>
      <c r="E219" s="74" t="s">
        <v>19</v>
      </c>
      <c r="F219" s="74"/>
      <c r="G219" s="74" t="s">
        <v>39</v>
      </c>
      <c r="H219" s="74"/>
      <c r="I219" s="83" t="str">
        <f t="shared" si="7"/>
        <v>http://www.aidedd.org/dnd/monstres.php?vo=Hell-hound</v>
      </c>
      <c r="J219" s="83"/>
      <c r="K219" s="74" t="s">
        <v>35</v>
      </c>
      <c r="L219" s="74" t="s">
        <v>35</v>
      </c>
    </row>
    <row r="220" spans="1:12" ht="12.75" hidden="1" customHeight="1" x14ac:dyDescent="0.15">
      <c r="A220" s="73" t="s">
        <v>270</v>
      </c>
      <c r="B220" s="89">
        <v>4</v>
      </c>
      <c r="C220" s="74" t="s">
        <v>42</v>
      </c>
      <c r="D220" s="74"/>
      <c r="E220" s="74" t="s">
        <v>19</v>
      </c>
      <c r="F220" s="74"/>
      <c r="G220" s="74" t="s">
        <v>35</v>
      </c>
      <c r="H220" s="74"/>
      <c r="I220" s="83" t="str">
        <f t="shared" si="7"/>
        <v>http://www.aidedd.org/dnd/monstres.php?vo=Helmed-horror</v>
      </c>
      <c r="J220" s="83"/>
      <c r="K220" s="74" t="s">
        <v>35</v>
      </c>
      <c r="L220" s="74" t="s">
        <v>35</v>
      </c>
    </row>
    <row r="221" spans="1:12" ht="12.75" hidden="1" customHeight="1" x14ac:dyDescent="0.15">
      <c r="A221" s="73" t="s">
        <v>271</v>
      </c>
      <c r="B221" s="89">
        <v>1</v>
      </c>
      <c r="C221" s="74" t="s">
        <v>45</v>
      </c>
      <c r="D221" s="74"/>
      <c r="E221" s="74" t="s">
        <v>38</v>
      </c>
      <c r="F221" s="74"/>
      <c r="G221" s="74"/>
      <c r="H221" s="74"/>
      <c r="I221" s="83" t="str">
        <f t="shared" si="7"/>
        <v>http://www.aidedd.org/dnd/monstres.php?vo=Hippogriff</v>
      </c>
      <c r="J221" s="83"/>
      <c r="K221" s="74" t="s">
        <v>35</v>
      </c>
      <c r="L221" s="74" t="s">
        <v>35</v>
      </c>
    </row>
    <row r="222" spans="1:12" ht="12.75" hidden="1" customHeight="1" x14ac:dyDescent="0.15">
      <c r="A222" s="73" t="s">
        <v>272</v>
      </c>
      <c r="B222" s="89" t="s">
        <v>47</v>
      </c>
      <c r="C222" s="74" t="s">
        <v>33</v>
      </c>
      <c r="D222" s="74" t="s">
        <v>86</v>
      </c>
      <c r="E222" s="74" t="s">
        <v>19</v>
      </c>
      <c r="F222" s="74">
        <v>11</v>
      </c>
      <c r="G222" s="74" t="s">
        <v>39</v>
      </c>
      <c r="H222" s="74"/>
      <c r="I222" s="83" t="str">
        <f t="shared" si="7"/>
        <v>http://www.aidedd.org/dnd/monstres.php?vo=Hobgoblin</v>
      </c>
      <c r="J222" s="83"/>
      <c r="K222" s="74" t="s">
        <v>35</v>
      </c>
      <c r="L222" s="74" t="s">
        <v>35</v>
      </c>
    </row>
    <row r="223" spans="1:12" ht="12.75" hidden="1" customHeight="1" x14ac:dyDescent="0.15">
      <c r="A223" s="73" t="s">
        <v>273</v>
      </c>
      <c r="B223" s="89">
        <v>3</v>
      </c>
      <c r="C223" s="74" t="s">
        <v>33</v>
      </c>
      <c r="D223" s="74" t="s">
        <v>86</v>
      </c>
      <c r="E223" s="74" t="s">
        <v>19</v>
      </c>
      <c r="F223" s="74"/>
      <c r="G223" s="74" t="s">
        <v>39</v>
      </c>
      <c r="H223" s="74"/>
      <c r="I223" s="83" t="str">
        <f t="shared" si="7"/>
        <v>http://www.aidedd.org/dnd/monstres.php?vo=Hobgoblin,-captain</v>
      </c>
      <c r="J223" s="83"/>
      <c r="K223" s="74" t="s">
        <v>35</v>
      </c>
      <c r="L223" s="74" t="s">
        <v>35</v>
      </c>
    </row>
    <row r="224" spans="1:12" ht="12.75" hidden="1" customHeight="1" x14ac:dyDescent="0.15">
      <c r="A224" s="73" t="s">
        <v>274</v>
      </c>
      <c r="B224" s="89">
        <v>6</v>
      </c>
      <c r="C224" s="74" t="s">
        <v>33</v>
      </c>
      <c r="D224" s="74" t="s">
        <v>86</v>
      </c>
      <c r="E224" s="74" t="s">
        <v>19</v>
      </c>
      <c r="F224" s="74"/>
      <c r="G224" s="74" t="s">
        <v>39</v>
      </c>
      <c r="H224" s="74"/>
      <c r="I224" s="83" t="str">
        <f t="shared" si="7"/>
        <v>http://www.aidedd.org/dnd/monstres.php?vo=Hobgoblin,-warlord</v>
      </c>
      <c r="J224" s="83"/>
      <c r="K224" s="74" t="s">
        <v>35</v>
      </c>
      <c r="L224" s="74" t="s">
        <v>35</v>
      </c>
    </row>
    <row r="225" spans="1:12" ht="12.75" hidden="1" customHeight="1" x14ac:dyDescent="0.15">
      <c r="A225" s="73" t="s">
        <v>275</v>
      </c>
      <c r="B225" s="89">
        <v>0</v>
      </c>
      <c r="C225" s="74" t="s">
        <v>42</v>
      </c>
      <c r="D225" s="74"/>
      <c r="E225" s="74" t="s">
        <v>59</v>
      </c>
      <c r="F225" s="74"/>
      <c r="G225" s="74" t="s">
        <v>35</v>
      </c>
      <c r="H225" s="74"/>
      <c r="I225" s="83" t="str">
        <f t="shared" si="7"/>
        <v>http://www.aidedd.org/dnd/monstres.php?vo=Homunculus</v>
      </c>
      <c r="J225" s="83"/>
      <c r="K225" s="74" t="s">
        <v>35</v>
      </c>
      <c r="L225" s="74" t="s">
        <v>35</v>
      </c>
    </row>
    <row r="226" spans="1:12" ht="12.75" hidden="1" customHeight="1" x14ac:dyDescent="0.15">
      <c r="A226" s="73" t="s">
        <v>276</v>
      </c>
      <c r="B226" s="89">
        <v>3</v>
      </c>
      <c r="C226" s="74" t="s">
        <v>45</v>
      </c>
      <c r="D226" s="74"/>
      <c r="E226" s="74" t="s">
        <v>38</v>
      </c>
      <c r="F226" s="74"/>
      <c r="G226" s="74" t="s">
        <v>35</v>
      </c>
      <c r="H226" s="74"/>
      <c r="I226" s="83" t="str">
        <f t="shared" si="7"/>
        <v>http://www.aidedd.org/dnd/monstres.php?vo=Hook-horror</v>
      </c>
      <c r="J226" s="83"/>
      <c r="K226" s="74" t="s">
        <v>35</v>
      </c>
      <c r="L226" s="74" t="s">
        <v>35</v>
      </c>
    </row>
    <row r="227" spans="1:12" ht="12.75" hidden="1" customHeight="1" x14ac:dyDescent="0.15">
      <c r="A227" s="73" t="s">
        <v>277</v>
      </c>
      <c r="B227" s="89" t="s">
        <v>32</v>
      </c>
      <c r="C227" s="74" t="s">
        <v>48</v>
      </c>
      <c r="D227" s="74"/>
      <c r="E227" s="74" t="s">
        <v>38</v>
      </c>
      <c r="F227" s="74">
        <v>19</v>
      </c>
      <c r="G227" s="74"/>
      <c r="H227" s="74"/>
      <c r="I227" s="83" t="str">
        <f t="shared" si="7"/>
        <v>http://www.aidedd.org/dnd/monstres.php?vo=Horse,-draft</v>
      </c>
      <c r="J227" s="83"/>
      <c r="K227" s="74" t="s">
        <v>35</v>
      </c>
      <c r="L227" s="74" t="s">
        <v>35</v>
      </c>
    </row>
    <row r="228" spans="1:12" ht="12.75" hidden="1" customHeight="1" x14ac:dyDescent="0.15">
      <c r="A228" s="73" t="s">
        <v>278</v>
      </c>
      <c r="B228" s="89" t="s">
        <v>32</v>
      </c>
      <c r="C228" s="74" t="s">
        <v>48</v>
      </c>
      <c r="D228" s="74"/>
      <c r="E228" s="74" t="s">
        <v>38</v>
      </c>
      <c r="F228" s="74"/>
      <c r="G228" s="74"/>
      <c r="H228" s="74"/>
      <c r="I228" s="83" t="str">
        <f t="shared" si="7"/>
        <v>http://www.aidedd.org/dnd/monstres.php?vo=Horse,-riding</v>
      </c>
      <c r="J228" s="83"/>
      <c r="K228" s="74" t="s">
        <v>35</v>
      </c>
      <c r="L228" s="74" t="s">
        <v>35</v>
      </c>
    </row>
    <row r="229" spans="1:12" ht="12.75" hidden="1" customHeight="1" x14ac:dyDescent="0.15">
      <c r="A229" s="73" t="s">
        <v>279</v>
      </c>
      <c r="B229" s="89" t="s">
        <v>47</v>
      </c>
      <c r="C229" s="74" t="s">
        <v>48</v>
      </c>
      <c r="D229" s="74"/>
      <c r="E229" s="74" t="s">
        <v>38</v>
      </c>
      <c r="F229" s="74"/>
      <c r="G229" s="74"/>
      <c r="H229" s="74"/>
      <c r="I229" s="83" t="str">
        <f t="shared" si="7"/>
        <v>http://www.aidedd.org/dnd/monstres.php?vo=Horse,-war</v>
      </c>
      <c r="J229" s="83"/>
      <c r="K229" s="74" t="s">
        <v>35</v>
      </c>
      <c r="L229" s="74" t="s">
        <v>35</v>
      </c>
    </row>
    <row r="230" spans="1:12" ht="12.75" hidden="1" customHeight="1" x14ac:dyDescent="0.15">
      <c r="A230" s="73" t="s">
        <v>280</v>
      </c>
      <c r="B230" s="89">
        <v>8</v>
      </c>
      <c r="C230" s="74" t="s">
        <v>45</v>
      </c>
      <c r="D230" s="74"/>
      <c r="E230" s="74" t="s">
        <v>49</v>
      </c>
      <c r="F230" s="74"/>
      <c r="G230" s="74"/>
      <c r="H230" s="74"/>
      <c r="I230" s="83" t="str">
        <f t="shared" si="7"/>
        <v>http://www.aidedd.org/dnd/monstres.php?vo=Hydra</v>
      </c>
      <c r="J230" s="83"/>
      <c r="K230" s="74" t="s">
        <v>35</v>
      </c>
      <c r="L230" s="74" t="s">
        <v>35</v>
      </c>
    </row>
    <row r="231" spans="1:12" ht="12.75" hidden="1" customHeight="1" x14ac:dyDescent="0.15">
      <c r="A231" s="73" t="s">
        <v>281</v>
      </c>
      <c r="B231" s="89">
        <v>0</v>
      </c>
      <c r="C231" s="74" t="s">
        <v>48</v>
      </c>
      <c r="D231" s="74"/>
      <c r="E231" s="74" t="s">
        <v>19</v>
      </c>
      <c r="F231" s="74"/>
      <c r="G231" s="74"/>
      <c r="H231" s="74"/>
      <c r="I231" s="83" t="str">
        <f t="shared" si="7"/>
        <v>http://www.aidedd.org/dnd/monstres.php?vo=Hyena</v>
      </c>
      <c r="J231" s="83"/>
      <c r="K231" s="74" t="s">
        <v>35</v>
      </c>
      <c r="L231" s="74" t="s">
        <v>35</v>
      </c>
    </row>
    <row r="232" spans="1:12" ht="12.75" hidden="1" customHeight="1" x14ac:dyDescent="0.15">
      <c r="A232" s="73" t="s">
        <v>282</v>
      </c>
      <c r="B232" s="89">
        <v>1</v>
      </c>
      <c r="C232" s="74" t="s">
        <v>48</v>
      </c>
      <c r="D232" s="74"/>
      <c r="E232" s="74" t="s">
        <v>38</v>
      </c>
      <c r="F232" s="74"/>
      <c r="G232" s="74"/>
      <c r="H232" s="74"/>
      <c r="I232" s="83" t="str">
        <f t="shared" si="7"/>
        <v>http://www.aidedd.org/dnd/monstres.php?vo=Hyena,-giant</v>
      </c>
      <c r="J232" s="83"/>
      <c r="K232" s="74" t="s">
        <v>35</v>
      </c>
      <c r="L232" s="74" t="s">
        <v>35</v>
      </c>
    </row>
    <row r="233" spans="1:12" ht="12.75" hidden="1" customHeight="1" x14ac:dyDescent="0.15">
      <c r="A233" s="73" t="s">
        <v>283</v>
      </c>
      <c r="B233" s="89">
        <v>2</v>
      </c>
      <c r="C233" s="74" t="s">
        <v>37</v>
      </c>
      <c r="D233" s="74"/>
      <c r="E233" s="74" t="s">
        <v>59</v>
      </c>
      <c r="F233" s="74"/>
      <c r="G233" s="74" t="s">
        <v>39</v>
      </c>
      <c r="H233" s="74"/>
      <c r="I233" s="83" t="str">
        <f t="shared" si="7"/>
        <v>http://www.aidedd.org/dnd/monstres.php?vo=Intellect-devourer</v>
      </c>
      <c r="J233" s="83"/>
      <c r="K233" s="74" t="s">
        <v>35</v>
      </c>
      <c r="L233" s="74" t="s">
        <v>35</v>
      </c>
    </row>
    <row r="234" spans="1:12" ht="12.75" hidden="1" customHeight="1" x14ac:dyDescent="0.15">
      <c r="A234" s="73" t="s">
        <v>284</v>
      </c>
      <c r="B234" s="89">
        <v>6</v>
      </c>
      <c r="C234" s="74" t="s">
        <v>55</v>
      </c>
      <c r="D234" s="74"/>
      <c r="E234" s="74" t="s">
        <v>19</v>
      </c>
      <c r="F234" s="74"/>
      <c r="G234" s="74" t="s">
        <v>35</v>
      </c>
      <c r="H234" s="74"/>
      <c r="I234" s="83" t="str">
        <f t="shared" si="7"/>
        <v>http://www.aidedd.org/dnd/monstres.php?vo=Invisible-stalker</v>
      </c>
      <c r="J234" s="83"/>
      <c r="K234" s="74" t="s">
        <v>35</v>
      </c>
      <c r="L234" s="74" t="s">
        <v>35</v>
      </c>
    </row>
    <row r="235" spans="1:12" ht="12.75" hidden="1" customHeight="1" x14ac:dyDescent="0.15">
      <c r="A235" s="73" t="s">
        <v>285</v>
      </c>
      <c r="B235" s="89">
        <v>0</v>
      </c>
      <c r="C235" s="74" t="s">
        <v>48</v>
      </c>
      <c r="D235" s="74"/>
      <c r="E235" s="74" t="s">
        <v>43</v>
      </c>
      <c r="F235" s="74"/>
      <c r="G235" s="74"/>
      <c r="H235" s="74"/>
      <c r="I235" s="83" t="str">
        <f t="shared" si="7"/>
        <v>http://www.aidedd.org/dnd/monstres.php?vo=Jackal</v>
      </c>
      <c r="J235" s="83"/>
      <c r="K235" s="74" t="s">
        <v>35</v>
      </c>
      <c r="L235" s="74" t="s">
        <v>35</v>
      </c>
    </row>
    <row r="236" spans="1:12" ht="12.75" hidden="1" customHeight="1" x14ac:dyDescent="0.15">
      <c r="A236" s="73" t="s">
        <v>286</v>
      </c>
      <c r="B236" s="89" t="s">
        <v>47</v>
      </c>
      <c r="C236" s="74" t="s">
        <v>33</v>
      </c>
      <c r="D236" s="74" t="s">
        <v>118</v>
      </c>
      <c r="E236" s="74" t="s">
        <v>19</v>
      </c>
      <c r="F236" s="74"/>
      <c r="G236" s="74" t="s">
        <v>63</v>
      </c>
      <c r="H236" s="74"/>
      <c r="I236" s="83" t="str">
        <f t="shared" si="7"/>
        <v>http://www.aidedd.org/dnd/monstres.php?vo=Jackalwere</v>
      </c>
      <c r="J236" s="83"/>
      <c r="K236" s="74" t="s">
        <v>35</v>
      </c>
      <c r="L236" s="74" t="s">
        <v>35</v>
      </c>
    </row>
    <row r="237" spans="1:12" ht="12.75" hidden="1" customHeight="1" x14ac:dyDescent="0.15">
      <c r="A237" s="73" t="s">
        <v>287</v>
      </c>
      <c r="B237" s="89" t="s">
        <v>32</v>
      </c>
      <c r="C237" s="74" t="s">
        <v>33</v>
      </c>
      <c r="D237" s="74" t="s">
        <v>287</v>
      </c>
      <c r="E237" s="74" t="s">
        <v>19</v>
      </c>
      <c r="F237" s="74">
        <v>13</v>
      </c>
      <c r="G237" s="74" t="s">
        <v>100</v>
      </c>
      <c r="H237" s="74">
        <v>3</v>
      </c>
      <c r="I237" s="83" t="str">
        <f t="shared" si="7"/>
        <v>http://www.aidedd.org/dnd/monstres.php?vo=Kenku</v>
      </c>
      <c r="J237" s="83"/>
      <c r="K237" s="74" t="s">
        <v>35</v>
      </c>
      <c r="L237" s="74" t="s">
        <v>35</v>
      </c>
    </row>
    <row r="238" spans="1:12" ht="12.75" hidden="1" customHeight="1" x14ac:dyDescent="0.15">
      <c r="A238" s="73" t="s">
        <v>288</v>
      </c>
      <c r="B238" s="89">
        <v>3</v>
      </c>
      <c r="C238" s="74" t="s">
        <v>48</v>
      </c>
      <c r="D238" s="74"/>
      <c r="E238" s="74" t="s">
        <v>49</v>
      </c>
      <c r="F238" s="74"/>
      <c r="G238" s="74"/>
      <c r="H238" s="74"/>
      <c r="I238" s="83" t="str">
        <f t="shared" si="7"/>
        <v>http://www.aidedd.org/dnd/monstres.php?vo=Killer-whale</v>
      </c>
      <c r="J238" s="83"/>
      <c r="K238" s="74" t="s">
        <v>35</v>
      </c>
      <c r="L238" s="74" t="s">
        <v>35</v>
      </c>
    </row>
    <row r="239" spans="1:12" ht="12.75" hidden="1" customHeight="1" x14ac:dyDescent="0.15">
      <c r="A239" s="73" t="s">
        <v>289</v>
      </c>
      <c r="B239" s="89" t="s">
        <v>78</v>
      </c>
      <c r="C239" s="74" t="s">
        <v>33</v>
      </c>
      <c r="D239" s="74" t="s">
        <v>289</v>
      </c>
      <c r="E239" s="74" t="s">
        <v>43</v>
      </c>
      <c r="F239" s="74">
        <v>5</v>
      </c>
      <c r="G239" s="74" t="s">
        <v>39</v>
      </c>
      <c r="H239" s="74">
        <v>2</v>
      </c>
      <c r="I239" s="83" t="str">
        <f t="shared" si="7"/>
        <v>http://www.aidedd.org/dnd/monstres.php?vo=Kobold</v>
      </c>
      <c r="J239" s="83"/>
      <c r="K239" s="74" t="s">
        <v>35</v>
      </c>
      <c r="L239" s="74" t="s">
        <v>35</v>
      </c>
    </row>
    <row r="240" spans="1:12" ht="12.75" hidden="1" customHeight="1" x14ac:dyDescent="0.15">
      <c r="A240" s="73" t="s">
        <v>290</v>
      </c>
      <c r="B240" s="89" t="s">
        <v>32</v>
      </c>
      <c r="C240" s="74" t="s">
        <v>33</v>
      </c>
      <c r="D240" s="74" t="s">
        <v>289</v>
      </c>
      <c r="E240" s="74" t="s">
        <v>43</v>
      </c>
      <c r="F240" s="74"/>
      <c r="G240" s="74" t="s">
        <v>39</v>
      </c>
      <c r="H240" s="74"/>
      <c r="I240" s="83" t="str">
        <f t="shared" si="7"/>
        <v>http://www.aidedd.org/dnd/monstres.php?vo=Kobold,-winged-(urd)</v>
      </c>
      <c r="J240" s="83"/>
      <c r="K240" s="74" t="s">
        <v>35</v>
      </c>
      <c r="L240" s="74" t="s">
        <v>35</v>
      </c>
    </row>
    <row r="241" spans="1:12" ht="12.75" hidden="1" customHeight="1" x14ac:dyDescent="0.15">
      <c r="A241" s="73" t="s">
        <v>291</v>
      </c>
      <c r="B241" s="89">
        <v>23</v>
      </c>
      <c r="C241" s="74" t="s">
        <v>45</v>
      </c>
      <c r="D241" s="74" t="s">
        <v>206</v>
      </c>
      <c r="E241" s="74" t="s">
        <v>145</v>
      </c>
      <c r="F241" s="74"/>
      <c r="G241" s="74" t="s">
        <v>63</v>
      </c>
      <c r="H241" s="74"/>
      <c r="I241" s="83" t="str">
        <f t="shared" si="7"/>
        <v>http://www.aidedd.org/dnd/monstres.php?vo=Kraken</v>
      </c>
      <c r="J241" s="83"/>
      <c r="K241" s="74" t="s">
        <v>2</v>
      </c>
      <c r="L241" s="74" t="s">
        <v>2</v>
      </c>
    </row>
    <row r="242" spans="1:12" ht="12.75" hidden="1" customHeight="1" x14ac:dyDescent="0.15">
      <c r="A242" s="73" t="s">
        <v>292</v>
      </c>
      <c r="B242" s="89" t="s">
        <v>32</v>
      </c>
      <c r="C242" s="74" t="s">
        <v>33</v>
      </c>
      <c r="D242" s="74" t="s">
        <v>292</v>
      </c>
      <c r="E242" s="74" t="s">
        <v>19</v>
      </c>
      <c r="F242" s="74"/>
      <c r="G242" s="74" t="s">
        <v>70</v>
      </c>
      <c r="H242" s="74"/>
      <c r="I242" s="83" t="str">
        <f t="shared" ref="I242:I273" si="8">HYPERLINK("http://www.aidedd.org/dnd/monstres.php?vo="&amp;SUBSTITUTE(A242," ","-"))</f>
        <v>http://www.aidedd.org/dnd/monstres.php?vo=Kuo-toa</v>
      </c>
      <c r="J242" s="83"/>
      <c r="K242" s="74" t="s">
        <v>35</v>
      </c>
      <c r="L242" s="74" t="s">
        <v>35</v>
      </c>
    </row>
    <row r="243" spans="1:12" ht="12.75" hidden="1" customHeight="1" x14ac:dyDescent="0.15">
      <c r="A243" s="73" t="s">
        <v>293</v>
      </c>
      <c r="B243" s="89">
        <v>6</v>
      </c>
      <c r="C243" s="74" t="s">
        <v>33</v>
      </c>
      <c r="D243" s="74" t="s">
        <v>292</v>
      </c>
      <c r="E243" s="74" t="s">
        <v>19</v>
      </c>
      <c r="F243" s="74"/>
      <c r="G243" s="74" t="s">
        <v>70</v>
      </c>
      <c r="H243" s="74"/>
      <c r="I243" s="83" t="str">
        <f t="shared" si="8"/>
        <v>http://www.aidedd.org/dnd/monstres.php?vo=Kuo-toa,-archpriest</v>
      </c>
      <c r="J243" s="83"/>
      <c r="K243" s="74" t="s">
        <v>35</v>
      </c>
      <c r="L243" s="74" t="s">
        <v>35</v>
      </c>
    </row>
    <row r="244" spans="1:12" ht="12.75" hidden="1" customHeight="1" x14ac:dyDescent="0.15">
      <c r="A244" s="73" t="s">
        <v>294</v>
      </c>
      <c r="B244" s="89">
        <v>1</v>
      </c>
      <c r="C244" s="74" t="s">
        <v>33</v>
      </c>
      <c r="D244" s="74" t="s">
        <v>292</v>
      </c>
      <c r="E244" s="74" t="s">
        <v>19</v>
      </c>
      <c r="F244" s="74"/>
      <c r="G244" s="74" t="s">
        <v>70</v>
      </c>
      <c r="H244" s="74"/>
      <c r="I244" s="83" t="str">
        <f t="shared" si="8"/>
        <v>http://www.aidedd.org/dnd/monstres.php?vo=Kuo-toa,-whip</v>
      </c>
      <c r="J244" s="83"/>
      <c r="K244" s="74" t="s">
        <v>35</v>
      </c>
      <c r="L244" s="74" t="s">
        <v>35</v>
      </c>
    </row>
    <row r="245" spans="1:12" ht="12.75" hidden="1" customHeight="1" x14ac:dyDescent="0.15">
      <c r="A245" s="73" t="s">
        <v>295</v>
      </c>
      <c r="B245" s="89">
        <v>4</v>
      </c>
      <c r="C245" s="74" t="s">
        <v>45</v>
      </c>
      <c r="D245" s="74"/>
      <c r="E245" s="74" t="s">
        <v>38</v>
      </c>
      <c r="F245" s="74"/>
      <c r="G245" s="74" t="s">
        <v>63</v>
      </c>
      <c r="H245" s="74"/>
      <c r="I245" s="83" t="str">
        <f t="shared" si="8"/>
        <v>http://www.aidedd.org/dnd/monstres.php?vo=Lamia</v>
      </c>
      <c r="J245" s="83"/>
      <c r="K245" s="74" t="s">
        <v>35</v>
      </c>
      <c r="L245" s="74" t="s">
        <v>35</v>
      </c>
    </row>
    <row r="246" spans="1:12" ht="12.75" hidden="1" customHeight="1" x14ac:dyDescent="0.15">
      <c r="A246" s="73" t="s">
        <v>296</v>
      </c>
      <c r="B246" s="90" t="s">
        <v>758</v>
      </c>
      <c r="C246" s="74" t="s">
        <v>62</v>
      </c>
      <c r="D246" s="74"/>
      <c r="E246" s="74" t="s">
        <v>19</v>
      </c>
      <c r="F246" s="74">
        <v>135</v>
      </c>
      <c r="G246" s="74" t="s">
        <v>92</v>
      </c>
      <c r="H246" s="74">
        <v>3</v>
      </c>
      <c r="I246" s="83" t="str">
        <f t="shared" si="8"/>
        <v>http://www.aidedd.org/dnd/monstres.php?vo=Lich</v>
      </c>
      <c r="J246" s="83"/>
      <c r="K246" s="74" t="s">
        <v>2</v>
      </c>
      <c r="L246" s="74" t="s">
        <v>2</v>
      </c>
    </row>
    <row r="247" spans="1:12" ht="12.75" hidden="1" customHeight="1" x14ac:dyDescent="0.15">
      <c r="A247" s="73" t="s">
        <v>297</v>
      </c>
      <c r="B247" s="89">
        <v>1</v>
      </c>
      <c r="C247" s="74" t="s">
        <v>48</v>
      </c>
      <c r="D247" s="74"/>
      <c r="E247" s="74" t="s">
        <v>38</v>
      </c>
      <c r="F247" s="74"/>
      <c r="G247" s="74"/>
      <c r="H247" s="74"/>
      <c r="I247" s="83" t="str">
        <f t="shared" si="8"/>
        <v>http://www.aidedd.org/dnd/monstres.php?vo=Lion</v>
      </c>
      <c r="J247" s="83"/>
      <c r="K247" s="74" t="s">
        <v>35</v>
      </c>
      <c r="L247" s="74" t="s">
        <v>35</v>
      </c>
    </row>
    <row r="248" spans="1:12" ht="12.75" hidden="1" customHeight="1" x14ac:dyDescent="0.15">
      <c r="A248" s="73" t="s">
        <v>298</v>
      </c>
      <c r="B248" s="89">
        <v>0</v>
      </c>
      <c r="C248" s="74" t="s">
        <v>48</v>
      </c>
      <c r="D248" s="74"/>
      <c r="E248" s="74" t="s">
        <v>59</v>
      </c>
      <c r="F248" s="74"/>
      <c r="G248" s="74"/>
      <c r="H248" s="74"/>
      <c r="I248" s="83" t="str">
        <f t="shared" si="8"/>
        <v>http://www.aidedd.org/dnd/monstres.php?vo=Lizard</v>
      </c>
      <c r="J248" s="83"/>
      <c r="K248" s="74" t="s">
        <v>35</v>
      </c>
      <c r="L248" s="74" t="s">
        <v>35</v>
      </c>
    </row>
    <row r="249" spans="1:12" ht="12.75" hidden="1" customHeight="1" x14ac:dyDescent="0.15">
      <c r="A249" s="73" t="s">
        <v>299</v>
      </c>
      <c r="B249" s="89" t="s">
        <v>32</v>
      </c>
      <c r="C249" s="74" t="s">
        <v>48</v>
      </c>
      <c r="D249" s="74"/>
      <c r="E249" s="74" t="s">
        <v>38</v>
      </c>
      <c r="F249" s="74"/>
      <c r="G249" s="74"/>
      <c r="H249" s="74"/>
      <c r="I249" s="83" t="str">
        <f t="shared" si="8"/>
        <v>http://www.aidedd.org/dnd/monstres.php?vo=Lizard,-giant</v>
      </c>
      <c r="J249" s="83"/>
      <c r="K249" s="74" t="s">
        <v>35</v>
      </c>
      <c r="L249" s="74" t="s">
        <v>35</v>
      </c>
    </row>
    <row r="250" spans="1:12" ht="12.75" hidden="1" customHeight="1" x14ac:dyDescent="0.15">
      <c r="A250" s="73" t="s">
        <v>300</v>
      </c>
      <c r="B250" s="89" t="s">
        <v>47</v>
      </c>
      <c r="C250" s="74" t="s">
        <v>33</v>
      </c>
      <c r="D250" s="74" t="s">
        <v>300</v>
      </c>
      <c r="E250" s="74" t="s">
        <v>19</v>
      </c>
      <c r="F250" s="74"/>
      <c r="G250" s="74" t="s">
        <v>35</v>
      </c>
      <c r="H250" s="74"/>
      <c r="I250" s="83" t="str">
        <f t="shared" si="8"/>
        <v>http://www.aidedd.org/dnd/monstres.php?vo=Lizardfolk</v>
      </c>
      <c r="J250" s="83"/>
      <c r="K250" s="74" t="s">
        <v>35</v>
      </c>
      <c r="L250" s="74" t="s">
        <v>35</v>
      </c>
    </row>
    <row r="251" spans="1:12" ht="12.75" hidden="1" customHeight="1" x14ac:dyDescent="0.15">
      <c r="A251" s="73" t="s">
        <v>301</v>
      </c>
      <c r="B251" s="89">
        <v>4</v>
      </c>
      <c r="C251" s="74" t="s">
        <v>33</v>
      </c>
      <c r="D251" s="74" t="s">
        <v>300</v>
      </c>
      <c r="E251" s="74" t="s">
        <v>19</v>
      </c>
      <c r="F251" s="74"/>
      <c r="G251" s="74" t="s">
        <v>63</v>
      </c>
      <c r="H251" s="74"/>
      <c r="I251" s="83" t="str">
        <f t="shared" si="8"/>
        <v>http://www.aidedd.org/dnd/monstres.php?vo=Lizardfolk,-lizard-king/queen</v>
      </c>
      <c r="J251" s="83"/>
      <c r="K251" s="74" t="s">
        <v>35</v>
      </c>
      <c r="L251" s="74" t="s">
        <v>35</v>
      </c>
    </row>
    <row r="252" spans="1:12" ht="12.75" hidden="1" customHeight="1" x14ac:dyDescent="0.15">
      <c r="A252" s="73" t="s">
        <v>302</v>
      </c>
      <c r="B252" s="89">
        <v>2</v>
      </c>
      <c r="C252" s="74" t="s">
        <v>33</v>
      </c>
      <c r="D252" s="74" t="s">
        <v>300</v>
      </c>
      <c r="E252" s="74" t="s">
        <v>19</v>
      </c>
      <c r="F252" s="74"/>
      <c r="G252" s="74" t="s">
        <v>35</v>
      </c>
      <c r="H252" s="74"/>
      <c r="I252" s="83" t="str">
        <f t="shared" si="8"/>
        <v>http://www.aidedd.org/dnd/monstres.php?vo=Lizardfolk,-shaman</v>
      </c>
      <c r="J252" s="83"/>
      <c r="K252" s="74" t="s">
        <v>35</v>
      </c>
      <c r="L252" s="74" t="s">
        <v>35</v>
      </c>
    </row>
    <row r="253" spans="1:12" ht="12.75" hidden="1" customHeight="1" x14ac:dyDescent="0.15">
      <c r="A253" s="76" t="s">
        <v>718</v>
      </c>
      <c r="B253" s="89">
        <v>5</v>
      </c>
      <c r="C253" s="74" t="s">
        <v>33</v>
      </c>
      <c r="D253" s="74" t="s">
        <v>266</v>
      </c>
      <c r="E253" s="74" t="s">
        <v>19</v>
      </c>
      <c r="F253" s="74">
        <v>33</v>
      </c>
      <c r="G253" s="74" t="s">
        <v>34</v>
      </c>
      <c r="H253" s="74">
        <v>2</v>
      </c>
      <c r="I253" s="83" t="str">
        <f t="shared" si="8"/>
        <v>http://www.aidedd.org/dnd/monstres.php?vo=Werebear</v>
      </c>
      <c r="J253" s="83"/>
      <c r="K253" s="74" t="s">
        <v>35</v>
      </c>
      <c r="L253" s="74" t="s">
        <v>35</v>
      </c>
    </row>
    <row r="254" spans="1:12" ht="12.75" hidden="1" customHeight="1" x14ac:dyDescent="0.15">
      <c r="A254" s="76" t="s">
        <v>719</v>
      </c>
      <c r="B254" s="89">
        <v>4</v>
      </c>
      <c r="C254" s="74" t="s">
        <v>33</v>
      </c>
      <c r="D254" s="74" t="s">
        <v>266</v>
      </c>
      <c r="E254" s="74" t="s">
        <v>19</v>
      </c>
      <c r="F254" s="74"/>
      <c r="G254" s="74" t="s">
        <v>70</v>
      </c>
      <c r="H254" s="74"/>
      <c r="I254" s="83" t="str">
        <f t="shared" si="8"/>
        <v>http://www.aidedd.org/dnd/monstres.php?vo=Wereboar</v>
      </c>
      <c r="J254" s="83"/>
      <c r="K254" s="74" t="s">
        <v>35</v>
      </c>
      <c r="L254" s="74" t="s">
        <v>35</v>
      </c>
    </row>
    <row r="255" spans="1:12" ht="12.75" hidden="1" customHeight="1" x14ac:dyDescent="0.15">
      <c r="A255" s="76" t="s">
        <v>708</v>
      </c>
      <c r="B255" s="89">
        <v>2</v>
      </c>
      <c r="C255" s="74" t="s">
        <v>33</v>
      </c>
      <c r="D255" s="74" t="s">
        <v>266</v>
      </c>
      <c r="E255" s="74" t="s">
        <v>19</v>
      </c>
      <c r="F255" s="74"/>
      <c r="G255" s="74" t="s">
        <v>39</v>
      </c>
      <c r="H255" s="74"/>
      <c r="I255" s="83" t="str">
        <f t="shared" si="8"/>
        <v>http://www.aidedd.org/dnd/monstres.php?vo=Wererat</v>
      </c>
      <c r="J255" s="83"/>
      <c r="K255" s="74" t="s">
        <v>35</v>
      </c>
      <c r="L255" s="74" t="s">
        <v>35</v>
      </c>
    </row>
    <row r="256" spans="1:12" ht="12.75" hidden="1" customHeight="1" x14ac:dyDescent="0.15">
      <c r="A256" s="76" t="s">
        <v>720</v>
      </c>
      <c r="B256" s="89">
        <v>4</v>
      </c>
      <c r="C256" s="74" t="s">
        <v>33</v>
      </c>
      <c r="D256" s="74" t="s">
        <v>266</v>
      </c>
      <c r="E256" s="74" t="s">
        <v>19</v>
      </c>
      <c r="F256" s="74"/>
      <c r="G256" s="74" t="s">
        <v>35</v>
      </c>
      <c r="H256" s="74"/>
      <c r="I256" s="83" t="str">
        <f t="shared" si="8"/>
        <v>http://www.aidedd.org/dnd/monstres.php?vo=Weretiger</v>
      </c>
      <c r="J256" s="83"/>
      <c r="K256" s="74" t="s">
        <v>35</v>
      </c>
      <c r="L256" s="74" t="s">
        <v>35</v>
      </c>
    </row>
    <row r="257" spans="1:12" ht="12.75" hidden="1" customHeight="1" x14ac:dyDescent="0.15">
      <c r="A257" s="76" t="s">
        <v>721</v>
      </c>
      <c r="B257" s="89">
        <v>3</v>
      </c>
      <c r="C257" s="74" t="s">
        <v>33</v>
      </c>
      <c r="D257" s="74" t="s">
        <v>266</v>
      </c>
      <c r="E257" s="74" t="s">
        <v>19</v>
      </c>
      <c r="F257" s="74"/>
      <c r="G257" s="74" t="s">
        <v>63</v>
      </c>
      <c r="H257" s="74"/>
      <c r="I257" s="83" t="str">
        <f t="shared" si="8"/>
        <v>http://www.aidedd.org/dnd/monstres.php?vo=Werewolf</v>
      </c>
      <c r="J257" s="83"/>
      <c r="K257" s="74" t="s">
        <v>35</v>
      </c>
      <c r="L257" s="74" t="s">
        <v>35</v>
      </c>
    </row>
    <row r="258" spans="1:12" ht="12.75" hidden="1" customHeight="1" x14ac:dyDescent="0.15">
      <c r="A258" s="73" t="s">
        <v>303</v>
      </c>
      <c r="B258" s="89" t="s">
        <v>47</v>
      </c>
      <c r="C258" s="74" t="s">
        <v>55</v>
      </c>
      <c r="D258" s="74"/>
      <c r="E258" s="74" t="s">
        <v>43</v>
      </c>
      <c r="F258" s="74"/>
      <c r="G258" s="74" t="s">
        <v>100</v>
      </c>
      <c r="H258" s="74"/>
      <c r="I258" s="83" t="str">
        <f t="shared" si="8"/>
        <v>http://www.aidedd.org/dnd/monstres.php?vo=Magmin</v>
      </c>
      <c r="J258" s="83"/>
      <c r="K258" s="74" t="s">
        <v>35</v>
      </c>
      <c r="L258" s="74" t="s">
        <v>35</v>
      </c>
    </row>
    <row r="259" spans="1:12" ht="12.75" hidden="1" customHeight="1" x14ac:dyDescent="0.15">
      <c r="A259" s="73" t="s">
        <v>304</v>
      </c>
      <c r="B259" s="89">
        <v>6</v>
      </c>
      <c r="C259" s="74" t="s">
        <v>48</v>
      </c>
      <c r="D259" s="74"/>
      <c r="E259" s="74" t="s">
        <v>49</v>
      </c>
      <c r="F259" s="74"/>
      <c r="G259" s="74"/>
      <c r="H259" s="74"/>
      <c r="I259" s="83" t="str">
        <f t="shared" si="8"/>
        <v>http://www.aidedd.org/dnd/monstres.php?vo=Mammoth</v>
      </c>
      <c r="J259" s="83"/>
      <c r="K259" s="74" t="s">
        <v>35</v>
      </c>
      <c r="L259" s="74" t="s">
        <v>35</v>
      </c>
    </row>
    <row r="260" spans="1:12" ht="12.75" hidden="1" customHeight="1" x14ac:dyDescent="0.15">
      <c r="A260" s="73" t="s">
        <v>305</v>
      </c>
      <c r="B260" s="89">
        <v>3</v>
      </c>
      <c r="C260" s="74" t="s">
        <v>45</v>
      </c>
      <c r="D260" s="74"/>
      <c r="E260" s="74" t="s">
        <v>38</v>
      </c>
      <c r="F260" s="74"/>
      <c r="G260" s="74" t="s">
        <v>39</v>
      </c>
      <c r="H260" s="74"/>
      <c r="I260" s="83" t="str">
        <f t="shared" si="8"/>
        <v>http://www.aidedd.org/dnd/monstres.php?vo=Manticore</v>
      </c>
      <c r="J260" s="83"/>
      <c r="K260" s="74" t="s">
        <v>35</v>
      </c>
      <c r="L260" s="74" t="s">
        <v>35</v>
      </c>
    </row>
    <row r="261" spans="1:12" ht="12.75" hidden="1" customHeight="1" x14ac:dyDescent="0.15">
      <c r="A261" s="73" t="s">
        <v>306</v>
      </c>
      <c r="B261" s="89" t="s">
        <v>78</v>
      </c>
      <c r="C261" s="74" t="s">
        <v>48</v>
      </c>
      <c r="D261" s="74"/>
      <c r="E261" s="74" t="s">
        <v>19</v>
      </c>
      <c r="F261" s="74"/>
      <c r="G261" s="74"/>
      <c r="H261" s="74"/>
      <c r="I261" s="83" t="str">
        <f t="shared" si="8"/>
        <v>http://www.aidedd.org/dnd/monstres.php?vo=Mastiff</v>
      </c>
      <c r="J261" s="83"/>
      <c r="K261" s="74" t="s">
        <v>35</v>
      </c>
      <c r="L261" s="74" t="s">
        <v>35</v>
      </c>
    </row>
    <row r="262" spans="1:12" ht="12.75" hidden="1" customHeight="1" x14ac:dyDescent="0.15">
      <c r="A262" s="73" t="s">
        <v>307</v>
      </c>
      <c r="B262" s="89">
        <v>6</v>
      </c>
      <c r="C262" s="74" t="s">
        <v>45</v>
      </c>
      <c r="D262" s="74"/>
      <c r="E262" s="74" t="s">
        <v>19</v>
      </c>
      <c r="F262" s="74"/>
      <c r="G262" s="74" t="s">
        <v>39</v>
      </c>
      <c r="H262" s="74"/>
      <c r="I262" s="83" t="str">
        <f t="shared" si="8"/>
        <v>http://www.aidedd.org/dnd/monstres.php?vo=Medusa</v>
      </c>
      <c r="J262" s="83"/>
      <c r="K262" s="74" t="s">
        <v>35</v>
      </c>
      <c r="L262" s="74" t="s">
        <v>35</v>
      </c>
    </row>
    <row r="263" spans="1:12" ht="12.75" hidden="1" customHeight="1" x14ac:dyDescent="0.15">
      <c r="A263" s="73" t="s">
        <v>308</v>
      </c>
      <c r="B263" s="89" t="s">
        <v>47</v>
      </c>
      <c r="C263" s="74" t="s">
        <v>55</v>
      </c>
      <c r="D263" s="74"/>
      <c r="E263" s="74" t="s">
        <v>43</v>
      </c>
      <c r="F263" s="74"/>
      <c r="G263" s="74" t="s">
        <v>70</v>
      </c>
      <c r="H263" s="74"/>
      <c r="I263" s="83" t="str">
        <f t="shared" si="8"/>
        <v>http://www.aidedd.org/dnd/monstres.php?vo=Mephit,-dust</v>
      </c>
      <c r="J263" s="83"/>
      <c r="K263" s="74" t="s">
        <v>35</v>
      </c>
      <c r="L263" s="74" t="s">
        <v>35</v>
      </c>
    </row>
    <row r="264" spans="1:12" ht="12.75" hidden="1" customHeight="1" x14ac:dyDescent="0.15">
      <c r="A264" s="73" t="s">
        <v>309</v>
      </c>
      <c r="B264" s="89" t="s">
        <v>47</v>
      </c>
      <c r="C264" s="74" t="s">
        <v>55</v>
      </c>
      <c r="D264" s="74"/>
      <c r="E264" s="74" t="s">
        <v>43</v>
      </c>
      <c r="F264" s="74"/>
      <c r="G264" s="74" t="s">
        <v>70</v>
      </c>
      <c r="H264" s="74"/>
      <c r="I264" s="83" t="str">
        <f t="shared" si="8"/>
        <v>http://www.aidedd.org/dnd/monstres.php?vo=Mephit,-ice</v>
      </c>
      <c r="J264" s="83"/>
      <c r="K264" s="74" t="s">
        <v>35</v>
      </c>
      <c r="L264" s="74" t="s">
        <v>35</v>
      </c>
    </row>
    <row r="265" spans="1:12" ht="12.75" hidden="1" customHeight="1" x14ac:dyDescent="0.15">
      <c r="A265" s="73" t="s">
        <v>310</v>
      </c>
      <c r="B265" s="89" t="s">
        <v>47</v>
      </c>
      <c r="C265" s="74" t="s">
        <v>55</v>
      </c>
      <c r="D265" s="74"/>
      <c r="E265" s="74" t="s">
        <v>43</v>
      </c>
      <c r="F265" s="74"/>
      <c r="G265" s="74" t="s">
        <v>70</v>
      </c>
      <c r="H265" s="74"/>
      <c r="I265" s="83" t="str">
        <f t="shared" si="8"/>
        <v>http://www.aidedd.org/dnd/monstres.php?vo=Mephit,-magma</v>
      </c>
      <c r="J265" s="83"/>
      <c r="K265" s="74" t="s">
        <v>35</v>
      </c>
      <c r="L265" s="74" t="s">
        <v>35</v>
      </c>
    </row>
    <row r="266" spans="1:12" ht="12.75" hidden="1" customHeight="1" x14ac:dyDescent="0.15">
      <c r="A266" s="73" t="s">
        <v>311</v>
      </c>
      <c r="B266" s="89" t="s">
        <v>32</v>
      </c>
      <c r="C266" s="74" t="s">
        <v>55</v>
      </c>
      <c r="D266" s="74"/>
      <c r="E266" s="74" t="s">
        <v>43</v>
      </c>
      <c r="F266" s="74">
        <v>27</v>
      </c>
      <c r="G266" s="74" t="s">
        <v>70</v>
      </c>
      <c r="H266" s="74">
        <v>1</v>
      </c>
      <c r="I266" s="83" t="str">
        <f t="shared" si="8"/>
        <v>http://www.aidedd.org/dnd/monstres.php?vo=Mephit,-mud</v>
      </c>
      <c r="J266" s="83"/>
      <c r="K266" s="74" t="s">
        <v>35</v>
      </c>
      <c r="L266" s="74" t="s">
        <v>35</v>
      </c>
    </row>
    <row r="267" spans="1:12" ht="12.75" hidden="1" customHeight="1" x14ac:dyDescent="0.15">
      <c r="A267" s="73" t="s">
        <v>312</v>
      </c>
      <c r="B267" s="89" t="s">
        <v>32</v>
      </c>
      <c r="C267" s="74" t="s">
        <v>55</v>
      </c>
      <c r="D267" s="74"/>
      <c r="E267" s="74" t="s">
        <v>43</v>
      </c>
      <c r="F267" s="74"/>
      <c r="G267" s="74" t="s">
        <v>70</v>
      </c>
      <c r="H267" s="74"/>
      <c r="I267" s="83" t="str">
        <f t="shared" si="8"/>
        <v>http://www.aidedd.org/dnd/monstres.php?vo=Mephit,-smoke</v>
      </c>
      <c r="J267" s="83"/>
      <c r="K267" s="74" t="s">
        <v>35</v>
      </c>
      <c r="L267" s="74" t="s">
        <v>35</v>
      </c>
    </row>
    <row r="268" spans="1:12" ht="12.75" hidden="1" customHeight="1" x14ac:dyDescent="0.15">
      <c r="A268" s="73" t="s">
        <v>313</v>
      </c>
      <c r="B268" s="89" t="s">
        <v>32</v>
      </c>
      <c r="C268" s="74" t="s">
        <v>55</v>
      </c>
      <c r="D268" s="74"/>
      <c r="E268" s="74" t="s">
        <v>43</v>
      </c>
      <c r="F268" s="74"/>
      <c r="G268" s="74" t="s">
        <v>70</v>
      </c>
      <c r="H268" s="74"/>
      <c r="I268" s="83" t="str">
        <f t="shared" si="8"/>
        <v>http://www.aidedd.org/dnd/monstres.php?vo=Mephit,-steam</v>
      </c>
      <c r="J268" s="83"/>
      <c r="K268" s="74" t="s">
        <v>35</v>
      </c>
      <c r="L268" s="74" t="s">
        <v>35</v>
      </c>
    </row>
    <row r="269" spans="1:12" ht="12.75" hidden="1" customHeight="1" x14ac:dyDescent="0.15">
      <c r="A269" s="73" t="s">
        <v>314</v>
      </c>
      <c r="B269" s="89" t="s">
        <v>78</v>
      </c>
      <c r="C269" s="74" t="s">
        <v>33</v>
      </c>
      <c r="D269" s="74" t="s">
        <v>314</v>
      </c>
      <c r="E269" s="74" t="s">
        <v>19</v>
      </c>
      <c r="F269" s="74"/>
      <c r="G269" s="74" t="s">
        <v>35</v>
      </c>
      <c r="H269" s="74"/>
      <c r="I269" s="83" t="str">
        <f t="shared" si="8"/>
        <v>http://www.aidedd.org/dnd/monstres.php?vo=Merfolk</v>
      </c>
      <c r="J269" s="83"/>
      <c r="K269" s="74" t="s">
        <v>35</v>
      </c>
      <c r="L269" s="74" t="s">
        <v>35</v>
      </c>
    </row>
    <row r="270" spans="1:12" ht="12.75" hidden="1" customHeight="1" x14ac:dyDescent="0.15">
      <c r="A270" s="73" t="s">
        <v>315</v>
      </c>
      <c r="B270" s="89">
        <v>2</v>
      </c>
      <c r="C270" s="74" t="s">
        <v>45</v>
      </c>
      <c r="D270" s="74"/>
      <c r="E270" s="74" t="s">
        <v>38</v>
      </c>
      <c r="F270" s="74"/>
      <c r="G270" s="74" t="s">
        <v>63</v>
      </c>
      <c r="H270" s="74"/>
      <c r="I270" s="83" t="str">
        <f t="shared" si="8"/>
        <v>http://www.aidedd.org/dnd/monstres.php?vo=Merrow</v>
      </c>
      <c r="J270" s="83"/>
      <c r="K270" s="74" t="s">
        <v>35</v>
      </c>
      <c r="L270" s="74" t="s">
        <v>35</v>
      </c>
    </row>
    <row r="271" spans="1:12" ht="12.75" hidden="1" customHeight="1" x14ac:dyDescent="0.15">
      <c r="A271" s="73" t="s">
        <v>316</v>
      </c>
      <c r="B271" s="89">
        <v>2</v>
      </c>
      <c r="C271" s="74" t="s">
        <v>45</v>
      </c>
      <c r="D271" s="74" t="s">
        <v>118</v>
      </c>
      <c r="E271" s="74" t="s">
        <v>19</v>
      </c>
      <c r="F271" s="74">
        <v>58</v>
      </c>
      <c r="G271" s="74" t="s">
        <v>35</v>
      </c>
      <c r="H271" s="74">
        <v>1</v>
      </c>
      <c r="I271" s="83" t="str">
        <f t="shared" si="8"/>
        <v>http://www.aidedd.org/dnd/monstres.php?vo=Mimic</v>
      </c>
      <c r="J271" s="83"/>
      <c r="K271" s="74" t="s">
        <v>35</v>
      </c>
      <c r="L271" s="74" t="s">
        <v>35</v>
      </c>
    </row>
    <row r="272" spans="1:12" ht="12.75" hidden="1" customHeight="1" x14ac:dyDescent="0.15">
      <c r="A272" s="73" t="s">
        <v>317</v>
      </c>
      <c r="B272" s="89">
        <v>7</v>
      </c>
      <c r="C272" s="74" t="s">
        <v>37</v>
      </c>
      <c r="D272" s="74"/>
      <c r="E272" s="74" t="s">
        <v>19</v>
      </c>
      <c r="F272" s="74"/>
      <c r="G272" s="74" t="s">
        <v>39</v>
      </c>
      <c r="H272" s="74"/>
      <c r="I272" s="83" t="str">
        <f t="shared" si="8"/>
        <v>http://www.aidedd.org/dnd/monstres.php?vo=Mind-flayer</v>
      </c>
      <c r="J272" s="83"/>
      <c r="K272" s="74" t="s">
        <v>35</v>
      </c>
      <c r="L272" s="74" t="s">
        <v>35</v>
      </c>
    </row>
    <row r="273" spans="1:12" ht="12.75" hidden="1" customHeight="1" x14ac:dyDescent="0.15">
      <c r="A273" s="73" t="s">
        <v>318</v>
      </c>
      <c r="B273" s="89">
        <v>8</v>
      </c>
      <c r="C273" s="74" t="s">
        <v>37</v>
      </c>
      <c r="D273" s="74"/>
      <c r="E273" s="74" t="s">
        <v>19</v>
      </c>
      <c r="F273" s="74"/>
      <c r="G273" s="74" t="s">
        <v>39</v>
      </c>
      <c r="H273" s="74"/>
      <c r="I273" s="83" t="str">
        <f t="shared" si="8"/>
        <v>http://www.aidedd.org/dnd/monstres.php?vo=Mind-flayer,-arcanist</v>
      </c>
      <c r="J273" s="83"/>
      <c r="K273" s="74" t="s">
        <v>35</v>
      </c>
      <c r="L273" s="74" t="s">
        <v>35</v>
      </c>
    </row>
    <row r="274" spans="1:12" ht="12.75" hidden="1" customHeight="1" x14ac:dyDescent="0.15">
      <c r="A274" s="73" t="s">
        <v>319</v>
      </c>
      <c r="B274" s="89">
        <v>3</v>
      </c>
      <c r="C274" s="74" t="s">
        <v>45</v>
      </c>
      <c r="D274" s="74"/>
      <c r="E274" s="74" t="s">
        <v>38</v>
      </c>
      <c r="F274" s="74"/>
      <c r="G274" s="74" t="s">
        <v>63</v>
      </c>
      <c r="H274" s="74"/>
      <c r="I274" s="83" t="str">
        <f t="shared" ref="I274:I305" si="9">HYPERLINK("http://www.aidedd.org/dnd/monstres.php?vo="&amp;SUBSTITUTE(A274," ","-"))</f>
        <v>http://www.aidedd.org/dnd/monstres.php?vo=Minotaur</v>
      </c>
      <c r="J274" s="83"/>
      <c r="K274" s="74" t="s">
        <v>35</v>
      </c>
      <c r="L274" s="74" t="s">
        <v>35</v>
      </c>
    </row>
    <row r="275" spans="1:12" ht="12.75" hidden="1" customHeight="1" x14ac:dyDescent="0.15">
      <c r="A275" s="73" t="s">
        <v>320</v>
      </c>
      <c r="B275" s="89" t="s">
        <v>32</v>
      </c>
      <c r="C275" s="74" t="s">
        <v>42</v>
      </c>
      <c r="D275" s="74"/>
      <c r="E275" s="74" t="s">
        <v>19</v>
      </c>
      <c r="F275" s="74"/>
      <c r="G275" s="74" t="s">
        <v>56</v>
      </c>
      <c r="H275" s="74"/>
      <c r="I275" s="83" t="str">
        <f t="shared" si="9"/>
        <v>http://www.aidedd.org/dnd/monstres.php?vo=Modron,-duodrone</v>
      </c>
      <c r="J275" s="83"/>
      <c r="K275" s="74" t="s">
        <v>35</v>
      </c>
      <c r="L275" s="74" t="s">
        <v>35</v>
      </c>
    </row>
    <row r="276" spans="1:12" ht="12.75" hidden="1" customHeight="1" x14ac:dyDescent="0.15">
      <c r="A276" s="73" t="s">
        <v>321</v>
      </c>
      <c r="B276" s="89" t="s">
        <v>78</v>
      </c>
      <c r="C276" s="74" t="s">
        <v>42</v>
      </c>
      <c r="D276" s="74"/>
      <c r="E276" s="74" t="s">
        <v>19</v>
      </c>
      <c r="F276" s="74"/>
      <c r="G276" s="74" t="s">
        <v>56</v>
      </c>
      <c r="H276" s="74"/>
      <c r="I276" s="83" t="str">
        <f t="shared" si="9"/>
        <v>http://www.aidedd.org/dnd/monstres.php?vo=Modron,-monodrone</v>
      </c>
      <c r="J276" s="83"/>
      <c r="K276" s="74" t="s">
        <v>35</v>
      </c>
      <c r="L276" s="74" t="s">
        <v>35</v>
      </c>
    </row>
    <row r="277" spans="1:12" ht="12.75" hidden="1" customHeight="1" x14ac:dyDescent="0.15">
      <c r="A277" s="73" t="s">
        <v>322</v>
      </c>
      <c r="B277" s="89">
        <v>2</v>
      </c>
      <c r="C277" s="74" t="s">
        <v>42</v>
      </c>
      <c r="D277" s="74"/>
      <c r="E277" s="74" t="s">
        <v>38</v>
      </c>
      <c r="F277" s="74"/>
      <c r="G277" s="74" t="s">
        <v>56</v>
      </c>
      <c r="H277" s="74"/>
      <c r="I277" s="83" t="str">
        <f t="shared" si="9"/>
        <v>http://www.aidedd.org/dnd/monstres.php?vo=Modron,-pentadrone</v>
      </c>
      <c r="J277" s="83"/>
      <c r="K277" s="74" t="s">
        <v>35</v>
      </c>
      <c r="L277" s="74" t="s">
        <v>35</v>
      </c>
    </row>
    <row r="278" spans="1:12" ht="12.75" hidden="1" customHeight="1" x14ac:dyDescent="0.15">
      <c r="A278" s="73" t="s">
        <v>323</v>
      </c>
      <c r="B278" s="89">
        <v>1</v>
      </c>
      <c r="C278" s="74" t="s">
        <v>42</v>
      </c>
      <c r="D278" s="74"/>
      <c r="E278" s="74" t="s">
        <v>19</v>
      </c>
      <c r="F278" s="74"/>
      <c r="G278" s="74" t="s">
        <v>56</v>
      </c>
      <c r="H278" s="74"/>
      <c r="I278" s="83" t="str">
        <f t="shared" si="9"/>
        <v>http://www.aidedd.org/dnd/monstres.php?vo=Modron,-quadrone</v>
      </c>
      <c r="J278" s="83"/>
      <c r="K278" s="74" t="s">
        <v>35</v>
      </c>
      <c r="L278" s="74" t="s">
        <v>35</v>
      </c>
    </row>
    <row r="279" spans="1:12" ht="12.75" hidden="1" customHeight="1" x14ac:dyDescent="0.15">
      <c r="A279" s="73" t="s">
        <v>324</v>
      </c>
      <c r="B279" s="89" t="s">
        <v>47</v>
      </c>
      <c r="C279" s="74" t="s">
        <v>42</v>
      </c>
      <c r="D279" s="74"/>
      <c r="E279" s="74" t="s">
        <v>19</v>
      </c>
      <c r="F279" s="74"/>
      <c r="G279" s="74" t="s">
        <v>56</v>
      </c>
      <c r="H279" s="74"/>
      <c r="I279" s="83" t="str">
        <f t="shared" si="9"/>
        <v>http://www.aidedd.org/dnd/monstres.php?vo=Modron,-tridrone</v>
      </c>
      <c r="J279" s="83"/>
      <c r="K279" s="74" t="s">
        <v>35</v>
      </c>
      <c r="L279" s="74" t="s">
        <v>35</v>
      </c>
    </row>
    <row r="280" spans="1:12" ht="12.75" hidden="1" customHeight="1" x14ac:dyDescent="0.15">
      <c r="A280" s="73" t="s">
        <v>325</v>
      </c>
      <c r="B280" s="89" t="s">
        <v>78</v>
      </c>
      <c r="C280" s="74" t="s">
        <v>48</v>
      </c>
      <c r="D280" s="74"/>
      <c r="E280" s="74" t="s">
        <v>19</v>
      </c>
      <c r="F280" s="74"/>
      <c r="G280" s="74"/>
      <c r="H280" s="74"/>
      <c r="I280" s="83" t="str">
        <f t="shared" si="9"/>
        <v>http://www.aidedd.org/dnd/monstres.php?vo=Mule</v>
      </c>
      <c r="J280" s="83"/>
      <c r="K280" s="74" t="s">
        <v>35</v>
      </c>
      <c r="L280" s="74" t="s">
        <v>35</v>
      </c>
    </row>
    <row r="281" spans="1:12" ht="12.75" hidden="1" customHeight="1" x14ac:dyDescent="0.15">
      <c r="A281" s="73" t="s">
        <v>326</v>
      </c>
      <c r="B281" s="89">
        <v>3</v>
      </c>
      <c r="C281" s="74" t="s">
        <v>62</v>
      </c>
      <c r="D281" s="74"/>
      <c r="E281" s="74" t="s">
        <v>19</v>
      </c>
      <c r="F281" s="74"/>
      <c r="G281" s="74" t="s">
        <v>39</v>
      </c>
      <c r="H281" s="74"/>
      <c r="I281" s="83" t="str">
        <f t="shared" si="9"/>
        <v>http://www.aidedd.org/dnd/monstres.php?vo=Mummy</v>
      </c>
      <c r="J281" s="83"/>
      <c r="K281" s="74" t="s">
        <v>35</v>
      </c>
      <c r="L281" s="74" t="s">
        <v>35</v>
      </c>
    </row>
    <row r="282" spans="1:12" ht="12.75" hidden="1" customHeight="1" x14ac:dyDescent="0.15">
      <c r="A282" s="73" t="s">
        <v>327</v>
      </c>
      <c r="B282" s="89">
        <v>15</v>
      </c>
      <c r="C282" s="74" t="s">
        <v>62</v>
      </c>
      <c r="D282" s="74"/>
      <c r="E282" s="74" t="s">
        <v>19</v>
      </c>
      <c r="F282" s="74"/>
      <c r="G282" s="74" t="s">
        <v>39</v>
      </c>
      <c r="H282" s="74"/>
      <c r="I282" s="83" t="str">
        <f t="shared" si="9"/>
        <v>http://www.aidedd.org/dnd/monstres.php?vo=Mummy-lord</v>
      </c>
      <c r="J282" s="83"/>
      <c r="K282" s="74" t="s">
        <v>2</v>
      </c>
      <c r="L282" s="74" t="s">
        <v>2</v>
      </c>
    </row>
    <row r="283" spans="1:12" ht="12.75" hidden="1" customHeight="1" x14ac:dyDescent="0.15">
      <c r="A283" s="73" t="s">
        <v>328</v>
      </c>
      <c r="B283" s="89" t="s">
        <v>47</v>
      </c>
      <c r="C283" s="74" t="s">
        <v>51</v>
      </c>
      <c r="D283" s="74"/>
      <c r="E283" s="74" t="s">
        <v>19</v>
      </c>
      <c r="F283" s="74"/>
      <c r="G283" s="74" t="s">
        <v>56</v>
      </c>
      <c r="H283" s="74"/>
      <c r="I283" s="83" t="str">
        <f t="shared" si="9"/>
        <v>http://www.aidedd.org/dnd/monstres.php?vo=Myconid,-adult</v>
      </c>
      <c r="J283" s="83"/>
      <c r="K283" s="74" t="s">
        <v>35</v>
      </c>
      <c r="L283" s="74" t="s">
        <v>35</v>
      </c>
    </row>
    <row r="284" spans="1:12" ht="12.75" hidden="1" customHeight="1" x14ac:dyDescent="0.15">
      <c r="A284" s="73" t="s">
        <v>329</v>
      </c>
      <c r="B284" s="89">
        <v>1</v>
      </c>
      <c r="C284" s="74" t="s">
        <v>51</v>
      </c>
      <c r="D284" s="74"/>
      <c r="E284" s="74" t="s">
        <v>19</v>
      </c>
      <c r="F284" s="74"/>
      <c r="G284" s="74"/>
      <c r="H284" s="74"/>
      <c r="I284" s="83" t="str">
        <f t="shared" si="9"/>
        <v>http://www.aidedd.org/dnd/monstres.php?vo=Myconid,-quaggoth-spore-servant</v>
      </c>
      <c r="J284" s="83"/>
      <c r="K284" s="74" t="s">
        <v>35</v>
      </c>
      <c r="L284" s="74" t="s">
        <v>35</v>
      </c>
    </row>
    <row r="285" spans="1:12" ht="12.75" hidden="1" customHeight="1" x14ac:dyDescent="0.15">
      <c r="A285" s="73" t="s">
        <v>330</v>
      </c>
      <c r="B285" s="89">
        <v>2</v>
      </c>
      <c r="C285" s="74" t="s">
        <v>51</v>
      </c>
      <c r="D285" s="74"/>
      <c r="E285" s="74" t="s">
        <v>38</v>
      </c>
      <c r="F285" s="74"/>
      <c r="G285" s="74" t="s">
        <v>56</v>
      </c>
      <c r="H285" s="74"/>
      <c r="I285" s="83" t="str">
        <f t="shared" si="9"/>
        <v>http://www.aidedd.org/dnd/monstres.php?vo=Myconid,-sovereign</v>
      </c>
      <c r="J285" s="83"/>
      <c r="K285" s="74" t="s">
        <v>35</v>
      </c>
      <c r="L285" s="74" t="s">
        <v>35</v>
      </c>
    </row>
    <row r="286" spans="1:12" ht="12.75" hidden="1" customHeight="1" x14ac:dyDescent="0.15">
      <c r="A286" s="73" t="s">
        <v>331</v>
      </c>
      <c r="B286" s="89"/>
      <c r="C286" s="74" t="s">
        <v>51</v>
      </c>
      <c r="D286" s="74"/>
      <c r="E286" s="74"/>
      <c r="F286" s="74"/>
      <c r="G286" s="74"/>
      <c r="H286" s="74"/>
      <c r="I286" s="83" t="str">
        <f t="shared" si="9"/>
        <v>http://www.aidedd.org/dnd/monstres.php?vo=Myconid,-spore-servant-(template)</v>
      </c>
      <c r="J286" s="83"/>
      <c r="K286" s="74"/>
      <c r="L286" s="74"/>
    </row>
    <row r="287" spans="1:12" ht="12.75" hidden="1" customHeight="1" x14ac:dyDescent="0.15">
      <c r="A287" s="73" t="s">
        <v>332</v>
      </c>
      <c r="B287" s="89">
        <v>0</v>
      </c>
      <c r="C287" s="74" t="s">
        <v>51</v>
      </c>
      <c r="D287" s="74"/>
      <c r="E287" s="74" t="s">
        <v>43</v>
      </c>
      <c r="F287" s="74"/>
      <c r="G287" s="74" t="s">
        <v>56</v>
      </c>
      <c r="H287" s="74"/>
      <c r="I287" s="83" t="str">
        <f t="shared" si="9"/>
        <v>http://www.aidedd.org/dnd/monstres.php?vo=Myconid,-sprout</v>
      </c>
      <c r="J287" s="83"/>
      <c r="K287" s="74" t="s">
        <v>35</v>
      </c>
      <c r="L287" s="74" t="s">
        <v>35</v>
      </c>
    </row>
    <row r="288" spans="1:12" ht="12.75" hidden="1" customHeight="1" x14ac:dyDescent="0.15">
      <c r="A288" s="73" t="s">
        <v>333</v>
      </c>
      <c r="B288" s="89">
        <v>4</v>
      </c>
      <c r="C288" s="74" t="s">
        <v>62</v>
      </c>
      <c r="D288" s="74"/>
      <c r="E288" s="74" t="s">
        <v>38</v>
      </c>
      <c r="F288" s="74"/>
      <c r="G288" s="74" t="s">
        <v>39</v>
      </c>
      <c r="H288" s="74"/>
      <c r="I288" s="83" t="str">
        <f t="shared" si="9"/>
        <v>http://www.aidedd.org/dnd/monstres.php?vo=Naga,-bone</v>
      </c>
      <c r="J288" s="83"/>
      <c r="K288" s="74" t="s">
        <v>35</v>
      </c>
      <c r="L288" s="74" t="s">
        <v>35</v>
      </c>
    </row>
    <row r="289" spans="1:12" ht="12.75" hidden="1" customHeight="1" x14ac:dyDescent="0.15">
      <c r="A289" s="73" t="s">
        <v>334</v>
      </c>
      <c r="B289" s="89">
        <v>10</v>
      </c>
      <c r="C289" s="74" t="s">
        <v>45</v>
      </c>
      <c r="D289" s="74"/>
      <c r="E289" s="74" t="s">
        <v>38</v>
      </c>
      <c r="F289" s="74"/>
      <c r="G289" s="74" t="s">
        <v>41</v>
      </c>
      <c r="H289" s="74"/>
      <c r="I289" s="83" t="str">
        <f t="shared" si="9"/>
        <v>http://www.aidedd.org/dnd/monstres.php?vo=Naga,-guardian</v>
      </c>
      <c r="J289" s="83"/>
      <c r="K289" s="74" t="s">
        <v>35</v>
      </c>
      <c r="L289" s="74" t="s">
        <v>35</v>
      </c>
    </row>
    <row r="290" spans="1:12" ht="12.75" hidden="1" customHeight="1" x14ac:dyDescent="0.15">
      <c r="A290" s="73" t="s">
        <v>335</v>
      </c>
      <c r="B290" s="89">
        <v>8</v>
      </c>
      <c r="C290" s="74" t="s">
        <v>45</v>
      </c>
      <c r="D290" s="74"/>
      <c r="E290" s="74" t="s">
        <v>38</v>
      </c>
      <c r="F290" s="74"/>
      <c r="G290" s="74" t="s">
        <v>63</v>
      </c>
      <c r="H290" s="74"/>
      <c r="I290" s="83" t="str">
        <f t="shared" si="9"/>
        <v>http://www.aidedd.org/dnd/monstres.php?vo=Naga,-spirit</v>
      </c>
      <c r="J290" s="83"/>
      <c r="K290" s="74" t="s">
        <v>35</v>
      </c>
      <c r="L290" s="74" t="s">
        <v>35</v>
      </c>
    </row>
    <row r="291" spans="1:12" ht="12.75" hidden="1" customHeight="1" x14ac:dyDescent="0.15">
      <c r="A291" s="73" t="s">
        <v>336</v>
      </c>
      <c r="B291" s="89">
        <v>3</v>
      </c>
      <c r="C291" s="74" t="s">
        <v>91</v>
      </c>
      <c r="D291" s="74"/>
      <c r="E291" s="74" t="s">
        <v>38</v>
      </c>
      <c r="F291" s="74"/>
      <c r="G291" s="74" t="s">
        <v>70</v>
      </c>
      <c r="H291" s="74"/>
      <c r="I291" s="83" t="str">
        <f t="shared" si="9"/>
        <v>http://www.aidedd.org/dnd/monstres.php?vo=Nightmare</v>
      </c>
      <c r="J291" s="83"/>
      <c r="K291" s="74" t="s">
        <v>35</v>
      </c>
      <c r="L291" s="74" t="s">
        <v>35</v>
      </c>
    </row>
    <row r="292" spans="1:12" ht="12.75" hidden="1" customHeight="1" x14ac:dyDescent="0.15">
      <c r="A292" s="73" t="s">
        <v>337</v>
      </c>
      <c r="B292" s="89">
        <v>2</v>
      </c>
      <c r="C292" s="74" t="s">
        <v>37</v>
      </c>
      <c r="D292" s="74"/>
      <c r="E292" s="74" t="s">
        <v>19</v>
      </c>
      <c r="F292" s="74">
        <v>45</v>
      </c>
      <c r="G292" s="74" t="s">
        <v>70</v>
      </c>
      <c r="H292" s="74"/>
      <c r="I292" s="83" t="str">
        <f t="shared" si="9"/>
        <v>http://www.aidedd.org/dnd/monstres.php?vo=Nothic</v>
      </c>
      <c r="J292" s="83"/>
      <c r="K292" s="74" t="s">
        <v>35</v>
      </c>
      <c r="L292" s="74" t="s">
        <v>35</v>
      </c>
    </row>
    <row r="293" spans="1:12" ht="12.75" hidden="1" customHeight="1" x14ac:dyDescent="0.15">
      <c r="A293" s="73" t="s">
        <v>338</v>
      </c>
      <c r="B293" s="89" t="s">
        <v>32</v>
      </c>
      <c r="C293" s="74" t="s">
        <v>33</v>
      </c>
      <c r="D293" s="74" t="s">
        <v>227</v>
      </c>
      <c r="E293" s="74" t="s">
        <v>19</v>
      </c>
      <c r="F293" s="74">
        <v>9</v>
      </c>
      <c r="G293" s="74" t="s">
        <v>227</v>
      </c>
      <c r="H293" s="74"/>
      <c r="I293" s="83" t="str">
        <f t="shared" si="9"/>
        <v>http://www.aidedd.org/dnd/monstres.php?vo=NPC-acolyte</v>
      </c>
      <c r="J293" s="83"/>
      <c r="K293" s="74" t="s">
        <v>35</v>
      </c>
      <c r="L293" s="74" t="s">
        <v>35</v>
      </c>
    </row>
    <row r="294" spans="1:12" ht="12.75" hidden="1" customHeight="1" x14ac:dyDescent="0.15">
      <c r="A294" s="73" t="s">
        <v>339</v>
      </c>
      <c r="B294" s="89">
        <v>12</v>
      </c>
      <c r="C294" s="74" t="s">
        <v>33</v>
      </c>
      <c r="D294" s="74" t="s">
        <v>227</v>
      </c>
      <c r="E294" s="74" t="s">
        <v>19</v>
      </c>
      <c r="F294" s="74">
        <v>99</v>
      </c>
      <c r="G294" s="74" t="s">
        <v>227</v>
      </c>
      <c r="H294" s="74"/>
      <c r="I294" s="83" t="str">
        <f t="shared" si="9"/>
        <v>http://www.aidedd.org/dnd/monstres.php?vo=NPC-archmage</v>
      </c>
      <c r="J294" s="83"/>
      <c r="K294" s="74" t="s">
        <v>35</v>
      </c>
      <c r="L294" s="74" t="s">
        <v>35</v>
      </c>
    </row>
    <row r="295" spans="1:12" ht="12.75" hidden="1" customHeight="1" x14ac:dyDescent="0.15">
      <c r="A295" s="76" t="s">
        <v>762</v>
      </c>
      <c r="B295" s="89">
        <v>8</v>
      </c>
      <c r="C295" s="74" t="s">
        <v>33</v>
      </c>
      <c r="D295" s="74" t="s">
        <v>227</v>
      </c>
      <c r="E295" s="74" t="s">
        <v>19</v>
      </c>
      <c r="F295" s="74">
        <v>78</v>
      </c>
      <c r="G295" s="74" t="s">
        <v>340</v>
      </c>
      <c r="H295" s="74">
        <v>3</v>
      </c>
      <c r="I295" s="83" t="str">
        <f t="shared" si="9"/>
        <v>http://www.aidedd.org/dnd/monstres.php?vo=Assassin</v>
      </c>
      <c r="J295" s="83"/>
      <c r="K295" s="74" t="s">
        <v>35</v>
      </c>
      <c r="L295" s="74" t="s">
        <v>35</v>
      </c>
    </row>
    <row r="296" spans="1:12" ht="12.75" hidden="1" customHeight="1" x14ac:dyDescent="0.15">
      <c r="A296" s="76" t="s">
        <v>722</v>
      </c>
      <c r="B296" s="89" t="s">
        <v>78</v>
      </c>
      <c r="C296" s="74" t="s">
        <v>33</v>
      </c>
      <c r="D296" s="74" t="s">
        <v>227</v>
      </c>
      <c r="E296" s="74" t="s">
        <v>19</v>
      </c>
      <c r="F296" s="74">
        <v>11</v>
      </c>
      <c r="G296" s="74" t="s">
        <v>341</v>
      </c>
      <c r="H296" s="74">
        <v>1</v>
      </c>
      <c r="I296" s="83" t="str">
        <f t="shared" si="9"/>
        <v>http://www.aidedd.org/dnd/monstres.php?vo=Bandit</v>
      </c>
      <c r="J296" s="83"/>
      <c r="K296" s="74" t="s">
        <v>35</v>
      </c>
      <c r="L296" s="74" t="s">
        <v>35</v>
      </c>
    </row>
    <row r="297" spans="1:12" ht="12.75" hidden="1" customHeight="1" x14ac:dyDescent="0.15">
      <c r="A297" s="76" t="s">
        <v>723</v>
      </c>
      <c r="B297" s="89">
        <v>2</v>
      </c>
      <c r="C297" s="74" t="s">
        <v>33</v>
      </c>
      <c r="D297" s="74" t="s">
        <v>227</v>
      </c>
      <c r="E297" s="74" t="s">
        <v>19</v>
      </c>
      <c r="F297" s="74">
        <v>65</v>
      </c>
      <c r="G297" s="74" t="s">
        <v>341</v>
      </c>
      <c r="H297" s="74"/>
      <c r="I297" s="83" t="str">
        <f t="shared" si="9"/>
        <v>http://www.aidedd.org/dnd/monstres.php?vo=Bandit-Captain</v>
      </c>
      <c r="J297" s="83"/>
      <c r="K297" s="74" t="s">
        <v>35</v>
      </c>
      <c r="L297" s="74" t="s">
        <v>35</v>
      </c>
    </row>
    <row r="298" spans="1:12" ht="12.75" hidden="1" customHeight="1" x14ac:dyDescent="0.15">
      <c r="A298" s="73" t="s">
        <v>342</v>
      </c>
      <c r="B298" s="89">
        <v>2</v>
      </c>
      <c r="C298" s="74" t="s">
        <v>33</v>
      </c>
      <c r="D298" s="74" t="s">
        <v>227</v>
      </c>
      <c r="E298" s="74" t="s">
        <v>19</v>
      </c>
      <c r="F298" s="74">
        <v>67</v>
      </c>
      <c r="G298" s="74" t="s">
        <v>343</v>
      </c>
      <c r="H298" s="74"/>
      <c r="I298" s="83" t="str">
        <f t="shared" si="9"/>
        <v>http://www.aidedd.org/dnd/monstres.php?vo=NPC-berserker</v>
      </c>
      <c r="J298" s="83"/>
      <c r="K298" s="74" t="s">
        <v>35</v>
      </c>
      <c r="L298" s="74" t="s">
        <v>35</v>
      </c>
    </row>
    <row r="299" spans="1:12" ht="12.75" hidden="1" customHeight="1" x14ac:dyDescent="0.15">
      <c r="A299" s="73" t="s">
        <v>344</v>
      </c>
      <c r="B299" s="89">
        <v>0</v>
      </c>
      <c r="C299" s="74" t="s">
        <v>33</v>
      </c>
      <c r="D299" s="74" t="s">
        <v>227</v>
      </c>
      <c r="E299" s="74" t="s">
        <v>19</v>
      </c>
      <c r="F299" s="74">
        <v>4</v>
      </c>
      <c r="G299" s="74" t="s">
        <v>227</v>
      </c>
      <c r="H299" s="74"/>
      <c r="I299" s="83" t="str">
        <f t="shared" si="9"/>
        <v>http://www.aidedd.org/dnd/monstres.php?vo=NPC-commoner</v>
      </c>
      <c r="J299" s="83"/>
      <c r="K299" s="74" t="s">
        <v>35</v>
      </c>
      <c r="L299" s="74" t="s">
        <v>35</v>
      </c>
    </row>
    <row r="300" spans="1:12" ht="12.75" hidden="1" customHeight="1" x14ac:dyDescent="0.15">
      <c r="A300" s="73" t="s">
        <v>345</v>
      </c>
      <c r="B300" s="89">
        <v>2</v>
      </c>
      <c r="C300" s="74" t="s">
        <v>33</v>
      </c>
      <c r="D300" s="74" t="s">
        <v>227</v>
      </c>
      <c r="E300" s="74" t="s">
        <v>19</v>
      </c>
      <c r="F300" s="74">
        <v>33</v>
      </c>
      <c r="G300" s="74" t="s">
        <v>340</v>
      </c>
      <c r="H300" s="74"/>
      <c r="I300" s="83" t="str">
        <f t="shared" si="9"/>
        <v>http://www.aidedd.org/dnd/monstres.php?vo=NPC-cult-fanatic</v>
      </c>
      <c r="J300" s="83"/>
      <c r="K300" s="74" t="s">
        <v>35</v>
      </c>
      <c r="L300" s="74" t="s">
        <v>35</v>
      </c>
    </row>
    <row r="301" spans="1:12" ht="12.75" hidden="1" customHeight="1" x14ac:dyDescent="0.15">
      <c r="A301" s="73" t="s">
        <v>346</v>
      </c>
      <c r="B301" s="89" t="s">
        <v>78</v>
      </c>
      <c r="C301" s="74" t="s">
        <v>33</v>
      </c>
      <c r="D301" s="74" t="s">
        <v>227</v>
      </c>
      <c r="E301" s="74" t="s">
        <v>19</v>
      </c>
      <c r="F301" s="74">
        <v>9</v>
      </c>
      <c r="G301" s="74" t="s">
        <v>340</v>
      </c>
      <c r="H301" s="74"/>
      <c r="I301" s="83" t="str">
        <f t="shared" si="9"/>
        <v>http://www.aidedd.org/dnd/monstres.php?vo=NPC,-Cultist</v>
      </c>
      <c r="J301" s="83"/>
      <c r="K301" s="74" t="s">
        <v>35</v>
      </c>
      <c r="L301" s="74" t="s">
        <v>35</v>
      </c>
    </row>
    <row r="302" spans="1:12" ht="12.75" hidden="1" customHeight="1" x14ac:dyDescent="0.15">
      <c r="A302" s="73" t="s">
        <v>347</v>
      </c>
      <c r="B302" s="89">
        <v>2</v>
      </c>
      <c r="C302" s="74" t="s">
        <v>33</v>
      </c>
      <c r="D302" s="74" t="s">
        <v>227</v>
      </c>
      <c r="E302" s="74" t="s">
        <v>19</v>
      </c>
      <c r="F302" s="74">
        <v>27</v>
      </c>
      <c r="G302" s="74" t="s">
        <v>227</v>
      </c>
      <c r="H302" s="74"/>
      <c r="I302" s="83" t="str">
        <f t="shared" si="9"/>
        <v>http://www.aidedd.org/dnd/monstres.php?vo=NPC-druid</v>
      </c>
      <c r="J302" s="83"/>
      <c r="K302" s="74" t="s">
        <v>35</v>
      </c>
      <c r="L302" s="74" t="s">
        <v>35</v>
      </c>
    </row>
    <row r="303" spans="1:12" ht="12.75" hidden="1" customHeight="1" x14ac:dyDescent="0.15">
      <c r="A303" s="73" t="s">
        <v>348</v>
      </c>
      <c r="B303" s="89">
        <v>5</v>
      </c>
      <c r="C303" s="74" t="s">
        <v>33</v>
      </c>
      <c r="D303" s="74" t="s">
        <v>227</v>
      </c>
      <c r="E303" s="74" t="s">
        <v>19</v>
      </c>
      <c r="F303" s="74">
        <v>112</v>
      </c>
      <c r="G303" s="74" t="s">
        <v>227</v>
      </c>
      <c r="H303" s="74"/>
      <c r="I303" s="83" t="str">
        <f t="shared" si="9"/>
        <v>http://www.aidedd.org/dnd/monstres.php?vo=NPC-gladiator</v>
      </c>
      <c r="J303" s="83"/>
      <c r="K303" s="74" t="s">
        <v>35</v>
      </c>
      <c r="L303" s="74" t="s">
        <v>35</v>
      </c>
    </row>
    <row r="304" spans="1:12" ht="12.75" hidden="1" customHeight="1" x14ac:dyDescent="0.15">
      <c r="A304" s="73" t="s">
        <v>349</v>
      </c>
      <c r="B304" s="89" t="s">
        <v>78</v>
      </c>
      <c r="C304" s="74" t="s">
        <v>33</v>
      </c>
      <c r="D304" s="74" t="s">
        <v>227</v>
      </c>
      <c r="E304" s="74" t="s">
        <v>19</v>
      </c>
      <c r="F304" s="74">
        <v>11</v>
      </c>
      <c r="G304" s="74" t="s">
        <v>227</v>
      </c>
      <c r="H304" s="74"/>
      <c r="I304" s="83" t="str">
        <f t="shared" si="9"/>
        <v>http://www.aidedd.org/dnd/monstres.php?vo=NPC-guard</v>
      </c>
      <c r="J304" s="83"/>
      <c r="K304" s="74" t="s">
        <v>35</v>
      </c>
      <c r="L304" s="74" t="s">
        <v>35</v>
      </c>
    </row>
    <row r="305" spans="1:12" ht="12.75" hidden="1" customHeight="1" x14ac:dyDescent="0.15">
      <c r="A305" s="73" t="s">
        <v>350</v>
      </c>
      <c r="B305" s="89">
        <v>3</v>
      </c>
      <c r="C305" s="74" t="s">
        <v>33</v>
      </c>
      <c r="D305" s="74" t="s">
        <v>227</v>
      </c>
      <c r="E305" s="74" t="s">
        <v>19</v>
      </c>
      <c r="F305" s="74">
        <v>52</v>
      </c>
      <c r="G305" s="74" t="s">
        <v>227</v>
      </c>
      <c r="H305" s="74"/>
      <c r="I305" s="83" t="str">
        <f t="shared" si="9"/>
        <v>http://www.aidedd.org/dnd/monstres.php?vo=NPC-knight</v>
      </c>
      <c r="J305" s="83"/>
      <c r="K305" s="74" t="s">
        <v>35</v>
      </c>
      <c r="L305" s="74" t="s">
        <v>35</v>
      </c>
    </row>
    <row r="306" spans="1:12" ht="12.75" hidden="1" customHeight="1" x14ac:dyDescent="0.15">
      <c r="A306" s="73" t="s">
        <v>351</v>
      </c>
      <c r="B306" s="89">
        <v>6</v>
      </c>
      <c r="C306" s="74" t="s">
        <v>33</v>
      </c>
      <c r="D306" s="74" t="s">
        <v>227</v>
      </c>
      <c r="E306" s="74" t="s">
        <v>19</v>
      </c>
      <c r="F306" s="74">
        <v>40</v>
      </c>
      <c r="G306" s="74" t="s">
        <v>227</v>
      </c>
      <c r="H306" s="74"/>
      <c r="I306" s="83" t="str">
        <f t="shared" ref="I306:I334" si="10">HYPERLINK("http://www.aidedd.org/dnd/monstres.php?vo="&amp;SUBSTITUTE(A306," ","-"))</f>
        <v>http://www.aidedd.org/dnd/monstres.php?vo=NPC-mage</v>
      </c>
      <c r="J306" s="83"/>
      <c r="K306" s="74" t="s">
        <v>35</v>
      </c>
      <c r="L306" s="74" t="s">
        <v>35</v>
      </c>
    </row>
    <row r="307" spans="1:12" ht="12.75" hidden="1" customHeight="1" x14ac:dyDescent="0.15">
      <c r="A307" s="73" t="s">
        <v>352</v>
      </c>
      <c r="B307" s="89" t="s">
        <v>78</v>
      </c>
      <c r="C307" s="74" t="s">
        <v>33</v>
      </c>
      <c r="D307" s="74" t="s">
        <v>227</v>
      </c>
      <c r="E307" s="74" t="s">
        <v>19</v>
      </c>
      <c r="F307" s="74">
        <v>9</v>
      </c>
      <c r="G307" s="74" t="s">
        <v>227</v>
      </c>
      <c r="H307" s="74"/>
      <c r="I307" s="83" t="str">
        <f t="shared" si="10"/>
        <v>http://www.aidedd.org/dnd/monstres.php?vo=NPC-noble</v>
      </c>
      <c r="J307" s="83"/>
      <c r="K307" s="74" t="s">
        <v>35</v>
      </c>
      <c r="L307" s="74" t="s">
        <v>35</v>
      </c>
    </row>
    <row r="308" spans="1:12" ht="12.75" hidden="1" customHeight="1" x14ac:dyDescent="0.15">
      <c r="A308" s="73" t="s">
        <v>353</v>
      </c>
      <c r="B308" s="89">
        <v>2</v>
      </c>
      <c r="C308" s="74" t="s">
        <v>33</v>
      </c>
      <c r="D308" s="74" t="s">
        <v>227</v>
      </c>
      <c r="E308" s="74" t="s">
        <v>19</v>
      </c>
      <c r="F308" s="74">
        <v>27</v>
      </c>
      <c r="G308" s="74" t="s">
        <v>227</v>
      </c>
      <c r="H308" s="74"/>
      <c r="I308" s="83" t="str">
        <f t="shared" si="10"/>
        <v>http://www.aidedd.org/dnd/monstres.php?vo=NPC-priest</v>
      </c>
      <c r="J308" s="83"/>
      <c r="K308" s="74" t="s">
        <v>35</v>
      </c>
      <c r="L308" s="74" t="s">
        <v>35</v>
      </c>
    </row>
    <row r="309" spans="1:12" ht="12.75" hidden="1" customHeight="1" x14ac:dyDescent="0.15">
      <c r="A309" s="73" t="s">
        <v>354</v>
      </c>
      <c r="B309" s="89" t="s">
        <v>47</v>
      </c>
      <c r="C309" s="74" t="s">
        <v>33</v>
      </c>
      <c r="D309" s="74" t="s">
        <v>227</v>
      </c>
      <c r="E309" s="74" t="s">
        <v>19</v>
      </c>
      <c r="F309" s="74">
        <v>16</v>
      </c>
      <c r="G309" s="74" t="s">
        <v>227</v>
      </c>
      <c r="H309" s="74"/>
      <c r="I309" s="83" t="str">
        <f t="shared" si="10"/>
        <v>http://www.aidedd.org/dnd/monstres.php?vo=NPC-scout</v>
      </c>
      <c r="J309" s="83"/>
      <c r="K309" s="74" t="s">
        <v>35</v>
      </c>
      <c r="L309" s="74" t="s">
        <v>35</v>
      </c>
    </row>
    <row r="310" spans="1:12" ht="12.75" hidden="1" customHeight="1" x14ac:dyDescent="0.15">
      <c r="A310" s="73" t="s">
        <v>355</v>
      </c>
      <c r="B310" s="89">
        <v>1</v>
      </c>
      <c r="C310" s="74" t="s">
        <v>33</v>
      </c>
      <c r="D310" s="74" t="s">
        <v>227</v>
      </c>
      <c r="E310" s="74" t="s">
        <v>19</v>
      </c>
      <c r="F310" s="74">
        <v>27</v>
      </c>
      <c r="G310" s="74" t="s">
        <v>227</v>
      </c>
      <c r="H310" s="74"/>
      <c r="I310" s="83" t="str">
        <f t="shared" si="10"/>
        <v>http://www.aidedd.org/dnd/monstres.php?vo=NPC-spy</v>
      </c>
      <c r="J310" s="83"/>
      <c r="K310" s="74" t="s">
        <v>35</v>
      </c>
      <c r="L310" s="74" t="s">
        <v>35</v>
      </c>
    </row>
    <row r="311" spans="1:12" ht="12.75" hidden="1" customHeight="1" x14ac:dyDescent="0.15">
      <c r="A311" s="73" t="s">
        <v>356</v>
      </c>
      <c r="B311" s="89" t="s">
        <v>47</v>
      </c>
      <c r="C311" s="74" t="s">
        <v>33</v>
      </c>
      <c r="D311" s="74" t="s">
        <v>227</v>
      </c>
      <c r="E311" s="74" t="s">
        <v>19</v>
      </c>
      <c r="F311" s="74">
        <v>32</v>
      </c>
      <c r="G311" s="74" t="s">
        <v>340</v>
      </c>
      <c r="H311" s="74"/>
      <c r="I311" s="83" t="str">
        <f t="shared" si="10"/>
        <v>http://www.aidedd.org/dnd/monstres.php?vo=NPC-thug</v>
      </c>
      <c r="J311" s="83"/>
      <c r="K311" s="74" t="s">
        <v>35</v>
      </c>
      <c r="L311" s="74" t="s">
        <v>35</v>
      </c>
    </row>
    <row r="312" spans="1:12" ht="12.75" hidden="1" customHeight="1" x14ac:dyDescent="0.15">
      <c r="A312" s="73" t="s">
        <v>357</v>
      </c>
      <c r="B312" s="89" t="s">
        <v>78</v>
      </c>
      <c r="C312" s="74" t="s">
        <v>33</v>
      </c>
      <c r="D312" s="74" t="s">
        <v>227</v>
      </c>
      <c r="E312" s="74" t="s">
        <v>19</v>
      </c>
      <c r="F312" s="74">
        <v>11</v>
      </c>
      <c r="G312" s="74" t="s">
        <v>227</v>
      </c>
      <c r="H312" s="74"/>
      <c r="I312" s="83" t="str">
        <f t="shared" si="10"/>
        <v>http://www.aidedd.org/dnd/monstres.php?vo=NPC-tribal-warrior</v>
      </c>
      <c r="J312" s="83"/>
      <c r="K312" s="74" t="s">
        <v>35</v>
      </c>
      <c r="L312" s="74" t="s">
        <v>35</v>
      </c>
    </row>
    <row r="313" spans="1:12" ht="12.75" hidden="1" customHeight="1" x14ac:dyDescent="0.15">
      <c r="A313" s="73" t="s">
        <v>358</v>
      </c>
      <c r="B313" s="89">
        <v>3</v>
      </c>
      <c r="C313" s="74" t="s">
        <v>33</v>
      </c>
      <c r="D313" s="74" t="s">
        <v>227</v>
      </c>
      <c r="E313" s="74" t="s">
        <v>19</v>
      </c>
      <c r="F313" s="74">
        <v>58</v>
      </c>
      <c r="G313" s="74" t="s">
        <v>227</v>
      </c>
      <c r="H313" s="74"/>
      <c r="I313" s="83" t="str">
        <f t="shared" si="10"/>
        <v>http://www.aidedd.org/dnd/monstres.php?vo=NPC-veteran</v>
      </c>
      <c r="J313" s="83"/>
      <c r="K313" s="74" t="s">
        <v>35</v>
      </c>
      <c r="L313" s="74" t="s">
        <v>35</v>
      </c>
    </row>
    <row r="314" spans="1:12" ht="12.75" hidden="1" customHeight="1" x14ac:dyDescent="0.15">
      <c r="A314" s="73" t="s">
        <v>359</v>
      </c>
      <c r="B314" s="89">
        <v>0</v>
      </c>
      <c r="C314" s="74" t="s">
        <v>48</v>
      </c>
      <c r="D314" s="74"/>
      <c r="E314" s="74" t="s">
        <v>43</v>
      </c>
      <c r="F314" s="74"/>
      <c r="G314" s="74"/>
      <c r="H314" s="74"/>
      <c r="I314" s="83" t="str">
        <f t="shared" si="10"/>
        <v>http://www.aidedd.org/dnd/monstres.php?vo=Octopus</v>
      </c>
      <c r="J314" s="83"/>
      <c r="K314" s="74" t="s">
        <v>35</v>
      </c>
      <c r="L314" s="74" t="s">
        <v>35</v>
      </c>
    </row>
    <row r="315" spans="1:12" ht="12.75" hidden="1" customHeight="1" x14ac:dyDescent="0.15">
      <c r="A315" s="73" t="s">
        <v>360</v>
      </c>
      <c r="B315" s="89">
        <v>1</v>
      </c>
      <c r="C315" s="74" t="s">
        <v>48</v>
      </c>
      <c r="D315" s="74"/>
      <c r="E315" s="74" t="s">
        <v>38</v>
      </c>
      <c r="F315" s="74"/>
      <c r="G315" s="74"/>
      <c r="H315" s="74"/>
      <c r="I315" s="83" t="str">
        <f t="shared" si="10"/>
        <v>http://www.aidedd.org/dnd/monstres.php?vo=Octopus,-giant</v>
      </c>
      <c r="J315" s="83"/>
      <c r="K315" s="74" t="s">
        <v>35</v>
      </c>
      <c r="L315" s="74" t="s">
        <v>35</v>
      </c>
    </row>
    <row r="316" spans="1:12" ht="12.75" hidden="1" customHeight="1" x14ac:dyDescent="0.15">
      <c r="A316" s="73" t="s">
        <v>361</v>
      </c>
      <c r="B316" s="89">
        <v>2</v>
      </c>
      <c r="C316" s="74" t="s">
        <v>109</v>
      </c>
      <c r="D316" s="74"/>
      <c r="E316" s="74" t="s">
        <v>38</v>
      </c>
      <c r="F316" s="74">
        <v>59</v>
      </c>
      <c r="G316" s="74" t="s">
        <v>63</v>
      </c>
      <c r="H316" s="74">
        <v>-1</v>
      </c>
      <c r="I316" s="83" t="str">
        <f t="shared" si="10"/>
        <v>http://www.aidedd.org/dnd/monstres.php?vo=Ogre</v>
      </c>
      <c r="J316" s="83"/>
      <c r="K316" s="74" t="s">
        <v>35</v>
      </c>
      <c r="L316" s="74" t="s">
        <v>35</v>
      </c>
    </row>
    <row r="317" spans="1:12" ht="12.75" hidden="1" customHeight="1" x14ac:dyDescent="0.15">
      <c r="A317" s="73" t="s">
        <v>362</v>
      </c>
      <c r="B317" s="89">
        <v>1</v>
      </c>
      <c r="C317" s="74" t="s">
        <v>109</v>
      </c>
      <c r="D317" s="74"/>
      <c r="E317" s="74" t="s">
        <v>38</v>
      </c>
      <c r="F317" s="74"/>
      <c r="G317" s="74" t="s">
        <v>63</v>
      </c>
      <c r="H317" s="74"/>
      <c r="I317" s="83" t="str">
        <f t="shared" si="10"/>
        <v>http://www.aidedd.org/dnd/monstres.php?vo=Ogre,-half--(ogrillon)</v>
      </c>
      <c r="J317" s="83"/>
      <c r="K317" s="74" t="s">
        <v>35</v>
      </c>
      <c r="L317" s="74" t="s">
        <v>35</v>
      </c>
    </row>
    <row r="318" spans="1:12" ht="12.75" hidden="1" customHeight="1" x14ac:dyDescent="0.15">
      <c r="A318" s="73" t="s">
        <v>363</v>
      </c>
      <c r="B318" s="89">
        <v>7</v>
      </c>
      <c r="C318" s="74" t="s">
        <v>109</v>
      </c>
      <c r="D318" s="74"/>
      <c r="E318" s="74" t="s">
        <v>38</v>
      </c>
      <c r="F318" s="74"/>
      <c r="G318" s="74" t="s">
        <v>39</v>
      </c>
      <c r="H318" s="74"/>
      <c r="I318" s="83" t="str">
        <f t="shared" si="10"/>
        <v>http://www.aidedd.org/dnd/monstres.php?vo=Oni-(ogre-mage)</v>
      </c>
      <c r="J318" s="83"/>
      <c r="K318" s="74" t="s">
        <v>35</v>
      </c>
      <c r="L318" s="74" t="s">
        <v>35</v>
      </c>
    </row>
    <row r="319" spans="1:12" ht="12.75" hidden="1" customHeight="1" x14ac:dyDescent="0.15">
      <c r="A319" s="73" t="s">
        <v>364</v>
      </c>
      <c r="B319" s="89">
        <v>4</v>
      </c>
      <c r="C319" s="74" t="s">
        <v>365</v>
      </c>
      <c r="D319" s="74"/>
      <c r="E319" s="74" t="s">
        <v>38</v>
      </c>
      <c r="F319" s="74"/>
      <c r="G319" s="74"/>
      <c r="H319" s="74"/>
      <c r="I319" s="83" t="str">
        <f t="shared" si="10"/>
        <v>http://www.aidedd.org/dnd/monstres.php?vo=Ooze,-black-pudding</v>
      </c>
      <c r="J319" s="83"/>
      <c r="K319" s="74" t="s">
        <v>35</v>
      </c>
      <c r="L319" s="74" t="s">
        <v>35</v>
      </c>
    </row>
    <row r="320" spans="1:12" ht="12.75" hidden="1" customHeight="1" x14ac:dyDescent="0.15">
      <c r="A320" s="73" t="s">
        <v>366</v>
      </c>
      <c r="B320" s="89">
        <v>2</v>
      </c>
      <c r="C320" s="74" t="s">
        <v>365</v>
      </c>
      <c r="D320" s="74"/>
      <c r="E320" s="74" t="s">
        <v>38</v>
      </c>
      <c r="F320" s="74"/>
      <c r="G320" s="74"/>
      <c r="H320" s="74"/>
      <c r="I320" s="83" t="str">
        <f t="shared" si="10"/>
        <v>http://www.aidedd.org/dnd/monstres.php?vo=Ooze,-gelatinous-cube</v>
      </c>
      <c r="J320" s="83"/>
      <c r="K320" s="74" t="s">
        <v>35</v>
      </c>
      <c r="L320" s="74" t="s">
        <v>35</v>
      </c>
    </row>
    <row r="321" spans="1:12" ht="12.75" hidden="1" customHeight="1" x14ac:dyDescent="0.15">
      <c r="A321" s="73" t="s">
        <v>367</v>
      </c>
      <c r="B321" s="89" t="s">
        <v>47</v>
      </c>
      <c r="C321" s="74" t="s">
        <v>365</v>
      </c>
      <c r="D321" s="74"/>
      <c r="E321" s="74" t="s">
        <v>19</v>
      </c>
      <c r="F321" s="74"/>
      <c r="G321" s="74"/>
      <c r="H321" s="74"/>
      <c r="I321" s="83" t="str">
        <f t="shared" si="10"/>
        <v>http://www.aidedd.org/dnd/monstres.php?vo=Ooze,-gray</v>
      </c>
      <c r="J321" s="83"/>
      <c r="K321" s="74" t="s">
        <v>35</v>
      </c>
      <c r="L321" s="74" t="s">
        <v>35</v>
      </c>
    </row>
    <row r="322" spans="1:12" ht="12.75" hidden="1" customHeight="1" x14ac:dyDescent="0.15">
      <c r="A322" s="76" t="s">
        <v>775</v>
      </c>
      <c r="B322" s="89">
        <v>2</v>
      </c>
      <c r="C322" s="74" t="s">
        <v>365</v>
      </c>
      <c r="D322" s="74"/>
      <c r="E322" s="74" t="s">
        <v>38</v>
      </c>
      <c r="F322" s="74">
        <v>45</v>
      </c>
      <c r="G322" s="74" t="s">
        <v>369</v>
      </c>
      <c r="H322" s="74">
        <v>-2</v>
      </c>
      <c r="I322" s="83" t="str">
        <f t="shared" si="10"/>
        <v>http://www.aidedd.org/dnd/monstres.php?vo=Ochre-jelly</v>
      </c>
      <c r="J322" s="83"/>
      <c r="K322" s="74" t="s">
        <v>35</v>
      </c>
      <c r="L322" s="74" t="s">
        <v>35</v>
      </c>
    </row>
    <row r="323" spans="1:12" ht="12.75" customHeight="1" x14ac:dyDescent="0.15">
      <c r="A323" s="73" t="s">
        <v>370</v>
      </c>
      <c r="B323" s="108" t="s">
        <v>47</v>
      </c>
      <c r="C323" s="74" t="s">
        <v>33</v>
      </c>
      <c r="D323" s="74" t="s">
        <v>370</v>
      </c>
      <c r="E323" s="74" t="s">
        <v>19</v>
      </c>
      <c r="F323" s="74">
        <v>15</v>
      </c>
      <c r="G323" s="74" t="s">
        <v>63</v>
      </c>
      <c r="H323" s="74">
        <v>1</v>
      </c>
      <c r="I323" s="83" t="s">
        <v>928</v>
      </c>
      <c r="J323" s="72" t="s">
        <v>866</v>
      </c>
      <c r="K323" s="74" t="s">
        <v>35</v>
      </c>
      <c r="L323" s="74" t="s">
        <v>35</v>
      </c>
    </row>
    <row r="324" spans="1:12" ht="12.75" customHeight="1" x14ac:dyDescent="0.15">
      <c r="A324" s="76" t="s">
        <v>870</v>
      </c>
      <c r="B324" s="108">
        <v>4</v>
      </c>
      <c r="C324" s="74" t="s">
        <v>33</v>
      </c>
      <c r="D324" s="74" t="s">
        <v>370</v>
      </c>
      <c r="E324" s="74" t="s">
        <v>19</v>
      </c>
      <c r="F324" s="74">
        <v>93</v>
      </c>
      <c r="G324" s="74" t="s">
        <v>63</v>
      </c>
      <c r="H324" s="74"/>
      <c r="I324" s="83" t="str">
        <f t="shared" si="10"/>
        <v>http://www.aidedd.org/dnd/monstres.php?vo=Orc-War-chief</v>
      </c>
      <c r="J324" s="72" t="s">
        <v>866</v>
      </c>
      <c r="K324" s="74" t="s">
        <v>35</v>
      </c>
      <c r="L324" s="74" t="s">
        <v>35</v>
      </c>
    </row>
    <row r="325" spans="1:12" ht="12.75" customHeight="1" x14ac:dyDescent="0.15">
      <c r="A325" s="76" t="s">
        <v>868</v>
      </c>
      <c r="B325" s="108">
        <v>2</v>
      </c>
      <c r="C325" s="74" t="s">
        <v>33</v>
      </c>
      <c r="D325" s="74" t="s">
        <v>370</v>
      </c>
      <c r="E325" s="74" t="s">
        <v>19</v>
      </c>
      <c r="F325" s="74">
        <v>45</v>
      </c>
      <c r="G325" s="74" t="s">
        <v>63</v>
      </c>
      <c r="H325" s="74"/>
      <c r="I325" s="83"/>
      <c r="J325" s="72" t="s">
        <v>867</v>
      </c>
      <c r="K325" s="74" t="s">
        <v>35</v>
      </c>
      <c r="L325" s="74" t="s">
        <v>35</v>
      </c>
    </row>
    <row r="326" spans="1:12" ht="12.75" customHeight="1" x14ac:dyDescent="0.15">
      <c r="A326" s="76" t="s">
        <v>869</v>
      </c>
      <c r="B326" s="108">
        <v>2</v>
      </c>
      <c r="C326" s="74" t="s">
        <v>33</v>
      </c>
      <c r="D326" s="74" t="s">
        <v>370</v>
      </c>
      <c r="E326" s="74" t="s">
        <v>19</v>
      </c>
      <c r="F326" s="74">
        <v>42</v>
      </c>
      <c r="G326" s="74" t="s">
        <v>63</v>
      </c>
      <c r="H326" s="74"/>
      <c r="I326" s="83"/>
      <c r="J326" s="72" t="s">
        <v>867</v>
      </c>
      <c r="K326" s="74" t="s">
        <v>35</v>
      </c>
      <c r="L326" s="74" t="s">
        <v>35</v>
      </c>
    </row>
    <row r="327" spans="1:12" ht="12.75" hidden="1" customHeight="1" x14ac:dyDescent="0.15">
      <c r="A327" s="73" t="s">
        <v>371</v>
      </c>
      <c r="B327" s="89">
        <v>5</v>
      </c>
      <c r="C327" s="74" t="s">
        <v>37</v>
      </c>
      <c r="D327" s="74"/>
      <c r="E327" s="74" t="s">
        <v>38</v>
      </c>
      <c r="F327" s="74"/>
      <c r="G327" s="74" t="s">
        <v>35</v>
      </c>
      <c r="H327" s="74"/>
      <c r="I327" s="83" t="str">
        <f t="shared" si="10"/>
        <v>http://www.aidedd.org/dnd/monstres.php?vo=Otyugh</v>
      </c>
      <c r="K327" s="74" t="s">
        <v>35</v>
      </c>
      <c r="L327" s="74" t="s">
        <v>35</v>
      </c>
    </row>
    <row r="328" spans="1:12" ht="12.75" hidden="1" customHeight="1" x14ac:dyDescent="0.15">
      <c r="A328" s="73" t="s">
        <v>372</v>
      </c>
      <c r="B328" s="89">
        <v>0</v>
      </c>
      <c r="C328" s="74" t="s">
        <v>48</v>
      </c>
      <c r="D328" s="74"/>
      <c r="E328" s="74" t="s">
        <v>59</v>
      </c>
      <c r="F328" s="74"/>
      <c r="G328" s="74"/>
      <c r="H328" s="74"/>
      <c r="I328" s="83" t="str">
        <f t="shared" si="10"/>
        <v>http://www.aidedd.org/dnd/monstres.php?vo=Owl</v>
      </c>
      <c r="K328" s="74" t="s">
        <v>35</v>
      </c>
      <c r="L328" s="74" t="s">
        <v>35</v>
      </c>
    </row>
    <row r="329" spans="1:12" ht="12.75" hidden="1" customHeight="1" x14ac:dyDescent="0.15">
      <c r="A329" s="73" t="s">
        <v>373</v>
      </c>
      <c r="B329" s="89" t="s">
        <v>32</v>
      </c>
      <c r="C329" s="74" t="s">
        <v>48</v>
      </c>
      <c r="D329" s="74"/>
      <c r="E329" s="74" t="s">
        <v>38</v>
      </c>
      <c r="F329" s="74"/>
      <c r="G329" s="74" t="s">
        <v>35</v>
      </c>
      <c r="H329" s="74"/>
      <c r="I329" s="83" t="str">
        <f t="shared" si="10"/>
        <v>http://www.aidedd.org/dnd/monstres.php?vo=Owl,-giant</v>
      </c>
      <c r="K329" s="74" t="s">
        <v>35</v>
      </c>
      <c r="L329" s="74" t="s">
        <v>35</v>
      </c>
    </row>
    <row r="330" spans="1:12" ht="12.75" hidden="1" customHeight="1" x14ac:dyDescent="0.15">
      <c r="A330" s="73" t="s">
        <v>374</v>
      </c>
      <c r="B330" s="89">
        <v>3</v>
      </c>
      <c r="C330" s="74" t="s">
        <v>45</v>
      </c>
      <c r="D330" s="74"/>
      <c r="E330" s="74" t="s">
        <v>38</v>
      </c>
      <c r="F330" s="74">
        <v>59</v>
      </c>
      <c r="G330" s="74" t="s">
        <v>369</v>
      </c>
      <c r="H330" s="74"/>
      <c r="I330" s="83" t="str">
        <f t="shared" si="10"/>
        <v>http://www.aidedd.org/dnd/monstres.php?vo=Owlbear</v>
      </c>
      <c r="K330" s="74" t="s">
        <v>35</v>
      </c>
      <c r="L330" s="74" t="s">
        <v>35</v>
      </c>
    </row>
    <row r="331" spans="1:12" ht="12.75" hidden="1" customHeight="1" x14ac:dyDescent="0.15">
      <c r="A331" s="73" t="s">
        <v>375</v>
      </c>
      <c r="B331" s="89" t="s">
        <v>32</v>
      </c>
      <c r="C331" s="74" t="s">
        <v>48</v>
      </c>
      <c r="D331" s="74"/>
      <c r="E331" s="74" t="s">
        <v>19</v>
      </c>
      <c r="F331" s="74"/>
      <c r="G331" s="74"/>
      <c r="H331" s="74"/>
      <c r="I331" s="83" t="str">
        <f t="shared" si="10"/>
        <v>http://www.aidedd.org/dnd/monstres.php?vo=Panther</v>
      </c>
      <c r="K331" s="74" t="s">
        <v>35</v>
      </c>
      <c r="L331" s="74" t="s">
        <v>35</v>
      </c>
    </row>
    <row r="332" spans="1:12" ht="12.75" hidden="1" customHeight="1" x14ac:dyDescent="0.15">
      <c r="A332" s="73" t="s">
        <v>376</v>
      </c>
      <c r="B332" s="89">
        <v>2</v>
      </c>
      <c r="C332" s="74" t="s">
        <v>40</v>
      </c>
      <c r="D332" s="74"/>
      <c r="E332" s="74" t="s">
        <v>38</v>
      </c>
      <c r="F332" s="74"/>
      <c r="G332" s="74" t="s">
        <v>155</v>
      </c>
      <c r="H332" s="74"/>
      <c r="I332" s="83" t="str">
        <f t="shared" si="10"/>
        <v>http://www.aidedd.org/dnd/monstres.php?vo=Pegasus</v>
      </c>
      <c r="K332" s="74" t="s">
        <v>35</v>
      </c>
      <c r="L332" s="74" t="s">
        <v>35</v>
      </c>
    </row>
    <row r="333" spans="1:12" ht="12.75" hidden="1" customHeight="1" x14ac:dyDescent="0.15">
      <c r="A333" s="73" t="s">
        <v>377</v>
      </c>
      <c r="B333" s="89">
        <v>2</v>
      </c>
      <c r="C333" s="74" t="s">
        <v>45</v>
      </c>
      <c r="D333" s="74"/>
      <c r="E333" s="74" t="s">
        <v>38</v>
      </c>
      <c r="F333" s="74"/>
      <c r="G333" s="74" t="s">
        <v>63</v>
      </c>
      <c r="H333" s="74"/>
      <c r="I333" s="83" t="str">
        <f t="shared" si="10"/>
        <v>http://www.aidedd.org/dnd/monstres.php?vo=Peryton</v>
      </c>
      <c r="K333" s="74" t="s">
        <v>35</v>
      </c>
      <c r="L333" s="74" t="s">
        <v>35</v>
      </c>
    </row>
    <row r="334" spans="1:12" ht="12.75" hidden="1" customHeight="1" x14ac:dyDescent="0.15">
      <c r="A334" s="73" t="s">
        <v>378</v>
      </c>
      <c r="B334" s="89" t="s">
        <v>47</v>
      </c>
      <c r="C334" s="74" t="s">
        <v>45</v>
      </c>
      <c r="D334" s="74"/>
      <c r="E334" s="74" t="s">
        <v>19</v>
      </c>
      <c r="F334" s="74"/>
      <c r="G334" s="74"/>
      <c r="H334" s="74"/>
      <c r="I334" s="83" t="str">
        <f t="shared" si="10"/>
        <v>http://www.aidedd.org/dnd/monstres.php?vo=Piercer</v>
      </c>
      <c r="K334" s="74" t="s">
        <v>35</v>
      </c>
      <c r="L334" s="74" t="s">
        <v>35</v>
      </c>
    </row>
    <row r="335" spans="1:12" ht="12.75" hidden="1" customHeight="1" x14ac:dyDescent="0.15">
      <c r="A335" s="72" t="s">
        <v>798</v>
      </c>
      <c r="B335" s="99" t="s">
        <v>78</v>
      </c>
      <c r="C335" s="72" t="s">
        <v>81</v>
      </c>
      <c r="E335" s="91" t="s">
        <v>43</v>
      </c>
      <c r="F335" s="72">
        <v>18</v>
      </c>
      <c r="G335" s="72" t="s">
        <v>100</v>
      </c>
      <c r="H335" s="72">
        <v>4</v>
      </c>
      <c r="I335" s="83"/>
      <c r="J335" s="72" t="s">
        <v>799</v>
      </c>
    </row>
    <row r="336" spans="1:12" ht="12.75" hidden="1" customHeight="1" x14ac:dyDescent="0.15">
      <c r="A336" s="73" t="s">
        <v>379</v>
      </c>
      <c r="B336" s="89" t="s">
        <v>78</v>
      </c>
      <c r="C336" s="74" t="s">
        <v>48</v>
      </c>
      <c r="D336" s="74"/>
      <c r="E336" s="74" t="s">
        <v>19</v>
      </c>
      <c r="F336" s="74"/>
      <c r="G336" s="74"/>
      <c r="H336" s="74"/>
      <c r="I336" s="83" t="str">
        <f t="shared" ref="I336:I358" si="11">HYPERLINK("http://www.aidedd.org/dnd/monstres.php?vo="&amp;SUBSTITUTE(A336," ","-"))</f>
        <v>http://www.aidedd.org/dnd/monstres.php?vo=Pony</v>
      </c>
      <c r="K336" s="74" t="s">
        <v>35</v>
      </c>
      <c r="L336" s="74" t="s">
        <v>35</v>
      </c>
    </row>
    <row r="337" spans="1:13" ht="12.75" hidden="1" customHeight="1" x14ac:dyDescent="0.15">
      <c r="A337" s="73" t="s">
        <v>380</v>
      </c>
      <c r="B337" s="89" t="s">
        <v>32</v>
      </c>
      <c r="C337" s="74" t="s">
        <v>144</v>
      </c>
      <c r="D337" s="74"/>
      <c r="E337" s="74" t="s">
        <v>59</v>
      </c>
      <c r="F337" s="74"/>
      <c r="G337" s="74" t="s">
        <v>34</v>
      </c>
      <c r="H337" s="74"/>
      <c r="I337" s="83" t="str">
        <f t="shared" si="11"/>
        <v>http://www.aidedd.org/dnd/monstres.php?vo=Pseudodragon</v>
      </c>
      <c r="K337" s="74" t="s">
        <v>35</v>
      </c>
      <c r="L337" s="74" t="s">
        <v>35</v>
      </c>
    </row>
    <row r="338" spans="1:13" ht="12.75" hidden="1" customHeight="1" x14ac:dyDescent="0.15">
      <c r="A338" s="73" t="s">
        <v>381</v>
      </c>
      <c r="B338" s="89">
        <v>15</v>
      </c>
      <c r="C338" s="74" t="s">
        <v>45</v>
      </c>
      <c r="D338" s="74"/>
      <c r="E338" s="74" t="s">
        <v>145</v>
      </c>
      <c r="F338" s="74"/>
      <c r="G338" s="74"/>
      <c r="H338" s="74"/>
      <c r="I338" s="83" t="str">
        <f t="shared" si="11"/>
        <v>http://www.aidedd.org/dnd/monstres.php?vo=Purple-worm</v>
      </c>
      <c r="K338" s="74" t="s">
        <v>35</v>
      </c>
      <c r="L338" s="74" t="s">
        <v>35</v>
      </c>
    </row>
    <row r="339" spans="1:13" ht="12.75" hidden="1" customHeight="1" x14ac:dyDescent="0.15">
      <c r="A339" s="73" t="s">
        <v>382</v>
      </c>
      <c r="B339" s="89">
        <v>2</v>
      </c>
      <c r="C339" s="74" t="s">
        <v>33</v>
      </c>
      <c r="D339" s="74" t="s">
        <v>383</v>
      </c>
      <c r="E339" s="74" t="s">
        <v>19</v>
      </c>
      <c r="F339" s="74"/>
      <c r="G339" s="74" t="s">
        <v>100</v>
      </c>
      <c r="H339" s="74"/>
      <c r="I339" s="83" t="str">
        <f t="shared" si="11"/>
        <v>http://www.aidedd.org/dnd/monstres.php?vo=Quaggoth</v>
      </c>
      <c r="K339" s="74" t="s">
        <v>35</v>
      </c>
      <c r="L339" s="74" t="s">
        <v>35</v>
      </c>
    </row>
    <row r="340" spans="1:13" ht="12.75" hidden="1" customHeight="1" x14ac:dyDescent="0.15">
      <c r="A340" s="73" t="s">
        <v>384</v>
      </c>
      <c r="B340" s="89">
        <v>3</v>
      </c>
      <c r="C340" s="74" t="s">
        <v>33</v>
      </c>
      <c r="D340" s="74" t="s">
        <v>383</v>
      </c>
      <c r="E340" s="74" t="s">
        <v>19</v>
      </c>
      <c r="F340" s="74"/>
      <c r="G340" s="74" t="s">
        <v>100</v>
      </c>
      <c r="H340" s="74"/>
      <c r="I340" s="83" t="str">
        <f t="shared" si="11"/>
        <v>http://www.aidedd.org/dnd/monstres.php?vo=Quaggoth,-thonot</v>
      </c>
      <c r="K340" s="74" t="s">
        <v>35</v>
      </c>
      <c r="L340" s="74" t="s">
        <v>35</v>
      </c>
    </row>
    <row r="341" spans="1:13" ht="12.75" hidden="1" customHeight="1" x14ac:dyDescent="0.15">
      <c r="A341" s="73" t="s">
        <v>385</v>
      </c>
      <c r="B341" s="89">
        <v>0</v>
      </c>
      <c r="C341" s="74" t="s">
        <v>48</v>
      </c>
      <c r="D341" s="74"/>
      <c r="E341" s="74" t="s">
        <v>59</v>
      </c>
      <c r="F341" s="74"/>
      <c r="G341" s="74"/>
      <c r="H341" s="74"/>
      <c r="I341" s="83" t="str">
        <f t="shared" si="11"/>
        <v>http://www.aidedd.org/dnd/monstres.php?vo=Quipper</v>
      </c>
      <c r="K341" s="74" t="s">
        <v>35</v>
      </c>
      <c r="L341" s="74" t="s">
        <v>35</v>
      </c>
    </row>
    <row r="342" spans="1:13" ht="12.75" hidden="1" customHeight="1" x14ac:dyDescent="0.15">
      <c r="A342" s="73" t="s">
        <v>386</v>
      </c>
      <c r="B342" s="89">
        <v>13</v>
      </c>
      <c r="C342" s="74" t="s">
        <v>91</v>
      </c>
      <c r="D342" s="74"/>
      <c r="E342" s="74" t="s">
        <v>19</v>
      </c>
      <c r="F342" s="74"/>
      <c r="G342" s="74" t="s">
        <v>39</v>
      </c>
      <c r="H342" s="74"/>
      <c r="I342" s="83" t="str">
        <f t="shared" si="11"/>
        <v>http://www.aidedd.org/dnd/monstres.php?vo=Rakshasa</v>
      </c>
      <c r="K342" s="74" t="s">
        <v>35</v>
      </c>
      <c r="L342" s="74" t="s">
        <v>35</v>
      </c>
    </row>
    <row r="343" spans="1:13" ht="12.75" hidden="1" customHeight="1" x14ac:dyDescent="0.15">
      <c r="A343" s="73" t="s">
        <v>387</v>
      </c>
      <c r="B343" s="89">
        <v>0</v>
      </c>
      <c r="C343" s="74" t="s">
        <v>48</v>
      </c>
      <c r="D343" s="74"/>
      <c r="E343" s="74" t="s">
        <v>59</v>
      </c>
      <c r="F343" s="74"/>
      <c r="G343" s="74"/>
      <c r="H343" s="74"/>
      <c r="I343" s="83" t="str">
        <f t="shared" si="11"/>
        <v>http://www.aidedd.org/dnd/monstres.php?vo=Rat</v>
      </c>
      <c r="K343" s="74" t="s">
        <v>35</v>
      </c>
      <c r="L343" s="74" t="s">
        <v>35</v>
      </c>
    </row>
    <row r="344" spans="1:13" ht="12.75" hidden="1" customHeight="1" x14ac:dyDescent="0.15">
      <c r="A344" s="76" t="s">
        <v>717</v>
      </c>
      <c r="B344" s="89" t="s">
        <v>78</v>
      </c>
      <c r="C344" s="74" t="s">
        <v>48</v>
      </c>
      <c r="D344" s="74"/>
      <c r="E344" s="74" t="s">
        <v>43</v>
      </c>
      <c r="F344" s="74">
        <v>7</v>
      </c>
      <c r="G344" s="75" t="s">
        <v>369</v>
      </c>
      <c r="H344" s="74">
        <v>2</v>
      </c>
      <c r="I344" s="83" t="str">
        <f t="shared" si="11"/>
        <v>http://www.aidedd.org/dnd/monstres.php?vo=Giant-Rat</v>
      </c>
      <c r="K344" s="74" t="s">
        <v>35</v>
      </c>
      <c r="L344" s="74" t="s">
        <v>35</v>
      </c>
    </row>
    <row r="345" spans="1:13" ht="12.75" hidden="1" customHeight="1" x14ac:dyDescent="0.15">
      <c r="A345" s="73" t="s">
        <v>388</v>
      </c>
      <c r="B345" s="89">
        <v>0</v>
      </c>
      <c r="C345" s="74" t="s">
        <v>48</v>
      </c>
      <c r="D345" s="74"/>
      <c r="E345" s="74" t="s">
        <v>59</v>
      </c>
      <c r="F345" s="74"/>
      <c r="G345" s="74"/>
      <c r="H345" s="74"/>
      <c r="I345" s="83" t="str">
        <f t="shared" si="11"/>
        <v>http://www.aidedd.org/dnd/monstres.php?vo=Raven</v>
      </c>
      <c r="K345" s="74" t="s">
        <v>35</v>
      </c>
      <c r="L345" s="74" t="s">
        <v>35</v>
      </c>
    </row>
    <row r="346" spans="1:13" ht="12.75" hidden="1" customHeight="1" x14ac:dyDescent="0.15">
      <c r="A346" s="73" t="s">
        <v>389</v>
      </c>
      <c r="B346" s="89">
        <v>11</v>
      </c>
      <c r="C346" s="74" t="s">
        <v>45</v>
      </c>
      <c r="D346" s="74"/>
      <c r="E346" s="74" t="s">
        <v>49</v>
      </c>
      <c r="F346" s="74"/>
      <c r="G346" s="74"/>
      <c r="H346" s="74"/>
      <c r="I346" s="83" t="str">
        <f t="shared" si="11"/>
        <v>http://www.aidedd.org/dnd/monstres.php?vo=Remorhaz</v>
      </c>
      <c r="K346" s="74" t="s">
        <v>35</v>
      </c>
      <c r="L346" s="74" t="s">
        <v>35</v>
      </c>
    </row>
    <row r="347" spans="1:13" ht="12.75" hidden="1" customHeight="1" x14ac:dyDescent="0.15">
      <c r="A347" s="73" t="s">
        <v>390</v>
      </c>
      <c r="B347" s="89">
        <v>5</v>
      </c>
      <c r="C347" s="74" t="s">
        <v>45</v>
      </c>
      <c r="D347" s="74"/>
      <c r="E347" s="74" t="s">
        <v>38</v>
      </c>
      <c r="F347" s="74"/>
      <c r="G347" s="74"/>
      <c r="H347" s="74"/>
      <c r="I347" s="83" t="str">
        <f t="shared" si="11"/>
        <v>http://www.aidedd.org/dnd/monstres.php?vo=Remorhaz,-young</v>
      </c>
      <c r="K347" s="74" t="s">
        <v>35</v>
      </c>
      <c r="L347" s="74" t="s">
        <v>35</v>
      </c>
    </row>
    <row r="348" spans="1:13" ht="12.75" hidden="1" customHeight="1" x14ac:dyDescent="0.15">
      <c r="A348" s="73" t="s">
        <v>391</v>
      </c>
      <c r="B348" s="89">
        <v>5</v>
      </c>
      <c r="C348" s="74" t="s">
        <v>62</v>
      </c>
      <c r="D348" s="74"/>
      <c r="E348" s="74" t="s">
        <v>19</v>
      </c>
      <c r="F348" s="74">
        <v>136</v>
      </c>
      <c r="G348" s="74" t="s">
        <v>35</v>
      </c>
      <c r="H348" s="74">
        <v>2</v>
      </c>
      <c r="I348" s="83" t="str">
        <f t="shared" si="11"/>
        <v>http://www.aidedd.org/dnd/monstres.php?vo=Revenant</v>
      </c>
      <c r="K348" s="74" t="s">
        <v>35</v>
      </c>
      <c r="L348" s="74" t="s">
        <v>35</v>
      </c>
    </row>
    <row r="349" spans="1:13" ht="12.75" hidden="1" customHeight="1" x14ac:dyDescent="0.15">
      <c r="A349" s="73" t="s">
        <v>392</v>
      </c>
      <c r="B349" s="89">
        <v>2</v>
      </c>
      <c r="C349" s="74" t="s">
        <v>48</v>
      </c>
      <c r="D349" s="74"/>
      <c r="E349" s="74" t="s">
        <v>38</v>
      </c>
      <c r="F349" s="74"/>
      <c r="G349" s="74"/>
      <c r="H349" s="74"/>
      <c r="I349" s="83" t="str">
        <f t="shared" si="11"/>
        <v>http://www.aidedd.org/dnd/monstres.php?vo=Rhinoceros</v>
      </c>
      <c r="K349" s="74" t="s">
        <v>35</v>
      </c>
      <c r="L349" s="74" t="s">
        <v>35</v>
      </c>
    </row>
    <row r="350" spans="1:13" ht="12.75" hidden="1" customHeight="1" x14ac:dyDescent="0.15">
      <c r="A350" s="73" t="s">
        <v>393</v>
      </c>
      <c r="B350" s="89">
        <v>11</v>
      </c>
      <c r="C350" s="74" t="s">
        <v>45</v>
      </c>
      <c r="D350" s="74"/>
      <c r="E350" s="74" t="s">
        <v>145</v>
      </c>
      <c r="F350" s="74"/>
      <c r="G350" s="74"/>
      <c r="H350" s="74"/>
      <c r="I350" s="83" t="str">
        <f t="shared" si="11"/>
        <v>http://www.aidedd.org/dnd/monstres.php?vo=Roc</v>
      </c>
      <c r="K350" s="74" t="s">
        <v>35</v>
      </c>
      <c r="L350" s="74" t="s">
        <v>35</v>
      </c>
    </row>
    <row r="351" spans="1:13" ht="12.75" hidden="1" customHeight="1" x14ac:dyDescent="0.15">
      <c r="A351" s="73" t="s">
        <v>394</v>
      </c>
      <c r="B351" s="89">
        <v>5</v>
      </c>
      <c r="C351" s="74" t="s">
        <v>45</v>
      </c>
      <c r="D351" s="74"/>
      <c r="E351" s="74" t="s">
        <v>38</v>
      </c>
      <c r="F351" s="74"/>
      <c r="G351" s="74" t="s">
        <v>70</v>
      </c>
      <c r="H351" s="74"/>
      <c r="I351" s="83" t="str">
        <f t="shared" si="11"/>
        <v>http://www.aidedd.org/dnd/monstres.php?vo=Roper</v>
      </c>
      <c r="K351" s="74" t="s">
        <v>35</v>
      </c>
      <c r="L351" s="74" t="s">
        <v>35</v>
      </c>
    </row>
    <row r="352" spans="1:13" ht="12.75" hidden="1" customHeight="1" x14ac:dyDescent="0.15">
      <c r="A352" s="73" t="s">
        <v>395</v>
      </c>
      <c r="B352" s="89" t="s">
        <v>47</v>
      </c>
      <c r="C352" s="74" t="s">
        <v>45</v>
      </c>
      <c r="D352" s="74"/>
      <c r="E352" s="74" t="s">
        <v>19</v>
      </c>
      <c r="F352" s="74">
        <v>27</v>
      </c>
      <c r="G352" s="75" t="s">
        <v>694</v>
      </c>
      <c r="H352" s="75"/>
      <c r="I352" s="83" t="str">
        <f t="shared" si="11"/>
        <v>http://www.aidedd.org/dnd/monstres.php?vo=Rust-monster</v>
      </c>
      <c r="K352" s="74" t="s">
        <v>35</v>
      </c>
      <c r="L352" s="74" t="s">
        <v>35</v>
      </c>
      <c r="M352" s="74" t="s">
        <v>696</v>
      </c>
    </row>
    <row r="353" spans="1:12" ht="12.75" hidden="1" customHeight="1" x14ac:dyDescent="0.15">
      <c r="A353" s="73" t="s">
        <v>396</v>
      </c>
      <c r="B353" s="89">
        <v>2</v>
      </c>
      <c r="C353" s="74" t="s">
        <v>48</v>
      </c>
      <c r="D353" s="74"/>
      <c r="E353" s="74" t="s">
        <v>38</v>
      </c>
      <c r="F353" s="74"/>
      <c r="G353" s="74"/>
      <c r="H353" s="74"/>
      <c r="I353" s="83" t="str">
        <f t="shared" si="11"/>
        <v>http://www.aidedd.org/dnd/monstres.php?vo=Saber-toothed-tiger</v>
      </c>
      <c r="K353" s="74" t="s">
        <v>35</v>
      </c>
      <c r="L353" s="74" t="s">
        <v>35</v>
      </c>
    </row>
    <row r="354" spans="1:12" ht="12.75" hidden="1" customHeight="1" x14ac:dyDescent="0.15">
      <c r="A354" s="73" t="s">
        <v>397</v>
      </c>
      <c r="B354" s="89" t="s">
        <v>47</v>
      </c>
      <c r="C354" s="74" t="s">
        <v>33</v>
      </c>
      <c r="D354" s="74" t="s">
        <v>397</v>
      </c>
      <c r="E354" s="74" t="s">
        <v>19</v>
      </c>
      <c r="F354" s="74"/>
      <c r="G354" s="74" t="s">
        <v>39</v>
      </c>
      <c r="H354" s="74"/>
      <c r="I354" s="83" t="str">
        <f t="shared" si="11"/>
        <v>http://www.aidedd.org/dnd/monstres.php?vo=Sahuagin</v>
      </c>
      <c r="K354" s="74" t="s">
        <v>35</v>
      </c>
      <c r="L354" s="74" t="s">
        <v>35</v>
      </c>
    </row>
    <row r="355" spans="1:12" ht="12.75" hidden="1" customHeight="1" x14ac:dyDescent="0.15">
      <c r="A355" s="73" t="s">
        <v>398</v>
      </c>
      <c r="B355" s="89">
        <v>5</v>
      </c>
      <c r="C355" s="74" t="s">
        <v>33</v>
      </c>
      <c r="D355" s="74" t="s">
        <v>397</v>
      </c>
      <c r="E355" s="74" t="s">
        <v>38</v>
      </c>
      <c r="F355" s="74"/>
      <c r="G355" s="74" t="s">
        <v>39</v>
      </c>
      <c r="H355" s="74"/>
      <c r="I355" s="83" t="str">
        <f t="shared" si="11"/>
        <v>http://www.aidedd.org/dnd/monstres.php?vo=Sahuagin,-baron</v>
      </c>
      <c r="K355" s="74" t="s">
        <v>35</v>
      </c>
      <c r="L355" s="74" t="s">
        <v>35</v>
      </c>
    </row>
    <row r="356" spans="1:12" ht="12.75" hidden="1" customHeight="1" x14ac:dyDescent="0.15">
      <c r="A356" s="73" t="s">
        <v>399</v>
      </c>
      <c r="B356" s="89">
        <v>2</v>
      </c>
      <c r="C356" s="74" t="s">
        <v>33</v>
      </c>
      <c r="D356" s="74" t="s">
        <v>397</v>
      </c>
      <c r="E356" s="74" t="s">
        <v>19</v>
      </c>
      <c r="F356" s="74"/>
      <c r="G356" s="74" t="s">
        <v>39</v>
      </c>
      <c r="H356" s="74"/>
      <c r="I356" s="83" t="str">
        <f t="shared" si="11"/>
        <v>http://www.aidedd.org/dnd/monstres.php?vo=Sahuagin,-priestess</v>
      </c>
      <c r="K356" s="74" t="s">
        <v>35</v>
      </c>
      <c r="L356" s="74" t="s">
        <v>35</v>
      </c>
    </row>
    <row r="357" spans="1:12" ht="12.75" hidden="1" customHeight="1" x14ac:dyDescent="0.15">
      <c r="A357" s="73" t="s">
        <v>400</v>
      </c>
      <c r="B357" s="89">
        <v>5</v>
      </c>
      <c r="C357" s="74" t="s">
        <v>55</v>
      </c>
      <c r="D357" s="74"/>
      <c r="E357" s="74" t="s">
        <v>38</v>
      </c>
      <c r="F357" s="74"/>
      <c r="G357" s="74" t="s">
        <v>70</v>
      </c>
      <c r="H357" s="74"/>
      <c r="I357" s="83" t="str">
        <f t="shared" si="11"/>
        <v>http://www.aidedd.org/dnd/monstres.php?vo=Salamander</v>
      </c>
      <c r="K357" s="74" t="s">
        <v>35</v>
      </c>
      <c r="L357" s="74" t="s">
        <v>35</v>
      </c>
    </row>
    <row r="358" spans="1:12" ht="12.75" hidden="1" customHeight="1" x14ac:dyDescent="0.15">
      <c r="A358" s="73" t="s">
        <v>401</v>
      </c>
      <c r="B358" s="89">
        <v>1</v>
      </c>
      <c r="C358" s="74" t="s">
        <v>55</v>
      </c>
      <c r="D358" s="74"/>
      <c r="E358" s="74" t="s">
        <v>19</v>
      </c>
      <c r="F358" s="74"/>
      <c r="G358" s="74" t="s">
        <v>70</v>
      </c>
      <c r="H358" s="74"/>
      <c r="I358" s="83" t="str">
        <f t="shared" si="11"/>
        <v>http://www.aidedd.org/dnd/monstres.php?vo=Salamander,-fire-snake</v>
      </c>
      <c r="K358" s="74" t="s">
        <v>35</v>
      </c>
      <c r="L358" s="74" t="s">
        <v>35</v>
      </c>
    </row>
    <row r="359" spans="1:12" ht="12.75" hidden="1" customHeight="1" x14ac:dyDescent="0.15">
      <c r="A359" s="72" t="s">
        <v>800</v>
      </c>
      <c r="B359" s="99" t="s">
        <v>47</v>
      </c>
      <c r="C359" s="72" t="s">
        <v>81</v>
      </c>
      <c r="E359" s="91" t="s">
        <v>43</v>
      </c>
      <c r="F359" s="72">
        <v>13</v>
      </c>
      <c r="G359" s="72" t="s">
        <v>100</v>
      </c>
      <c r="H359" s="72">
        <v>3</v>
      </c>
      <c r="I359" s="83"/>
      <c r="J359" s="72" t="s">
        <v>801</v>
      </c>
    </row>
    <row r="360" spans="1:12" ht="12.75" hidden="1" customHeight="1" x14ac:dyDescent="0.15">
      <c r="A360" s="73" t="s">
        <v>403</v>
      </c>
      <c r="B360" s="89">
        <v>1</v>
      </c>
      <c r="C360" s="74" t="s">
        <v>42</v>
      </c>
      <c r="D360" s="74"/>
      <c r="E360" s="74" t="s">
        <v>19</v>
      </c>
      <c r="F360" s="74"/>
      <c r="G360" s="74" t="s">
        <v>63</v>
      </c>
      <c r="H360" s="74"/>
      <c r="I360" s="83" t="str">
        <f t="shared" ref="I360:I394" si="12">HYPERLINK("http://www.aidedd.org/dnd/monstres.php?vo="&amp;SUBSTITUTE(A360," ","-"))</f>
        <v>http://www.aidedd.org/dnd/monstres.php?vo=Scarecrow</v>
      </c>
      <c r="K360" s="74" t="s">
        <v>35</v>
      </c>
      <c r="L360" s="74" t="s">
        <v>35</v>
      </c>
    </row>
    <row r="361" spans="1:12" ht="12.75" hidden="1" customHeight="1" x14ac:dyDescent="0.15">
      <c r="A361" s="73" t="s">
        <v>404</v>
      </c>
      <c r="B361" s="89">
        <v>0</v>
      </c>
      <c r="C361" s="74" t="s">
        <v>48</v>
      </c>
      <c r="D361" s="74"/>
      <c r="E361" s="74" t="s">
        <v>59</v>
      </c>
      <c r="F361" s="74"/>
      <c r="G361" s="74"/>
      <c r="H361" s="74"/>
      <c r="I361" s="83" t="str">
        <f t="shared" si="12"/>
        <v>http://www.aidedd.org/dnd/monstres.php?vo=Scorpion</v>
      </c>
      <c r="K361" s="74" t="s">
        <v>35</v>
      </c>
      <c r="L361" s="74" t="s">
        <v>35</v>
      </c>
    </row>
    <row r="362" spans="1:12" ht="12.75" hidden="1" customHeight="1" x14ac:dyDescent="0.15">
      <c r="A362" s="73" t="s">
        <v>405</v>
      </c>
      <c r="B362" s="89">
        <v>3</v>
      </c>
      <c r="C362" s="74" t="s">
        <v>48</v>
      </c>
      <c r="D362" s="74"/>
      <c r="E362" s="74" t="s">
        <v>38</v>
      </c>
      <c r="F362" s="74"/>
      <c r="G362" s="74"/>
      <c r="H362" s="74"/>
      <c r="I362" s="83" t="str">
        <f t="shared" si="12"/>
        <v>http://www.aidedd.org/dnd/monstres.php?vo=Scorpion,-giant</v>
      </c>
      <c r="K362" s="74" t="s">
        <v>35</v>
      </c>
      <c r="L362" s="74" t="s">
        <v>35</v>
      </c>
    </row>
    <row r="363" spans="1:12" ht="12.75" hidden="1" customHeight="1" x14ac:dyDescent="0.15">
      <c r="A363" s="73" t="s">
        <v>406</v>
      </c>
      <c r="B363" s="89">
        <v>0</v>
      </c>
      <c r="C363" s="74" t="s">
        <v>48</v>
      </c>
      <c r="D363" s="74"/>
      <c r="E363" s="74" t="s">
        <v>59</v>
      </c>
      <c r="F363" s="74"/>
      <c r="G363" s="74"/>
      <c r="H363" s="74"/>
      <c r="I363" s="83" t="str">
        <f t="shared" si="12"/>
        <v>http://www.aidedd.org/dnd/monstres.php?vo=Sea-horse</v>
      </c>
      <c r="K363" s="74" t="s">
        <v>35</v>
      </c>
      <c r="L363" s="74" t="s">
        <v>35</v>
      </c>
    </row>
    <row r="364" spans="1:12" ht="12.75" hidden="1" customHeight="1" x14ac:dyDescent="0.15">
      <c r="A364" s="73" t="s">
        <v>407</v>
      </c>
      <c r="B364" s="89" t="s">
        <v>47</v>
      </c>
      <c r="C364" s="74" t="s">
        <v>48</v>
      </c>
      <c r="D364" s="74"/>
      <c r="E364" s="74" t="s">
        <v>38</v>
      </c>
      <c r="F364" s="74"/>
      <c r="G364" s="74"/>
      <c r="H364" s="74"/>
      <c r="I364" s="83" t="str">
        <f t="shared" si="12"/>
        <v>http://www.aidedd.org/dnd/monstres.php?vo=Sea-horse,-giant</v>
      </c>
      <c r="K364" s="74" t="s">
        <v>35</v>
      </c>
      <c r="L364" s="74" t="s">
        <v>35</v>
      </c>
    </row>
    <row r="365" spans="1:12" ht="12.75" hidden="1" customHeight="1" x14ac:dyDescent="0.15">
      <c r="A365" s="73" t="s">
        <v>408</v>
      </c>
      <c r="B365" s="89" t="s">
        <v>47</v>
      </c>
      <c r="C365" s="74" t="s">
        <v>62</v>
      </c>
      <c r="D365" s="74"/>
      <c r="E365" s="74" t="s">
        <v>19</v>
      </c>
      <c r="F365" s="74"/>
      <c r="G365" s="74" t="s">
        <v>63</v>
      </c>
      <c r="H365" s="74"/>
      <c r="I365" s="83" t="str">
        <f t="shared" si="12"/>
        <v>http://www.aidedd.org/dnd/monstres.php?vo=Shadow</v>
      </c>
      <c r="K365" s="74" t="s">
        <v>35</v>
      </c>
      <c r="L365" s="74" t="s">
        <v>35</v>
      </c>
    </row>
    <row r="366" spans="1:12" ht="12.75" hidden="1" customHeight="1" x14ac:dyDescent="0.15">
      <c r="A366" s="73" t="s">
        <v>409</v>
      </c>
      <c r="B366" s="89"/>
      <c r="C366" s="74"/>
      <c r="D366" s="74"/>
      <c r="E366" s="74"/>
      <c r="F366" s="74"/>
      <c r="G366" s="74"/>
      <c r="H366" s="74"/>
      <c r="I366" s="83" t="str">
        <f t="shared" si="12"/>
        <v>http://www.aidedd.org/dnd/monstres.php?vo=Shadow-dragon-(template)</v>
      </c>
      <c r="K366" s="74"/>
      <c r="L366" s="74"/>
    </row>
    <row r="367" spans="1:12" ht="12.75" hidden="1" customHeight="1" x14ac:dyDescent="0.15">
      <c r="A367" s="73" t="s">
        <v>410</v>
      </c>
      <c r="B367" s="89">
        <v>13</v>
      </c>
      <c r="C367" s="74" t="s">
        <v>144</v>
      </c>
      <c r="D367" s="74"/>
      <c r="E367" s="74" t="s">
        <v>38</v>
      </c>
      <c r="F367" s="74"/>
      <c r="G367" s="74"/>
      <c r="H367" s="74"/>
      <c r="I367" s="83" t="str">
        <f t="shared" si="12"/>
        <v>http://www.aidedd.org/dnd/monstres.php?vo=Shadow-dragon,-red,-young</v>
      </c>
      <c r="K367" s="74" t="s">
        <v>35</v>
      </c>
      <c r="L367" s="74" t="s">
        <v>35</v>
      </c>
    </row>
    <row r="368" spans="1:12" ht="12.75" hidden="1" customHeight="1" x14ac:dyDescent="0.15">
      <c r="A368" s="73" t="s">
        <v>411</v>
      </c>
      <c r="B368" s="89">
        <v>5</v>
      </c>
      <c r="C368" s="74" t="s">
        <v>51</v>
      </c>
      <c r="D368" s="74"/>
      <c r="E368" s="74" t="s">
        <v>38</v>
      </c>
      <c r="F368" s="74"/>
      <c r="G368" s="74"/>
      <c r="H368" s="74"/>
      <c r="I368" s="83" t="str">
        <f t="shared" si="12"/>
        <v>http://www.aidedd.org/dnd/monstres.php?vo=Shambling-mound</v>
      </c>
      <c r="K368" s="74" t="s">
        <v>35</v>
      </c>
      <c r="L368" s="74" t="s">
        <v>35</v>
      </c>
    </row>
    <row r="369" spans="1:12" ht="12.75" hidden="1" customHeight="1" x14ac:dyDescent="0.15">
      <c r="A369" s="73" t="s">
        <v>412</v>
      </c>
      <c r="B369" s="89">
        <v>5</v>
      </c>
      <c r="C369" s="74" t="s">
        <v>48</v>
      </c>
      <c r="D369" s="74"/>
      <c r="E369" s="74" t="s">
        <v>49</v>
      </c>
      <c r="F369" s="74"/>
      <c r="G369" s="74"/>
      <c r="H369" s="74"/>
      <c r="I369" s="83" t="str">
        <f t="shared" si="12"/>
        <v>http://www.aidedd.org/dnd/monstres.php?vo=Shark,-giant</v>
      </c>
      <c r="K369" s="74" t="s">
        <v>35</v>
      </c>
      <c r="L369" s="74" t="s">
        <v>35</v>
      </c>
    </row>
    <row r="370" spans="1:12" ht="12.75" hidden="1" customHeight="1" x14ac:dyDescent="0.15">
      <c r="A370" s="73" t="s">
        <v>413</v>
      </c>
      <c r="B370" s="89">
        <v>2</v>
      </c>
      <c r="C370" s="74" t="s">
        <v>48</v>
      </c>
      <c r="D370" s="74"/>
      <c r="E370" s="74" t="s">
        <v>38</v>
      </c>
      <c r="F370" s="74"/>
      <c r="G370" s="74"/>
      <c r="H370" s="74"/>
      <c r="I370" s="83" t="str">
        <f t="shared" si="12"/>
        <v>http://www.aidedd.org/dnd/monstres.php?vo=Shark,-hunter</v>
      </c>
      <c r="K370" s="74" t="s">
        <v>35</v>
      </c>
      <c r="L370" s="74" t="s">
        <v>35</v>
      </c>
    </row>
    <row r="371" spans="1:12" ht="12.75" hidden="1" customHeight="1" x14ac:dyDescent="0.15">
      <c r="A371" s="73" t="s">
        <v>414</v>
      </c>
      <c r="B371" s="89" t="s">
        <v>47</v>
      </c>
      <c r="C371" s="74" t="s">
        <v>48</v>
      </c>
      <c r="D371" s="74"/>
      <c r="E371" s="74" t="s">
        <v>19</v>
      </c>
      <c r="F371" s="74"/>
      <c r="G371" s="74"/>
      <c r="H371" s="74"/>
      <c r="I371" s="83" t="str">
        <f t="shared" si="12"/>
        <v>http://www.aidedd.org/dnd/monstres.php?vo=Shark,-reef</v>
      </c>
      <c r="K371" s="74" t="s">
        <v>35</v>
      </c>
      <c r="L371" s="74" t="s">
        <v>35</v>
      </c>
    </row>
    <row r="372" spans="1:12" ht="12.75" hidden="1" customHeight="1" x14ac:dyDescent="0.15">
      <c r="A372" s="73" t="s">
        <v>415</v>
      </c>
      <c r="B372" s="89">
        <v>7</v>
      </c>
      <c r="C372" s="74" t="s">
        <v>42</v>
      </c>
      <c r="D372" s="74"/>
      <c r="E372" s="74" t="s">
        <v>38</v>
      </c>
      <c r="F372" s="74"/>
      <c r="G372" s="74"/>
      <c r="H372" s="74"/>
      <c r="I372" s="83" t="str">
        <f t="shared" si="12"/>
        <v>http://www.aidedd.org/dnd/monstres.php?vo=Shield-guardian</v>
      </c>
      <c r="K372" s="74" t="s">
        <v>35</v>
      </c>
      <c r="L372" s="74" t="s">
        <v>35</v>
      </c>
    </row>
    <row r="373" spans="1:12" ht="12.75" hidden="1" customHeight="1" x14ac:dyDescent="0.15">
      <c r="A373" s="73" t="s">
        <v>416</v>
      </c>
      <c r="B373" s="89" t="s">
        <v>32</v>
      </c>
      <c r="C373" s="74" t="s">
        <v>62</v>
      </c>
      <c r="D373" s="74"/>
      <c r="E373" s="74" t="s">
        <v>19</v>
      </c>
      <c r="F373" s="74">
        <v>13</v>
      </c>
      <c r="G373" s="74" t="s">
        <v>39</v>
      </c>
      <c r="H373" s="74"/>
      <c r="I373" s="83" t="str">
        <f t="shared" si="12"/>
        <v>http://www.aidedd.org/dnd/monstres.php?vo=Skeleton</v>
      </c>
      <c r="K373" s="74" t="s">
        <v>35</v>
      </c>
      <c r="L373" s="74" t="s">
        <v>35</v>
      </c>
    </row>
    <row r="374" spans="1:12" ht="12.75" hidden="1" customHeight="1" x14ac:dyDescent="0.15">
      <c r="A374" s="73" t="s">
        <v>417</v>
      </c>
      <c r="B374" s="89">
        <v>2</v>
      </c>
      <c r="C374" s="74" t="s">
        <v>62</v>
      </c>
      <c r="D374" s="74"/>
      <c r="E374" s="74" t="s">
        <v>38</v>
      </c>
      <c r="F374" s="74"/>
      <c r="G374" s="74" t="s">
        <v>39</v>
      </c>
      <c r="H374" s="74"/>
      <c r="I374" s="83" t="str">
        <f t="shared" si="12"/>
        <v>http://www.aidedd.org/dnd/monstres.php?vo=Skeleton,-minotaur</v>
      </c>
      <c r="K374" s="74" t="s">
        <v>35</v>
      </c>
      <c r="L374" s="74" t="s">
        <v>35</v>
      </c>
    </row>
    <row r="375" spans="1:12" ht="12.75" hidden="1" customHeight="1" x14ac:dyDescent="0.15">
      <c r="A375" s="73" t="s">
        <v>418</v>
      </c>
      <c r="B375" s="89" t="s">
        <v>47</v>
      </c>
      <c r="C375" s="74" t="s">
        <v>62</v>
      </c>
      <c r="D375" s="74"/>
      <c r="E375" s="74" t="s">
        <v>38</v>
      </c>
      <c r="F375" s="74"/>
      <c r="G375" s="74" t="s">
        <v>39</v>
      </c>
      <c r="H375" s="74"/>
      <c r="I375" s="83" t="str">
        <f t="shared" si="12"/>
        <v>http://www.aidedd.org/dnd/monstres.php?vo=Skeleton,-warhorse</v>
      </c>
      <c r="K375" s="74" t="s">
        <v>35</v>
      </c>
      <c r="L375" s="74" t="s">
        <v>35</v>
      </c>
    </row>
    <row r="376" spans="1:12" ht="12.75" hidden="1" customHeight="1" x14ac:dyDescent="0.15">
      <c r="A376" s="73" t="s">
        <v>419</v>
      </c>
      <c r="B376" s="89">
        <v>7</v>
      </c>
      <c r="C376" s="74" t="s">
        <v>37</v>
      </c>
      <c r="D376" s="74"/>
      <c r="E376" s="74" t="s">
        <v>38</v>
      </c>
      <c r="F376" s="74"/>
      <c r="G376" s="74" t="s">
        <v>100</v>
      </c>
      <c r="H376" s="74"/>
      <c r="I376" s="83" t="str">
        <f t="shared" si="12"/>
        <v>http://www.aidedd.org/dnd/monstres.php?vo=Slaad,-blue</v>
      </c>
      <c r="K376" s="74" t="s">
        <v>35</v>
      </c>
      <c r="L376" s="74" t="s">
        <v>35</v>
      </c>
    </row>
    <row r="377" spans="1:12" ht="12.75" hidden="1" customHeight="1" x14ac:dyDescent="0.15">
      <c r="A377" s="73" t="s">
        <v>420</v>
      </c>
      <c r="B377" s="89">
        <v>10</v>
      </c>
      <c r="C377" s="74" t="s">
        <v>37</v>
      </c>
      <c r="D377" s="74" t="s">
        <v>118</v>
      </c>
      <c r="E377" s="74" t="s">
        <v>19</v>
      </c>
      <c r="F377" s="74"/>
      <c r="G377" s="74" t="s">
        <v>63</v>
      </c>
      <c r="H377" s="74"/>
      <c r="I377" s="83" t="str">
        <f t="shared" si="12"/>
        <v>http://www.aidedd.org/dnd/monstres.php?vo=Slaad,-death</v>
      </c>
      <c r="K377" s="74" t="s">
        <v>35</v>
      </c>
      <c r="L377" s="74" t="s">
        <v>35</v>
      </c>
    </row>
    <row r="378" spans="1:12" ht="12.75" hidden="1" customHeight="1" x14ac:dyDescent="0.15">
      <c r="A378" s="73" t="s">
        <v>421</v>
      </c>
      <c r="B378" s="89">
        <v>9</v>
      </c>
      <c r="C378" s="74" t="s">
        <v>37</v>
      </c>
      <c r="D378" s="74"/>
      <c r="E378" s="74" t="s">
        <v>19</v>
      </c>
      <c r="F378" s="74"/>
      <c r="G378" s="74" t="s">
        <v>100</v>
      </c>
      <c r="H378" s="74"/>
      <c r="I378" s="83" t="str">
        <f t="shared" si="12"/>
        <v>http://www.aidedd.org/dnd/monstres.php?vo=Slaad,-gray</v>
      </c>
      <c r="K378" s="74" t="s">
        <v>35</v>
      </c>
      <c r="L378" s="74" t="s">
        <v>35</v>
      </c>
    </row>
    <row r="379" spans="1:12" ht="12.75" hidden="1" customHeight="1" x14ac:dyDescent="0.15">
      <c r="A379" s="73" t="s">
        <v>422</v>
      </c>
      <c r="B379" s="89">
        <v>8</v>
      </c>
      <c r="C379" s="74" t="s">
        <v>37</v>
      </c>
      <c r="D379" s="74"/>
      <c r="E379" s="74" t="s">
        <v>38</v>
      </c>
      <c r="F379" s="74"/>
      <c r="G379" s="74" t="s">
        <v>100</v>
      </c>
      <c r="H379" s="74"/>
      <c r="I379" s="83" t="str">
        <f t="shared" si="12"/>
        <v>http://www.aidedd.org/dnd/monstres.php?vo=Slaad,-green</v>
      </c>
      <c r="K379" s="74" t="s">
        <v>35</v>
      </c>
      <c r="L379" s="74" t="s">
        <v>35</v>
      </c>
    </row>
    <row r="380" spans="1:12" ht="12.75" hidden="1" customHeight="1" x14ac:dyDescent="0.15">
      <c r="A380" s="73" t="s">
        <v>423</v>
      </c>
      <c r="B380" s="89">
        <v>5</v>
      </c>
      <c r="C380" s="74" t="s">
        <v>37</v>
      </c>
      <c r="D380" s="74"/>
      <c r="E380" s="74" t="s">
        <v>38</v>
      </c>
      <c r="F380" s="74"/>
      <c r="G380" s="74" t="s">
        <v>100</v>
      </c>
      <c r="H380" s="74"/>
      <c r="I380" s="83" t="str">
        <f t="shared" si="12"/>
        <v>http://www.aidedd.org/dnd/monstres.php?vo=Slaad,-red</v>
      </c>
      <c r="K380" s="74" t="s">
        <v>35</v>
      </c>
      <c r="L380" s="74" t="s">
        <v>35</v>
      </c>
    </row>
    <row r="381" spans="1:12" ht="12.75" hidden="1" customHeight="1" x14ac:dyDescent="0.15">
      <c r="A381" s="73" t="s">
        <v>424</v>
      </c>
      <c r="B381" s="89" t="s">
        <v>78</v>
      </c>
      <c r="C381" s="74" t="s">
        <v>37</v>
      </c>
      <c r="D381" s="74"/>
      <c r="E381" s="74" t="s">
        <v>59</v>
      </c>
      <c r="F381" s="74"/>
      <c r="G381" s="74" t="s">
        <v>100</v>
      </c>
      <c r="H381" s="74"/>
      <c r="I381" s="83" t="str">
        <f t="shared" si="12"/>
        <v>http://www.aidedd.org/dnd/monstres.php?vo=Slaad,-tadpole</v>
      </c>
      <c r="K381" s="74" t="s">
        <v>35</v>
      </c>
      <c r="L381" s="74" t="s">
        <v>35</v>
      </c>
    </row>
    <row r="382" spans="1:12" ht="12.75" hidden="1" customHeight="1" x14ac:dyDescent="0.15">
      <c r="A382" s="73" t="s">
        <v>425</v>
      </c>
      <c r="B382" s="89" t="s">
        <v>32</v>
      </c>
      <c r="C382" s="74" t="s">
        <v>48</v>
      </c>
      <c r="D382" s="74"/>
      <c r="E382" s="74" t="s">
        <v>38</v>
      </c>
      <c r="F382" s="74"/>
      <c r="G382" s="74"/>
      <c r="H382" s="74"/>
      <c r="I382" s="83" t="str">
        <f t="shared" si="12"/>
        <v>http://www.aidedd.org/dnd/monstres.php?vo=Snake,-constrictor</v>
      </c>
      <c r="K382" s="74" t="s">
        <v>35</v>
      </c>
      <c r="L382" s="74" t="s">
        <v>35</v>
      </c>
    </row>
    <row r="383" spans="1:12" ht="12.75" hidden="1" customHeight="1" x14ac:dyDescent="0.15">
      <c r="A383" s="73" t="s">
        <v>426</v>
      </c>
      <c r="B383" s="89" t="s">
        <v>78</v>
      </c>
      <c r="C383" s="74" t="s">
        <v>48</v>
      </c>
      <c r="D383" s="74"/>
      <c r="E383" s="74" t="s">
        <v>59</v>
      </c>
      <c r="F383" s="74"/>
      <c r="G383" s="74"/>
      <c r="H383" s="74"/>
      <c r="I383" s="83" t="str">
        <f t="shared" si="12"/>
        <v>http://www.aidedd.org/dnd/monstres.php?vo=Snake,-flying</v>
      </c>
      <c r="K383" s="74" t="s">
        <v>35</v>
      </c>
      <c r="L383" s="74" t="s">
        <v>35</v>
      </c>
    </row>
    <row r="384" spans="1:12" ht="12.75" hidden="1" customHeight="1" x14ac:dyDescent="0.15">
      <c r="A384" s="73" t="s">
        <v>427</v>
      </c>
      <c r="B384" s="89">
        <v>2</v>
      </c>
      <c r="C384" s="74" t="s">
        <v>48</v>
      </c>
      <c r="D384" s="74"/>
      <c r="E384" s="74" t="s">
        <v>49</v>
      </c>
      <c r="F384" s="74"/>
      <c r="G384" s="74"/>
      <c r="H384" s="74"/>
      <c r="I384" s="83" t="str">
        <f t="shared" si="12"/>
        <v>http://www.aidedd.org/dnd/monstres.php?vo=Snake,-giant-constrictor</v>
      </c>
      <c r="K384" s="74" t="s">
        <v>35</v>
      </c>
      <c r="L384" s="74" t="s">
        <v>35</v>
      </c>
    </row>
    <row r="385" spans="1:12" ht="12.75" hidden="1" customHeight="1" x14ac:dyDescent="0.15">
      <c r="A385" s="73" t="s">
        <v>428</v>
      </c>
      <c r="B385" s="89" t="s">
        <v>32</v>
      </c>
      <c r="C385" s="74" t="s">
        <v>48</v>
      </c>
      <c r="D385" s="74"/>
      <c r="E385" s="74" t="s">
        <v>19</v>
      </c>
      <c r="F385" s="74"/>
      <c r="G385" s="74"/>
      <c r="H385" s="74"/>
      <c r="I385" s="83" t="str">
        <f t="shared" si="12"/>
        <v>http://www.aidedd.org/dnd/monstres.php?vo=Snake,-giant-poisonous</v>
      </c>
      <c r="K385" s="74" t="s">
        <v>35</v>
      </c>
      <c r="L385" s="74" t="s">
        <v>35</v>
      </c>
    </row>
    <row r="386" spans="1:12" ht="12.75" hidden="1" customHeight="1" x14ac:dyDescent="0.15">
      <c r="A386" s="73" t="s">
        <v>429</v>
      </c>
      <c r="B386" s="89" t="s">
        <v>78</v>
      </c>
      <c r="C386" s="74" t="s">
        <v>48</v>
      </c>
      <c r="D386" s="74"/>
      <c r="E386" s="74" t="s">
        <v>59</v>
      </c>
      <c r="F386" s="74"/>
      <c r="G386" s="74"/>
      <c r="H386" s="74"/>
      <c r="I386" s="83" t="str">
        <f t="shared" si="12"/>
        <v>http://www.aidedd.org/dnd/monstres.php?vo=Snake,-poisonous</v>
      </c>
      <c r="K386" s="74" t="s">
        <v>35</v>
      </c>
      <c r="L386" s="74" t="s">
        <v>35</v>
      </c>
    </row>
    <row r="387" spans="1:12" ht="12.75" hidden="1" customHeight="1" x14ac:dyDescent="0.15">
      <c r="A387" s="73" t="s">
        <v>430</v>
      </c>
      <c r="B387" s="89">
        <v>1</v>
      </c>
      <c r="C387" s="74" t="s">
        <v>62</v>
      </c>
      <c r="D387" s="74"/>
      <c r="E387" s="74" t="s">
        <v>19</v>
      </c>
      <c r="F387" s="74"/>
      <c r="G387" s="74" t="s">
        <v>63</v>
      </c>
      <c r="H387" s="74"/>
      <c r="I387" s="83" t="str">
        <f t="shared" si="12"/>
        <v>http://www.aidedd.org/dnd/monstres.php?vo=Specter</v>
      </c>
      <c r="K387" s="74" t="s">
        <v>35</v>
      </c>
      <c r="L387" s="74" t="s">
        <v>35</v>
      </c>
    </row>
    <row r="388" spans="1:12" ht="12.75" hidden="1" customHeight="1" x14ac:dyDescent="0.15">
      <c r="A388" s="73" t="s">
        <v>431</v>
      </c>
      <c r="B388" s="89">
        <v>2</v>
      </c>
      <c r="C388" s="74" t="s">
        <v>62</v>
      </c>
      <c r="D388" s="74"/>
      <c r="E388" s="74" t="s">
        <v>19</v>
      </c>
      <c r="F388" s="74"/>
      <c r="G388" s="74" t="s">
        <v>63</v>
      </c>
      <c r="H388" s="74"/>
      <c r="I388" s="83" t="str">
        <f t="shared" si="12"/>
        <v>http://www.aidedd.org/dnd/monstres.php?vo=Specter,-poltergeist</v>
      </c>
      <c r="K388" s="74" t="s">
        <v>35</v>
      </c>
      <c r="L388" s="74" t="s">
        <v>35</v>
      </c>
    </row>
    <row r="389" spans="1:12" ht="12.75" hidden="1" customHeight="1" x14ac:dyDescent="0.15">
      <c r="A389" s="73" t="s">
        <v>432</v>
      </c>
      <c r="B389" s="89">
        <v>17</v>
      </c>
      <c r="C389" s="74" t="s">
        <v>45</v>
      </c>
      <c r="D389" s="74"/>
      <c r="E389" s="74" t="s">
        <v>38</v>
      </c>
      <c r="F389" s="74"/>
      <c r="G389" s="74" t="s">
        <v>56</v>
      </c>
      <c r="H389" s="74"/>
      <c r="I389" s="83" t="str">
        <f t="shared" si="12"/>
        <v>http://www.aidedd.org/dnd/monstres.php?vo=Sphinx,-androsphinx</v>
      </c>
      <c r="K389" s="74" t="s">
        <v>2</v>
      </c>
      <c r="L389" s="74" t="s">
        <v>2</v>
      </c>
    </row>
    <row r="390" spans="1:12" ht="12.75" hidden="1" customHeight="1" x14ac:dyDescent="0.15">
      <c r="A390" s="73" t="s">
        <v>433</v>
      </c>
      <c r="B390" s="89">
        <v>11</v>
      </c>
      <c r="C390" s="74" t="s">
        <v>45</v>
      </c>
      <c r="D390" s="74"/>
      <c r="E390" s="74" t="s">
        <v>38</v>
      </c>
      <c r="F390" s="74"/>
      <c r="G390" s="74" t="s">
        <v>56</v>
      </c>
      <c r="H390" s="74"/>
      <c r="I390" s="83" t="str">
        <f t="shared" si="12"/>
        <v>http://www.aidedd.org/dnd/monstres.php?vo=Sphinx,-gynosphinx</v>
      </c>
      <c r="K390" s="74" t="s">
        <v>2</v>
      </c>
      <c r="L390" s="74" t="s">
        <v>2</v>
      </c>
    </row>
    <row r="391" spans="1:12" ht="12.75" hidden="1" customHeight="1" x14ac:dyDescent="0.15">
      <c r="A391" s="73" t="s">
        <v>434</v>
      </c>
      <c r="B391" s="89">
        <v>0</v>
      </c>
      <c r="C391" s="74" t="s">
        <v>48</v>
      </c>
      <c r="D391" s="74"/>
      <c r="E391" s="74" t="s">
        <v>59</v>
      </c>
      <c r="F391" s="74"/>
      <c r="G391" s="74"/>
      <c r="H391" s="74"/>
      <c r="I391" s="83" t="str">
        <f t="shared" si="12"/>
        <v>http://www.aidedd.org/dnd/monstres.php?vo=Spider</v>
      </c>
      <c r="K391" s="74" t="s">
        <v>35</v>
      </c>
      <c r="L391" s="74" t="s">
        <v>35</v>
      </c>
    </row>
    <row r="392" spans="1:12" ht="12.75" hidden="1" customHeight="1" x14ac:dyDescent="0.15">
      <c r="A392" s="76" t="s">
        <v>736</v>
      </c>
      <c r="B392" s="89">
        <v>1</v>
      </c>
      <c r="C392" s="74" t="s">
        <v>48</v>
      </c>
      <c r="D392" s="74"/>
      <c r="E392" s="74" t="s">
        <v>38</v>
      </c>
      <c r="F392" s="74">
        <v>26</v>
      </c>
      <c r="G392" s="74" t="s">
        <v>369</v>
      </c>
      <c r="H392" s="74">
        <v>3</v>
      </c>
      <c r="I392" s="83" t="str">
        <f t="shared" si="12"/>
        <v>http://www.aidedd.org/dnd/monstres.php?vo=Giant-Spider</v>
      </c>
      <c r="K392" s="74" t="s">
        <v>35</v>
      </c>
      <c r="L392" s="74" t="s">
        <v>35</v>
      </c>
    </row>
    <row r="393" spans="1:12" ht="12.75" hidden="1" customHeight="1" x14ac:dyDescent="0.15">
      <c r="A393" s="76" t="s">
        <v>737</v>
      </c>
      <c r="B393" s="89" t="s">
        <v>32</v>
      </c>
      <c r="C393" s="74" t="s">
        <v>48</v>
      </c>
      <c r="D393" s="74"/>
      <c r="E393" s="74" t="s">
        <v>19</v>
      </c>
      <c r="F393" s="74"/>
      <c r="G393" s="74"/>
      <c r="H393" s="74"/>
      <c r="I393" s="83" t="str">
        <f t="shared" si="12"/>
        <v>http://www.aidedd.org/dnd/monstres.php?vo=Giant-Wolf-Spider</v>
      </c>
      <c r="K393" s="74" t="s">
        <v>35</v>
      </c>
      <c r="L393" s="74" t="s">
        <v>35</v>
      </c>
    </row>
    <row r="394" spans="1:12" ht="12.75" hidden="1" customHeight="1" x14ac:dyDescent="0.15">
      <c r="A394" s="76" t="s">
        <v>738</v>
      </c>
      <c r="B394" s="89">
        <v>3</v>
      </c>
      <c r="C394" s="74" t="s">
        <v>45</v>
      </c>
      <c r="D394" s="74"/>
      <c r="E394" s="74" t="s">
        <v>38</v>
      </c>
      <c r="F394" s="74"/>
      <c r="G394" s="74"/>
      <c r="H394" s="74"/>
      <c r="I394" s="83" t="str">
        <f t="shared" si="12"/>
        <v>http://www.aidedd.org/dnd/monstres.php?vo=Phase-Spider</v>
      </c>
      <c r="K394" s="74" t="s">
        <v>35</v>
      </c>
      <c r="L394" s="74" t="s">
        <v>35</v>
      </c>
    </row>
    <row r="395" spans="1:12" ht="12.75" hidden="1" customHeight="1" x14ac:dyDescent="0.15">
      <c r="A395" s="72" t="s">
        <v>804</v>
      </c>
      <c r="B395" s="72">
        <v>2</v>
      </c>
      <c r="C395" s="72" t="s">
        <v>81</v>
      </c>
      <c r="E395" s="91" t="s">
        <v>19</v>
      </c>
      <c r="F395" s="72">
        <v>27</v>
      </c>
      <c r="G395" s="72" t="s">
        <v>100</v>
      </c>
      <c r="H395" s="72">
        <v>3</v>
      </c>
      <c r="I395" s="83"/>
      <c r="J395" s="72" t="s">
        <v>801</v>
      </c>
    </row>
    <row r="396" spans="1:12" ht="12.75" hidden="1" customHeight="1" x14ac:dyDescent="0.15">
      <c r="A396" s="73" t="s">
        <v>437</v>
      </c>
      <c r="B396" s="89" t="s">
        <v>78</v>
      </c>
      <c r="C396" s="74" t="s">
        <v>48</v>
      </c>
      <c r="D396" s="74"/>
      <c r="E396" s="74" t="s">
        <v>59</v>
      </c>
      <c r="F396" s="74">
        <v>2</v>
      </c>
      <c r="G396" s="74" t="s">
        <v>369</v>
      </c>
      <c r="H396" s="74">
        <v>3</v>
      </c>
      <c r="I396" s="83" t="str">
        <f t="shared" ref="I396:I426" si="13">HYPERLINK("http://www.aidedd.org/dnd/monstres.php?vo="&amp;SUBSTITUTE(A396," ","-"))</f>
        <v>http://www.aidedd.org/dnd/monstres.php?vo=Stirge</v>
      </c>
      <c r="K396" s="74" t="s">
        <v>35</v>
      </c>
      <c r="L396" s="74" t="s">
        <v>35</v>
      </c>
    </row>
    <row r="397" spans="1:12" ht="12.75" hidden="1" customHeight="1" x14ac:dyDescent="0.15">
      <c r="A397" s="73" t="s">
        <v>438</v>
      </c>
      <c r="B397" s="89">
        <v>4</v>
      </c>
      <c r="C397" s="74" t="s">
        <v>91</v>
      </c>
      <c r="D397" s="74" t="s">
        <v>118</v>
      </c>
      <c r="E397" s="74" t="s">
        <v>19</v>
      </c>
      <c r="F397" s="74"/>
      <c r="G397" s="74" t="s">
        <v>70</v>
      </c>
      <c r="H397" s="74"/>
      <c r="I397" s="83" t="str">
        <f t="shared" si="13"/>
        <v>http://www.aidedd.org/dnd/monstres.php?vo=Succubus/incubus</v>
      </c>
      <c r="K397" s="74" t="s">
        <v>35</v>
      </c>
      <c r="L397" s="74" t="s">
        <v>35</v>
      </c>
    </row>
    <row r="398" spans="1:12" ht="12.75" hidden="1" customHeight="1" x14ac:dyDescent="0.15">
      <c r="A398" s="73" t="s">
        <v>439</v>
      </c>
      <c r="B398" s="89" t="s">
        <v>32</v>
      </c>
      <c r="C398" s="74" t="s">
        <v>48</v>
      </c>
      <c r="D398" s="74"/>
      <c r="E398" s="74" t="s">
        <v>440</v>
      </c>
      <c r="F398" s="74">
        <v>22</v>
      </c>
      <c r="G398" s="75" t="s">
        <v>694</v>
      </c>
      <c r="H398" s="74">
        <v>2</v>
      </c>
      <c r="I398" s="83" t="str">
        <f t="shared" si="13"/>
        <v>http://www.aidedd.org/dnd/monstres.php?vo=Swarm-of-bats</v>
      </c>
      <c r="K398" s="74" t="s">
        <v>35</v>
      </c>
      <c r="L398" s="74" t="s">
        <v>35</v>
      </c>
    </row>
    <row r="399" spans="1:12" ht="12.75" hidden="1" customHeight="1" x14ac:dyDescent="0.15">
      <c r="A399" s="73" t="s">
        <v>441</v>
      </c>
      <c r="B399" s="89" t="s">
        <v>47</v>
      </c>
      <c r="C399" s="74" t="s">
        <v>48</v>
      </c>
      <c r="D399" s="74"/>
      <c r="E399" s="74" t="s">
        <v>440</v>
      </c>
      <c r="F399" s="74">
        <v>22</v>
      </c>
      <c r="G399" s="75" t="s">
        <v>694</v>
      </c>
      <c r="H399" s="74">
        <v>1</v>
      </c>
      <c r="I399" s="83" t="str">
        <f t="shared" si="13"/>
        <v>http://www.aidedd.org/dnd/monstres.php?vo=Swarm-of-insects</v>
      </c>
      <c r="K399" s="74" t="s">
        <v>35</v>
      </c>
      <c r="L399" s="74" t="s">
        <v>35</v>
      </c>
    </row>
    <row r="400" spans="1:12" ht="12.75" hidden="1" customHeight="1" x14ac:dyDescent="0.15">
      <c r="A400" s="73" t="s">
        <v>442</v>
      </c>
      <c r="B400" s="89">
        <v>2</v>
      </c>
      <c r="C400" s="74" t="s">
        <v>48</v>
      </c>
      <c r="D400" s="74"/>
      <c r="E400" s="74" t="s">
        <v>440</v>
      </c>
      <c r="F400" s="74">
        <v>36</v>
      </c>
      <c r="G400" s="75" t="s">
        <v>694</v>
      </c>
      <c r="H400" s="74">
        <v>4</v>
      </c>
      <c r="I400" s="83" t="str">
        <f t="shared" si="13"/>
        <v>http://www.aidedd.org/dnd/monstres.php?vo=Swarm-of-poisonous-snakes</v>
      </c>
      <c r="K400" s="74" t="s">
        <v>35</v>
      </c>
      <c r="L400" s="74" t="s">
        <v>35</v>
      </c>
    </row>
    <row r="401" spans="1:12" ht="12.75" hidden="1" customHeight="1" x14ac:dyDescent="0.15">
      <c r="A401" s="73" t="s">
        <v>443</v>
      </c>
      <c r="B401" s="89">
        <v>1</v>
      </c>
      <c r="C401" s="74" t="s">
        <v>48</v>
      </c>
      <c r="D401" s="74"/>
      <c r="E401" s="74" t="s">
        <v>440</v>
      </c>
      <c r="F401" s="75">
        <v>28</v>
      </c>
      <c r="G401" s="75" t="s">
        <v>694</v>
      </c>
      <c r="H401" s="75">
        <v>3</v>
      </c>
      <c r="I401" s="83" t="str">
        <f t="shared" si="13"/>
        <v>http://www.aidedd.org/dnd/monstres.php?vo=Swarm-of-quippers</v>
      </c>
      <c r="K401" s="74" t="s">
        <v>35</v>
      </c>
      <c r="L401" s="74" t="s">
        <v>35</v>
      </c>
    </row>
    <row r="402" spans="1:12" ht="12.75" hidden="1" customHeight="1" x14ac:dyDescent="0.15">
      <c r="A402" s="73" t="s">
        <v>444</v>
      </c>
      <c r="B402" s="89" t="s">
        <v>32</v>
      </c>
      <c r="C402" s="74" t="s">
        <v>48</v>
      </c>
      <c r="D402" s="74"/>
      <c r="E402" s="74" t="s">
        <v>440</v>
      </c>
      <c r="F402" s="75">
        <v>24</v>
      </c>
      <c r="G402" s="75" t="s">
        <v>694</v>
      </c>
      <c r="H402" s="75">
        <v>0</v>
      </c>
      <c r="I402" s="83" t="str">
        <f t="shared" si="13"/>
        <v>http://www.aidedd.org/dnd/monstres.php?vo=Swarm-of-rats</v>
      </c>
      <c r="K402" s="74" t="s">
        <v>35</v>
      </c>
      <c r="L402" s="74" t="s">
        <v>35</v>
      </c>
    </row>
    <row r="403" spans="1:12" ht="12.75" hidden="1" customHeight="1" x14ac:dyDescent="0.15">
      <c r="A403" s="73" t="s">
        <v>445</v>
      </c>
      <c r="B403" s="89" t="s">
        <v>32</v>
      </c>
      <c r="C403" s="74" t="s">
        <v>48</v>
      </c>
      <c r="D403" s="74"/>
      <c r="E403" s="74" t="s">
        <v>440</v>
      </c>
      <c r="F403" s="75">
        <v>24</v>
      </c>
      <c r="G403" s="75" t="s">
        <v>694</v>
      </c>
      <c r="H403" s="75">
        <v>2</v>
      </c>
      <c r="I403" s="83" t="str">
        <f t="shared" si="13"/>
        <v>http://www.aidedd.org/dnd/monstres.php?vo=Swarm-of-ravens</v>
      </c>
      <c r="K403" s="74" t="s">
        <v>35</v>
      </c>
      <c r="L403" s="74" t="s">
        <v>35</v>
      </c>
    </row>
    <row r="404" spans="1:12" ht="12.75" hidden="1" customHeight="1" x14ac:dyDescent="0.15">
      <c r="A404" s="73" t="s">
        <v>446</v>
      </c>
      <c r="B404" s="89">
        <v>30</v>
      </c>
      <c r="C404" s="74" t="s">
        <v>45</v>
      </c>
      <c r="D404" s="74"/>
      <c r="E404" s="74" t="s">
        <v>145</v>
      </c>
      <c r="F404" s="74"/>
      <c r="G404" s="74"/>
      <c r="H404" s="74"/>
      <c r="I404" s="83" t="str">
        <f t="shared" si="13"/>
        <v>http://www.aidedd.org/dnd/monstres.php?vo=Tarrasque</v>
      </c>
      <c r="K404" s="74" t="s">
        <v>2</v>
      </c>
      <c r="L404" s="74" t="s">
        <v>35</v>
      </c>
    </row>
    <row r="405" spans="1:12" ht="12.75" hidden="1" customHeight="1" x14ac:dyDescent="0.15">
      <c r="A405" s="73" t="s">
        <v>447</v>
      </c>
      <c r="B405" s="89">
        <v>1</v>
      </c>
      <c r="C405" s="74" t="s">
        <v>33</v>
      </c>
      <c r="D405" s="74" t="s">
        <v>447</v>
      </c>
      <c r="E405" s="74" t="s">
        <v>19</v>
      </c>
      <c r="F405" s="74"/>
      <c r="G405" s="74" t="s">
        <v>100</v>
      </c>
      <c r="H405" s="74"/>
      <c r="I405" s="83" t="str">
        <f t="shared" si="13"/>
        <v>http://www.aidedd.org/dnd/monstres.php?vo=Thri-kreen</v>
      </c>
      <c r="K405" s="74" t="s">
        <v>35</v>
      </c>
      <c r="L405" s="74" t="s">
        <v>35</v>
      </c>
    </row>
    <row r="406" spans="1:12" ht="12.75" hidden="1" customHeight="1" x14ac:dyDescent="0.15">
      <c r="A406" s="73" t="s">
        <v>448</v>
      </c>
      <c r="B406" s="89">
        <v>1</v>
      </c>
      <c r="C406" s="74" t="s">
        <v>48</v>
      </c>
      <c r="D406" s="74"/>
      <c r="E406" s="74" t="s">
        <v>38</v>
      </c>
      <c r="F406" s="74"/>
      <c r="G406" s="74"/>
      <c r="H406" s="74"/>
      <c r="I406" s="83" t="str">
        <f t="shared" si="13"/>
        <v>http://www.aidedd.org/dnd/monstres.php?vo=Tiger</v>
      </c>
      <c r="K406" s="74" t="s">
        <v>35</v>
      </c>
      <c r="L406" s="74" t="s">
        <v>35</v>
      </c>
    </row>
    <row r="407" spans="1:12" ht="12.75" hidden="1" customHeight="1" x14ac:dyDescent="0.15">
      <c r="A407" s="73" t="s">
        <v>449</v>
      </c>
      <c r="B407" s="89">
        <v>1</v>
      </c>
      <c r="C407" s="74" t="s">
        <v>48</v>
      </c>
      <c r="D407" s="74"/>
      <c r="E407" s="74" t="s">
        <v>38</v>
      </c>
      <c r="F407" s="74"/>
      <c r="G407" s="74"/>
      <c r="H407" s="74"/>
      <c r="I407" s="83" t="str">
        <f t="shared" si="13"/>
        <v>http://www.aidedd.org/dnd/monstres.php?vo=Toad,-giant</v>
      </c>
      <c r="K407" s="74" t="s">
        <v>35</v>
      </c>
      <c r="L407" s="74" t="s">
        <v>35</v>
      </c>
    </row>
    <row r="408" spans="1:12" ht="12.75" hidden="1" customHeight="1" x14ac:dyDescent="0.15">
      <c r="A408" s="73" t="s">
        <v>450</v>
      </c>
      <c r="B408" s="89">
        <v>9</v>
      </c>
      <c r="C408" s="74" t="s">
        <v>51</v>
      </c>
      <c r="D408" s="74"/>
      <c r="E408" s="74" t="s">
        <v>49</v>
      </c>
      <c r="F408" s="74"/>
      <c r="G408" s="74" t="s">
        <v>155</v>
      </c>
      <c r="H408" s="74"/>
      <c r="I408" s="83" t="str">
        <f t="shared" si="13"/>
        <v>http://www.aidedd.org/dnd/monstres.php?vo=Treant</v>
      </c>
      <c r="K408" s="74" t="s">
        <v>35</v>
      </c>
      <c r="L408" s="74" t="s">
        <v>35</v>
      </c>
    </row>
    <row r="409" spans="1:12" ht="12.75" hidden="1" customHeight="1" x14ac:dyDescent="0.15">
      <c r="A409" s="73" t="s">
        <v>451</v>
      </c>
      <c r="B409" s="89" t="s">
        <v>32</v>
      </c>
      <c r="C409" s="74" t="s">
        <v>33</v>
      </c>
      <c r="D409" s="74" t="s">
        <v>451</v>
      </c>
      <c r="E409" s="74" t="s">
        <v>19</v>
      </c>
      <c r="F409" s="74"/>
      <c r="G409" s="74" t="s">
        <v>63</v>
      </c>
      <c r="H409" s="74"/>
      <c r="I409" s="83" t="str">
        <f t="shared" si="13"/>
        <v>http://www.aidedd.org/dnd/monstres.php?vo=Troglodyte</v>
      </c>
      <c r="K409" s="74" t="s">
        <v>35</v>
      </c>
      <c r="L409" s="74" t="s">
        <v>35</v>
      </c>
    </row>
    <row r="410" spans="1:12" ht="12.75" hidden="1" customHeight="1" x14ac:dyDescent="0.15">
      <c r="A410" s="73" t="s">
        <v>452</v>
      </c>
      <c r="B410" s="89">
        <v>5</v>
      </c>
      <c r="C410" s="74" t="s">
        <v>109</v>
      </c>
      <c r="D410" s="74"/>
      <c r="E410" s="74" t="s">
        <v>38</v>
      </c>
      <c r="F410" s="74"/>
      <c r="G410" s="74" t="s">
        <v>63</v>
      </c>
      <c r="H410" s="74"/>
      <c r="I410" s="83" t="str">
        <f t="shared" si="13"/>
        <v>http://www.aidedd.org/dnd/monstres.php?vo=Troll</v>
      </c>
      <c r="K410" s="74" t="s">
        <v>35</v>
      </c>
      <c r="L410" s="74" t="s">
        <v>35</v>
      </c>
    </row>
    <row r="411" spans="1:12" ht="12.75" hidden="1" customHeight="1" x14ac:dyDescent="0.15">
      <c r="A411" s="73" t="s">
        <v>453</v>
      </c>
      <c r="B411" s="89">
        <v>5</v>
      </c>
      <c r="C411" s="74" t="s">
        <v>45</v>
      </c>
      <c r="D411" s="74"/>
      <c r="E411" s="74" t="s">
        <v>38</v>
      </c>
      <c r="F411" s="74"/>
      <c r="G411" s="74" t="s">
        <v>63</v>
      </c>
      <c r="H411" s="74"/>
      <c r="I411" s="83" t="str">
        <f t="shared" si="13"/>
        <v>http://www.aidedd.org/dnd/monstres.php?vo=Umber-hulk</v>
      </c>
      <c r="K411" s="74" t="s">
        <v>35</v>
      </c>
      <c r="L411" s="74" t="s">
        <v>35</v>
      </c>
    </row>
    <row r="412" spans="1:12" ht="12.75" hidden="1" customHeight="1" x14ac:dyDescent="0.15">
      <c r="A412" s="73" t="s">
        <v>454</v>
      </c>
      <c r="B412" s="89">
        <v>5</v>
      </c>
      <c r="C412" s="74" t="s">
        <v>40</v>
      </c>
      <c r="D412" s="74"/>
      <c r="E412" s="74" t="s">
        <v>38</v>
      </c>
      <c r="F412" s="74"/>
      <c r="G412" s="74" t="s">
        <v>41</v>
      </c>
      <c r="H412" s="74"/>
      <c r="I412" s="83" t="str">
        <f t="shared" si="13"/>
        <v>http://www.aidedd.org/dnd/monstres.php?vo=Unicorn</v>
      </c>
      <c r="K412" s="74" t="s">
        <v>2</v>
      </c>
      <c r="L412" s="74" t="s">
        <v>2</v>
      </c>
    </row>
    <row r="413" spans="1:12" ht="12.75" hidden="1" customHeight="1" x14ac:dyDescent="0.15">
      <c r="A413" s="73" t="s">
        <v>455</v>
      </c>
      <c r="B413" s="89">
        <v>13</v>
      </c>
      <c r="C413" s="74" t="s">
        <v>62</v>
      </c>
      <c r="D413" s="74" t="s">
        <v>118</v>
      </c>
      <c r="E413" s="74" t="s">
        <v>19</v>
      </c>
      <c r="F413" s="74"/>
      <c r="G413" s="74" t="s">
        <v>39</v>
      </c>
      <c r="H413" s="74"/>
      <c r="I413" s="83" t="str">
        <f t="shared" si="13"/>
        <v>http://www.aidedd.org/dnd/monstres.php?vo=Vampire</v>
      </c>
      <c r="K413" s="74" t="s">
        <v>2</v>
      </c>
      <c r="L413" s="74" t="s">
        <v>456</v>
      </c>
    </row>
    <row r="414" spans="1:12" ht="12.75" hidden="1" customHeight="1" x14ac:dyDescent="0.15">
      <c r="A414" s="73" t="s">
        <v>457</v>
      </c>
      <c r="B414" s="89">
        <v>5</v>
      </c>
      <c r="C414" s="74" t="s">
        <v>62</v>
      </c>
      <c r="D414" s="74"/>
      <c r="E414" s="74" t="s">
        <v>19</v>
      </c>
      <c r="F414" s="74"/>
      <c r="G414" s="74" t="s">
        <v>70</v>
      </c>
      <c r="H414" s="74"/>
      <c r="I414" s="83" t="str">
        <f t="shared" si="13"/>
        <v>http://www.aidedd.org/dnd/monstres.php?vo=Vampire-spawn</v>
      </c>
      <c r="K414" s="74" t="s">
        <v>35</v>
      </c>
      <c r="L414" s="74" t="s">
        <v>35</v>
      </c>
    </row>
    <row r="415" spans="1:12" ht="12.75" hidden="1" customHeight="1" x14ac:dyDescent="0.15">
      <c r="A415" s="73" t="s">
        <v>458</v>
      </c>
      <c r="B415" s="89">
        <v>15</v>
      </c>
      <c r="C415" s="74" t="s">
        <v>62</v>
      </c>
      <c r="D415" s="74" t="s">
        <v>118</v>
      </c>
      <c r="E415" s="74" t="s">
        <v>19</v>
      </c>
      <c r="F415" s="74"/>
      <c r="G415" s="74" t="s">
        <v>39</v>
      </c>
      <c r="H415" s="74"/>
      <c r="I415" s="83" t="str">
        <f t="shared" si="13"/>
        <v>http://www.aidedd.org/dnd/monstres.php?vo=Vampire,-spellcaster</v>
      </c>
      <c r="K415" s="74" t="s">
        <v>2</v>
      </c>
      <c r="L415" s="74" t="s">
        <v>456</v>
      </c>
    </row>
    <row r="416" spans="1:12" ht="12.75" hidden="1" customHeight="1" x14ac:dyDescent="0.15">
      <c r="A416" s="73" t="s">
        <v>459</v>
      </c>
      <c r="B416" s="89">
        <v>15</v>
      </c>
      <c r="C416" s="74" t="s">
        <v>62</v>
      </c>
      <c r="D416" s="74" t="s">
        <v>118</v>
      </c>
      <c r="E416" s="74" t="s">
        <v>19</v>
      </c>
      <c r="F416" s="74"/>
      <c r="G416" s="74" t="s">
        <v>39</v>
      </c>
      <c r="H416" s="74"/>
      <c r="I416" s="83" t="str">
        <f t="shared" si="13"/>
        <v>http://www.aidedd.org/dnd/monstres.php?vo=Vampire,-warrior</v>
      </c>
      <c r="K416" s="74" t="s">
        <v>2</v>
      </c>
      <c r="L416" s="74" t="s">
        <v>456</v>
      </c>
    </row>
    <row r="417" spans="1:12" ht="12.75" hidden="1" customHeight="1" x14ac:dyDescent="0.15">
      <c r="A417" s="73" t="s">
        <v>460</v>
      </c>
      <c r="B417" s="89">
        <v>0</v>
      </c>
      <c r="C417" s="74" t="s">
        <v>48</v>
      </c>
      <c r="D417" s="74"/>
      <c r="E417" s="74" t="s">
        <v>19</v>
      </c>
      <c r="F417" s="74"/>
      <c r="G417" s="74"/>
      <c r="H417" s="74"/>
      <c r="I417" s="83" t="str">
        <f t="shared" si="13"/>
        <v>http://www.aidedd.org/dnd/monstres.php?vo=Vulture</v>
      </c>
      <c r="K417" s="74" t="s">
        <v>35</v>
      </c>
      <c r="L417" s="74" t="s">
        <v>35</v>
      </c>
    </row>
    <row r="418" spans="1:12" ht="12.75" hidden="1" customHeight="1" x14ac:dyDescent="0.15">
      <c r="A418" s="73" t="s">
        <v>461</v>
      </c>
      <c r="B418" s="89">
        <v>1</v>
      </c>
      <c r="C418" s="74" t="s">
        <v>48</v>
      </c>
      <c r="D418" s="74"/>
      <c r="E418" s="74" t="s">
        <v>38</v>
      </c>
      <c r="F418" s="74"/>
      <c r="G418" s="74" t="s">
        <v>70</v>
      </c>
      <c r="H418" s="74"/>
      <c r="I418" s="83" t="str">
        <f t="shared" si="13"/>
        <v>http://www.aidedd.org/dnd/monstres.php?vo=Vulture,-giant</v>
      </c>
      <c r="K418" s="74" t="s">
        <v>35</v>
      </c>
      <c r="L418" s="74" t="s">
        <v>35</v>
      </c>
    </row>
    <row r="419" spans="1:12" ht="12.75" hidden="1" customHeight="1" x14ac:dyDescent="0.15">
      <c r="A419" s="73" t="s">
        <v>462</v>
      </c>
      <c r="B419" s="89" t="s">
        <v>47</v>
      </c>
      <c r="C419" s="74" t="s">
        <v>48</v>
      </c>
      <c r="D419" s="74"/>
      <c r="E419" s="74" t="s">
        <v>19</v>
      </c>
      <c r="F419" s="74"/>
      <c r="G419" s="74"/>
      <c r="H419" s="74"/>
      <c r="I419" s="83" t="str">
        <f t="shared" si="13"/>
        <v>http://www.aidedd.org/dnd/monstres.php?vo=Wasp,-giant</v>
      </c>
      <c r="K419" s="74" t="s">
        <v>35</v>
      </c>
      <c r="L419" s="74" t="s">
        <v>35</v>
      </c>
    </row>
    <row r="420" spans="1:12" ht="12.75" hidden="1" customHeight="1" x14ac:dyDescent="0.15">
      <c r="A420" s="73" t="s">
        <v>463</v>
      </c>
      <c r="B420" s="89">
        <v>3</v>
      </c>
      <c r="C420" s="74" t="s">
        <v>55</v>
      </c>
      <c r="D420" s="74"/>
      <c r="E420" s="74" t="s">
        <v>38</v>
      </c>
      <c r="F420" s="74"/>
      <c r="G420" s="74" t="s">
        <v>35</v>
      </c>
      <c r="H420" s="74"/>
      <c r="I420" s="83" t="str">
        <f t="shared" si="13"/>
        <v>http://www.aidedd.org/dnd/monstres.php?vo=Water-weird</v>
      </c>
      <c r="K420" s="74" t="s">
        <v>35</v>
      </c>
      <c r="L420" s="74" t="s">
        <v>35</v>
      </c>
    </row>
    <row r="421" spans="1:12" ht="12.75" hidden="1" customHeight="1" x14ac:dyDescent="0.15">
      <c r="A421" s="73" t="s">
        <v>464</v>
      </c>
      <c r="B421" s="89">
        <v>0</v>
      </c>
      <c r="C421" s="74" t="s">
        <v>48</v>
      </c>
      <c r="D421" s="74"/>
      <c r="E421" s="74" t="s">
        <v>59</v>
      </c>
      <c r="F421" s="74">
        <v>1</v>
      </c>
      <c r="G421" s="74"/>
      <c r="H421" s="74"/>
      <c r="I421" s="83" t="str">
        <f t="shared" si="13"/>
        <v>http://www.aidedd.org/dnd/monstres.php?vo=Weasel</v>
      </c>
      <c r="K421" s="74" t="s">
        <v>35</v>
      </c>
      <c r="L421" s="74" t="s">
        <v>35</v>
      </c>
    </row>
    <row r="422" spans="1:12" ht="12.75" hidden="1" customHeight="1" x14ac:dyDescent="0.15">
      <c r="A422" s="73" t="s">
        <v>465</v>
      </c>
      <c r="B422" s="89" t="s">
        <v>78</v>
      </c>
      <c r="C422" s="74" t="s">
        <v>48</v>
      </c>
      <c r="D422" s="74"/>
      <c r="E422" s="74" t="s">
        <v>19</v>
      </c>
      <c r="F422" s="74"/>
      <c r="G422" s="74"/>
      <c r="H422" s="74"/>
      <c r="I422" s="83" t="str">
        <f t="shared" si="13"/>
        <v>http://www.aidedd.org/dnd/monstres.php?vo=Weasel,-giant</v>
      </c>
      <c r="K422" s="74" t="s">
        <v>35</v>
      </c>
      <c r="L422" s="74" t="s">
        <v>35</v>
      </c>
    </row>
    <row r="423" spans="1:12" ht="12.75" hidden="1" customHeight="1" x14ac:dyDescent="0.15">
      <c r="A423" s="73" t="s">
        <v>466</v>
      </c>
      <c r="B423" s="89">
        <v>3</v>
      </c>
      <c r="C423" s="74" t="s">
        <v>62</v>
      </c>
      <c r="D423" s="74"/>
      <c r="E423" s="74" t="s">
        <v>19</v>
      </c>
      <c r="F423" s="74">
        <v>45</v>
      </c>
      <c r="G423" s="74" t="s">
        <v>70</v>
      </c>
      <c r="H423" s="74">
        <v>2</v>
      </c>
      <c r="I423" s="83" t="str">
        <f t="shared" si="13"/>
        <v>http://www.aidedd.org/dnd/monstres.php?vo=Wight</v>
      </c>
      <c r="K423" s="74" t="s">
        <v>35</v>
      </c>
      <c r="L423" s="74" t="s">
        <v>35</v>
      </c>
    </row>
    <row r="424" spans="1:12" ht="12.75" hidden="1" customHeight="1" x14ac:dyDescent="0.15">
      <c r="A424" s="73" t="s">
        <v>467</v>
      </c>
      <c r="B424" s="89">
        <v>2</v>
      </c>
      <c r="C424" s="74" t="s">
        <v>62</v>
      </c>
      <c r="D424" s="74"/>
      <c r="E424" s="74" t="s">
        <v>59</v>
      </c>
      <c r="F424" s="74"/>
      <c r="G424" s="74" t="s">
        <v>63</v>
      </c>
      <c r="H424" s="74"/>
      <c r="I424" s="83" t="str">
        <f t="shared" si="13"/>
        <v>http://www.aidedd.org/dnd/monstres.php?vo=Will-o'-wisp</v>
      </c>
      <c r="K424" s="74" t="s">
        <v>35</v>
      </c>
      <c r="L424" s="74" t="s">
        <v>35</v>
      </c>
    </row>
    <row r="425" spans="1:12" ht="12.75" hidden="1" customHeight="1" x14ac:dyDescent="0.15">
      <c r="A425" s="73" t="s">
        <v>468</v>
      </c>
      <c r="B425" s="89">
        <v>3</v>
      </c>
      <c r="C425" s="74" t="s">
        <v>45</v>
      </c>
      <c r="D425" s="74"/>
      <c r="E425" s="74" t="s">
        <v>38</v>
      </c>
      <c r="F425" s="74">
        <v>75</v>
      </c>
      <c r="G425" s="74" t="s">
        <v>70</v>
      </c>
      <c r="H425" s="74"/>
      <c r="I425" s="83" t="str">
        <f t="shared" si="13"/>
        <v>http://www.aidedd.org/dnd/monstres.php?vo=Winter-wolf</v>
      </c>
      <c r="K425" s="74" t="s">
        <v>35</v>
      </c>
      <c r="L425" s="74" t="s">
        <v>35</v>
      </c>
    </row>
    <row r="426" spans="1:12" ht="12.75" hidden="1" customHeight="1" x14ac:dyDescent="0.15">
      <c r="A426" s="73" t="s">
        <v>469</v>
      </c>
      <c r="B426" s="89" t="s">
        <v>32</v>
      </c>
      <c r="C426" s="74" t="s">
        <v>48</v>
      </c>
      <c r="D426" s="74"/>
      <c r="E426" s="74" t="s">
        <v>19</v>
      </c>
      <c r="F426" s="74">
        <v>11</v>
      </c>
      <c r="G426" s="75" t="s">
        <v>369</v>
      </c>
      <c r="H426" s="74">
        <v>2</v>
      </c>
      <c r="I426" s="83" t="str">
        <f t="shared" si="13"/>
        <v>http://www.aidedd.org/dnd/monstres.php?vo=Wolf</v>
      </c>
      <c r="K426" s="74" t="s">
        <v>35</v>
      </c>
      <c r="L426" s="74" t="s">
        <v>35</v>
      </c>
    </row>
    <row r="427" spans="1:12" ht="12.75" hidden="1" customHeight="1" x14ac:dyDescent="0.15">
      <c r="A427" s="73" t="s">
        <v>470</v>
      </c>
      <c r="B427" s="89" t="s">
        <v>47</v>
      </c>
      <c r="C427" s="74" t="s">
        <v>45</v>
      </c>
      <c r="D427" s="74"/>
      <c r="E427" s="74" t="s">
        <v>38</v>
      </c>
      <c r="F427" s="74">
        <v>26</v>
      </c>
      <c r="G427" s="74" t="s">
        <v>70</v>
      </c>
      <c r="H427" s="74"/>
      <c r="I427" s="83" t="s">
        <v>929</v>
      </c>
      <c r="K427" s="74" t="s">
        <v>35</v>
      </c>
      <c r="L427" s="74" t="s">
        <v>35</v>
      </c>
    </row>
    <row r="428" spans="1:12" ht="12.75" hidden="1" customHeight="1" x14ac:dyDescent="0.15">
      <c r="A428" s="73" t="s">
        <v>471</v>
      </c>
      <c r="B428" s="89">
        <v>5</v>
      </c>
      <c r="C428" s="74" t="s">
        <v>62</v>
      </c>
      <c r="D428" s="74"/>
      <c r="E428" s="74" t="s">
        <v>19</v>
      </c>
      <c r="F428" s="74"/>
      <c r="G428" s="74" t="s">
        <v>70</v>
      </c>
      <c r="H428" s="74"/>
      <c r="I428" s="83" t="str">
        <f t="shared" ref="I428:I459" si="14">HYPERLINK("http://www.aidedd.org/dnd/monstres.php?vo="&amp;SUBSTITUTE(A428," ","-"))</f>
        <v>http://www.aidedd.org/dnd/monstres.php?vo=Wraith</v>
      </c>
      <c r="K428" s="74" t="s">
        <v>35</v>
      </c>
      <c r="L428" s="74" t="s">
        <v>35</v>
      </c>
    </row>
    <row r="429" spans="1:12" ht="12.75" hidden="1" customHeight="1" x14ac:dyDescent="0.15">
      <c r="A429" s="73" t="s">
        <v>472</v>
      </c>
      <c r="B429" s="89">
        <v>6</v>
      </c>
      <c r="C429" s="74" t="s">
        <v>144</v>
      </c>
      <c r="D429" s="74"/>
      <c r="E429" s="74" t="s">
        <v>38</v>
      </c>
      <c r="F429" s="74"/>
      <c r="G429" s="74"/>
      <c r="H429" s="74"/>
      <c r="I429" s="83" t="str">
        <f t="shared" si="14"/>
        <v>http://www.aidedd.org/dnd/monstres.php?vo=Wyvern</v>
      </c>
      <c r="K429" s="74" t="s">
        <v>35</v>
      </c>
      <c r="L429" s="74" t="s">
        <v>35</v>
      </c>
    </row>
    <row r="430" spans="1:12" ht="12.75" hidden="1" customHeight="1" x14ac:dyDescent="0.15">
      <c r="A430" s="73" t="s">
        <v>473</v>
      </c>
      <c r="B430" s="89">
        <v>5</v>
      </c>
      <c r="C430" s="74" t="s">
        <v>55</v>
      </c>
      <c r="D430" s="74"/>
      <c r="E430" s="74" t="s">
        <v>19</v>
      </c>
      <c r="F430" s="74"/>
      <c r="G430" s="74" t="s">
        <v>35</v>
      </c>
      <c r="H430" s="74"/>
      <c r="I430" s="83" t="str">
        <f t="shared" si="14"/>
        <v>http://www.aidedd.org/dnd/monstres.php?vo=Xorn</v>
      </c>
      <c r="K430" s="74" t="s">
        <v>35</v>
      </c>
      <c r="L430" s="74" t="s">
        <v>35</v>
      </c>
    </row>
    <row r="431" spans="1:12" ht="12.75" hidden="1" customHeight="1" x14ac:dyDescent="0.15">
      <c r="A431" s="73" t="s">
        <v>474</v>
      </c>
      <c r="B431" s="89">
        <v>3</v>
      </c>
      <c r="C431" s="74" t="s">
        <v>45</v>
      </c>
      <c r="D431" s="74"/>
      <c r="E431" s="74" t="s">
        <v>38</v>
      </c>
      <c r="F431" s="74"/>
      <c r="G431" s="74" t="s">
        <v>63</v>
      </c>
      <c r="H431" s="74"/>
      <c r="I431" s="83" t="str">
        <f t="shared" si="14"/>
        <v>http://www.aidedd.org/dnd/monstres.php?vo=Yeti</v>
      </c>
      <c r="K431" s="74" t="s">
        <v>35</v>
      </c>
      <c r="L431" s="74" t="s">
        <v>35</v>
      </c>
    </row>
    <row r="432" spans="1:12" ht="12.75" hidden="1" customHeight="1" x14ac:dyDescent="0.15">
      <c r="A432" s="73" t="s">
        <v>475</v>
      </c>
      <c r="B432" s="89">
        <v>9</v>
      </c>
      <c r="C432" s="74" t="s">
        <v>45</v>
      </c>
      <c r="D432" s="74"/>
      <c r="E432" s="74" t="s">
        <v>49</v>
      </c>
      <c r="F432" s="74"/>
      <c r="G432" s="74" t="s">
        <v>63</v>
      </c>
      <c r="H432" s="74"/>
      <c r="I432" s="83" t="str">
        <f t="shared" si="14"/>
        <v>http://www.aidedd.org/dnd/monstres.php?vo=Yeti,-abominable</v>
      </c>
      <c r="K432" s="74" t="s">
        <v>35</v>
      </c>
      <c r="L432" s="74" t="s">
        <v>35</v>
      </c>
    </row>
    <row r="433" spans="1:12" ht="12.75" hidden="1" customHeight="1" x14ac:dyDescent="0.15">
      <c r="A433" s="73" t="s">
        <v>476</v>
      </c>
      <c r="B433" s="89">
        <v>7</v>
      </c>
      <c r="C433" s="74" t="s">
        <v>45</v>
      </c>
      <c r="D433" s="74" t="s">
        <v>118</v>
      </c>
      <c r="E433" s="74" t="s">
        <v>38</v>
      </c>
      <c r="F433" s="74"/>
      <c r="G433" s="74" t="s">
        <v>70</v>
      </c>
      <c r="H433" s="74"/>
      <c r="I433" s="83" t="str">
        <f t="shared" si="14"/>
        <v>http://www.aidedd.org/dnd/monstres.php?vo=Yuan-ti,-abomination</v>
      </c>
      <c r="K433" s="74" t="s">
        <v>35</v>
      </c>
      <c r="L433" s="74" t="s">
        <v>35</v>
      </c>
    </row>
    <row r="434" spans="1:12" ht="12.75" hidden="1" customHeight="1" x14ac:dyDescent="0.15">
      <c r="A434" s="73" t="s">
        <v>476</v>
      </c>
      <c r="B434" s="89">
        <v>7</v>
      </c>
      <c r="C434" s="74" t="s">
        <v>45</v>
      </c>
      <c r="D434" s="74" t="s">
        <v>477</v>
      </c>
      <c r="E434" s="74" t="s">
        <v>38</v>
      </c>
      <c r="F434" s="74"/>
      <c r="G434" s="74" t="s">
        <v>70</v>
      </c>
      <c r="H434" s="74"/>
      <c r="I434" s="83" t="str">
        <f t="shared" si="14"/>
        <v>http://www.aidedd.org/dnd/monstres.php?vo=Yuan-ti,-abomination</v>
      </c>
      <c r="K434" s="74" t="s">
        <v>35</v>
      </c>
      <c r="L434" s="74" t="s">
        <v>35</v>
      </c>
    </row>
    <row r="435" spans="1:12" ht="12.75" hidden="1" customHeight="1" x14ac:dyDescent="0.15">
      <c r="A435" s="73" t="s">
        <v>478</v>
      </c>
      <c r="B435" s="89">
        <v>3</v>
      </c>
      <c r="C435" s="74" t="s">
        <v>45</v>
      </c>
      <c r="D435" s="74" t="s">
        <v>118</v>
      </c>
      <c r="E435" s="74" t="s">
        <v>19</v>
      </c>
      <c r="F435" s="74"/>
      <c r="G435" s="74" t="s">
        <v>70</v>
      </c>
      <c r="H435" s="74"/>
      <c r="I435" s="83" t="str">
        <f t="shared" si="14"/>
        <v>http://www.aidedd.org/dnd/monstres.php?vo=Yuan-ti,-malison</v>
      </c>
      <c r="K435" s="74" t="s">
        <v>35</v>
      </c>
      <c r="L435" s="74" t="s">
        <v>35</v>
      </c>
    </row>
    <row r="436" spans="1:12" ht="12.75" hidden="1" customHeight="1" x14ac:dyDescent="0.15">
      <c r="A436" s="73" t="s">
        <v>478</v>
      </c>
      <c r="B436" s="89">
        <v>3</v>
      </c>
      <c r="C436" s="74" t="s">
        <v>45</v>
      </c>
      <c r="D436" s="74" t="s">
        <v>477</v>
      </c>
      <c r="E436" s="74" t="s">
        <v>19</v>
      </c>
      <c r="F436" s="74"/>
      <c r="G436" s="74" t="s">
        <v>70</v>
      </c>
      <c r="H436" s="74"/>
      <c r="I436" s="83" t="str">
        <f t="shared" si="14"/>
        <v>http://www.aidedd.org/dnd/monstres.php?vo=Yuan-ti,-malison</v>
      </c>
      <c r="K436" s="74" t="s">
        <v>35</v>
      </c>
      <c r="L436" s="74" t="s">
        <v>35</v>
      </c>
    </row>
    <row r="437" spans="1:12" ht="12.75" hidden="1" customHeight="1" x14ac:dyDescent="0.15">
      <c r="A437" s="73" t="s">
        <v>479</v>
      </c>
      <c r="B437" s="89">
        <v>1</v>
      </c>
      <c r="C437" s="74" t="s">
        <v>45</v>
      </c>
      <c r="D437" s="74" t="s">
        <v>477</v>
      </c>
      <c r="E437" s="74" t="s">
        <v>19</v>
      </c>
      <c r="F437" s="74"/>
      <c r="G437" s="74" t="s">
        <v>70</v>
      </c>
      <c r="H437" s="74"/>
      <c r="I437" s="83" t="str">
        <f t="shared" si="14"/>
        <v>http://www.aidedd.org/dnd/monstres.php?vo=Yuan-ti,-pureblood</v>
      </c>
      <c r="K437" s="74" t="s">
        <v>35</v>
      </c>
      <c r="L437" s="74" t="s">
        <v>35</v>
      </c>
    </row>
    <row r="438" spans="1:12" ht="12.75" hidden="1" customHeight="1" x14ac:dyDescent="0.15">
      <c r="A438" s="73" t="s">
        <v>480</v>
      </c>
      <c r="B438" s="89">
        <v>12</v>
      </c>
      <c r="C438" s="74" t="s">
        <v>91</v>
      </c>
      <c r="D438" s="74" t="s">
        <v>481</v>
      </c>
      <c r="E438" s="74" t="s">
        <v>19</v>
      </c>
      <c r="F438" s="74"/>
      <c r="G438" s="74" t="s">
        <v>70</v>
      </c>
      <c r="H438" s="74"/>
      <c r="I438" s="83" t="str">
        <f t="shared" si="14"/>
        <v>http://www.aidedd.org/dnd/monstres.php?vo=Yugoloth,-arcanaloth</v>
      </c>
      <c r="K438" s="74" t="s">
        <v>35</v>
      </c>
      <c r="L438" s="74" t="s">
        <v>35</v>
      </c>
    </row>
    <row r="439" spans="1:12" ht="12.75" hidden="1" customHeight="1" x14ac:dyDescent="0.15">
      <c r="A439" s="73" t="s">
        <v>482</v>
      </c>
      <c r="B439" s="89">
        <v>5</v>
      </c>
      <c r="C439" s="74" t="s">
        <v>91</v>
      </c>
      <c r="D439" s="74" t="s">
        <v>481</v>
      </c>
      <c r="E439" s="74" t="s">
        <v>19</v>
      </c>
      <c r="F439" s="74"/>
      <c r="G439" s="74" t="s">
        <v>70</v>
      </c>
      <c r="H439" s="74"/>
      <c r="I439" s="83" t="str">
        <f t="shared" si="14"/>
        <v>http://www.aidedd.org/dnd/monstres.php?vo=Yugoloth,-mezzoloth</v>
      </c>
      <c r="K439" s="74" t="s">
        <v>35</v>
      </c>
      <c r="L439" s="74" t="s">
        <v>35</v>
      </c>
    </row>
    <row r="440" spans="1:12" ht="12.75" hidden="1" customHeight="1" x14ac:dyDescent="0.15">
      <c r="A440" s="73" t="s">
        <v>483</v>
      </c>
      <c r="B440" s="89">
        <v>9</v>
      </c>
      <c r="C440" s="74" t="s">
        <v>91</v>
      </c>
      <c r="D440" s="74" t="s">
        <v>481</v>
      </c>
      <c r="E440" s="74" t="s">
        <v>38</v>
      </c>
      <c r="F440" s="74"/>
      <c r="G440" s="74" t="s">
        <v>70</v>
      </c>
      <c r="H440" s="74"/>
      <c r="I440" s="83" t="str">
        <f t="shared" si="14"/>
        <v>http://www.aidedd.org/dnd/monstres.php?vo=Yugoloth,-nycaloth</v>
      </c>
      <c r="K440" s="74" t="s">
        <v>35</v>
      </c>
      <c r="L440" s="74" t="s">
        <v>35</v>
      </c>
    </row>
    <row r="441" spans="1:12" ht="12.75" hidden="1" customHeight="1" x14ac:dyDescent="0.15">
      <c r="A441" s="73" t="s">
        <v>484</v>
      </c>
      <c r="B441" s="89">
        <v>13</v>
      </c>
      <c r="C441" s="74" t="s">
        <v>91</v>
      </c>
      <c r="D441" s="74" t="s">
        <v>481</v>
      </c>
      <c r="E441" s="74" t="s">
        <v>19</v>
      </c>
      <c r="F441" s="74"/>
      <c r="G441" s="74" t="s">
        <v>70</v>
      </c>
      <c r="H441" s="74"/>
      <c r="I441" s="83" t="str">
        <f t="shared" si="14"/>
        <v>http://www.aidedd.org/dnd/monstres.php?vo=Yugoloth,-ultraloth</v>
      </c>
      <c r="K441" s="74" t="s">
        <v>35</v>
      </c>
      <c r="L441" s="74" t="s">
        <v>35</v>
      </c>
    </row>
    <row r="442" spans="1:12" ht="12.75" hidden="1" customHeight="1" x14ac:dyDescent="0.15">
      <c r="A442" s="73" t="s">
        <v>485</v>
      </c>
      <c r="B442" s="89" t="s">
        <v>32</v>
      </c>
      <c r="C442" s="74" t="s">
        <v>62</v>
      </c>
      <c r="D442" s="74"/>
      <c r="E442" s="74" t="s">
        <v>19</v>
      </c>
      <c r="F442" s="74">
        <v>22</v>
      </c>
      <c r="G442" s="74" t="s">
        <v>70</v>
      </c>
      <c r="H442" s="74"/>
      <c r="I442" s="83" t="str">
        <f t="shared" si="14"/>
        <v>http://www.aidedd.org/dnd/monstres.php?vo=Zombie</v>
      </c>
      <c r="K442" s="74" t="s">
        <v>35</v>
      </c>
      <c r="L442" s="74" t="s">
        <v>35</v>
      </c>
    </row>
    <row r="443" spans="1:12" ht="12.75" hidden="1" customHeight="1" x14ac:dyDescent="0.15">
      <c r="A443" s="73" t="s">
        <v>486</v>
      </c>
      <c r="B443" s="89">
        <v>5</v>
      </c>
      <c r="C443" s="74" t="s">
        <v>62</v>
      </c>
      <c r="D443" s="74"/>
      <c r="E443" s="74" t="s">
        <v>38</v>
      </c>
      <c r="F443" s="74"/>
      <c r="G443" s="74" t="s">
        <v>70</v>
      </c>
      <c r="H443" s="74"/>
      <c r="I443" s="83" t="str">
        <f t="shared" si="14"/>
        <v>http://www.aidedd.org/dnd/monstres.php?vo=Zombie,-beholder</v>
      </c>
      <c r="K443" s="74" t="s">
        <v>35</v>
      </c>
      <c r="L443" s="74" t="s">
        <v>35</v>
      </c>
    </row>
    <row r="444" spans="1:12" ht="12.75" hidden="1" customHeight="1" x14ac:dyDescent="0.15">
      <c r="A444" s="73" t="s">
        <v>487</v>
      </c>
      <c r="B444" s="89">
        <v>2</v>
      </c>
      <c r="C444" s="74" t="s">
        <v>62</v>
      </c>
      <c r="D444" s="74"/>
      <c r="E444" s="74" t="s">
        <v>38</v>
      </c>
      <c r="F444" s="74"/>
      <c r="G444" s="74" t="s">
        <v>70</v>
      </c>
      <c r="H444" s="74"/>
      <c r="I444" s="83" t="str">
        <f t="shared" si="14"/>
        <v>http://www.aidedd.org/dnd/monstres.php?vo=Zombie,-ogre</v>
      </c>
      <c r="K444" s="74" t="s">
        <v>35</v>
      </c>
      <c r="L444" s="74" t="s">
        <v>35</v>
      </c>
    </row>
    <row r="445" spans="1:12" ht="12.75" hidden="1" customHeight="1" x14ac:dyDescent="0.15">
      <c r="A445" s="73" t="s">
        <v>488</v>
      </c>
      <c r="B445" s="89">
        <v>0</v>
      </c>
      <c r="C445" s="74" t="s">
        <v>42</v>
      </c>
      <c r="D445" s="74"/>
      <c r="E445" s="74" t="s">
        <v>489</v>
      </c>
      <c r="F445" s="74">
        <v>10</v>
      </c>
      <c r="G445" s="74"/>
      <c r="H445" s="74"/>
      <c r="I445" s="83" t="str">
        <f t="shared" si="14"/>
        <v>http://www.aidedd.org/dnd/monstres.php?vo=Bridge</v>
      </c>
      <c r="K445" s="74"/>
      <c r="L445" s="74"/>
    </row>
    <row r="446" spans="1:12" ht="12.75" hidden="1" customHeight="1" x14ac:dyDescent="0.15">
      <c r="A446" s="73" t="s">
        <v>490</v>
      </c>
      <c r="B446" s="89" t="s">
        <v>47</v>
      </c>
      <c r="C446" s="74" t="s">
        <v>33</v>
      </c>
      <c r="D446" s="74"/>
      <c r="E446" s="74" t="s">
        <v>19</v>
      </c>
      <c r="F446" s="74">
        <v>16</v>
      </c>
      <c r="G446" s="74" t="s">
        <v>70</v>
      </c>
      <c r="H446" s="74"/>
      <c r="I446" s="83" t="str">
        <f t="shared" si="14"/>
        <v>http://www.aidedd.org/dnd/monstres.php?vo=Redbrand-Ruffian</v>
      </c>
      <c r="K446" s="74" t="s">
        <v>35</v>
      </c>
      <c r="L446" s="74" t="s">
        <v>35</v>
      </c>
    </row>
    <row r="447" spans="1:12" ht="12.75" hidden="1" customHeight="1" x14ac:dyDescent="0.15">
      <c r="A447" s="73" t="s">
        <v>491</v>
      </c>
      <c r="B447" s="89">
        <v>1</v>
      </c>
      <c r="C447" s="74" t="s">
        <v>33</v>
      </c>
      <c r="D447" s="74"/>
      <c r="E447" s="74" t="s">
        <v>19</v>
      </c>
      <c r="F447" s="74">
        <v>22</v>
      </c>
      <c r="G447" s="74" t="s">
        <v>39</v>
      </c>
      <c r="H447" s="74"/>
      <c r="I447" s="83" t="str">
        <f t="shared" si="14"/>
        <v>http://www.aidedd.org/dnd/monstres.php?vo=Evil-Mage</v>
      </c>
      <c r="K447" s="74" t="s">
        <v>35</v>
      </c>
      <c r="L447" s="74" t="s">
        <v>35</v>
      </c>
    </row>
    <row r="448" spans="1:12" ht="12.75" hidden="1" customHeight="1" x14ac:dyDescent="0.15">
      <c r="A448" s="73" t="s">
        <v>492</v>
      </c>
      <c r="B448" s="89">
        <v>1</v>
      </c>
      <c r="C448" s="74" t="s">
        <v>33</v>
      </c>
      <c r="D448" s="74"/>
      <c r="E448" s="74" t="s">
        <v>19</v>
      </c>
      <c r="F448" s="74">
        <v>27</v>
      </c>
      <c r="G448" s="74" t="s">
        <v>34</v>
      </c>
      <c r="H448" s="74"/>
      <c r="I448" s="83" t="str">
        <f t="shared" si="14"/>
        <v>http://www.aidedd.org/dnd/monstres.php?vo=Sildar-Hallwinter</v>
      </c>
      <c r="K448" s="74" t="s">
        <v>35</v>
      </c>
      <c r="L448" s="74" t="s">
        <v>35</v>
      </c>
    </row>
    <row r="449" spans="1:13" ht="12.75" hidden="1" customHeight="1" x14ac:dyDescent="0.15">
      <c r="A449" s="73" t="s">
        <v>493</v>
      </c>
      <c r="B449" s="89">
        <v>1</v>
      </c>
      <c r="C449" s="74" t="s">
        <v>33</v>
      </c>
      <c r="D449" s="74"/>
      <c r="E449" s="74" t="s">
        <v>19</v>
      </c>
      <c r="F449" s="74">
        <v>27</v>
      </c>
      <c r="G449" s="74" t="s">
        <v>63</v>
      </c>
      <c r="H449" s="74"/>
      <c r="I449" s="83" t="str">
        <f t="shared" si="14"/>
        <v>http://www.aidedd.org/dnd/monstres.php?vo=Klarg</v>
      </c>
      <c r="K449" s="74" t="s">
        <v>35</v>
      </c>
      <c r="L449" s="74" t="s">
        <v>35</v>
      </c>
    </row>
    <row r="450" spans="1:13" ht="12.75" hidden="1" customHeight="1" x14ac:dyDescent="0.15">
      <c r="A450" s="73" t="s">
        <v>494</v>
      </c>
      <c r="B450" s="89" t="s">
        <v>32</v>
      </c>
      <c r="C450" s="74" t="s">
        <v>48</v>
      </c>
      <c r="D450" s="74"/>
      <c r="E450" s="74" t="s">
        <v>19</v>
      </c>
      <c r="F450" s="74">
        <v>11</v>
      </c>
      <c r="G450" s="74" t="s">
        <v>369</v>
      </c>
      <c r="H450" s="74"/>
      <c r="I450" s="83" t="str">
        <f t="shared" si="14"/>
        <v>http://www.aidedd.org/dnd/monstres.php?vo=Ripper</v>
      </c>
      <c r="K450" s="74" t="s">
        <v>35</v>
      </c>
      <c r="L450" s="74" t="s">
        <v>35</v>
      </c>
    </row>
    <row r="451" spans="1:13" ht="12.75" hidden="1" customHeight="1" x14ac:dyDescent="0.15">
      <c r="A451" s="73" t="s">
        <v>495</v>
      </c>
      <c r="B451" s="89" t="s">
        <v>32</v>
      </c>
      <c r="C451" s="74" t="s">
        <v>33</v>
      </c>
      <c r="D451" s="74" t="s">
        <v>86</v>
      </c>
      <c r="E451" s="74" t="s">
        <v>43</v>
      </c>
      <c r="F451" s="74">
        <v>7</v>
      </c>
      <c r="G451" s="74" t="s">
        <v>70</v>
      </c>
      <c r="H451" s="74"/>
      <c r="I451" s="83" t="str">
        <f t="shared" si="14"/>
        <v>http://www.aidedd.org/dnd/monstres.php?vo=Droop</v>
      </c>
      <c r="K451" s="74" t="s">
        <v>35</v>
      </c>
      <c r="L451" s="74" t="s">
        <v>35</v>
      </c>
    </row>
    <row r="452" spans="1:13" ht="12.75" hidden="1" customHeight="1" x14ac:dyDescent="0.15">
      <c r="A452" s="73" t="s">
        <v>496</v>
      </c>
      <c r="B452" s="89">
        <v>1</v>
      </c>
      <c r="C452" s="74" t="s">
        <v>33</v>
      </c>
      <c r="D452" s="74"/>
      <c r="E452" s="74" t="s">
        <v>19</v>
      </c>
      <c r="F452" s="74">
        <v>22</v>
      </c>
      <c r="G452" s="74" t="s">
        <v>39</v>
      </c>
      <c r="H452" s="74"/>
      <c r="I452" s="83" t="str">
        <f t="shared" si="14"/>
        <v>http://www.aidedd.org/dnd/monstres.php?vo=Iarno-"Glasstaff"-Albrek</v>
      </c>
      <c r="K452" s="74" t="s">
        <v>35</v>
      </c>
      <c r="L452" s="74" t="s">
        <v>35</v>
      </c>
    </row>
    <row r="453" spans="1:13" ht="12.75" hidden="1" customHeight="1" x14ac:dyDescent="0.15">
      <c r="A453" s="73" t="s">
        <v>497</v>
      </c>
      <c r="B453" s="89" t="s">
        <v>32</v>
      </c>
      <c r="C453" s="74" t="s">
        <v>62</v>
      </c>
      <c r="D453" s="74"/>
      <c r="E453" s="74" t="s">
        <v>19</v>
      </c>
      <c r="F453" s="74">
        <v>22</v>
      </c>
      <c r="G453" s="74" t="s">
        <v>70</v>
      </c>
      <c r="H453" s="74"/>
      <c r="I453" s="83" t="str">
        <f t="shared" si="14"/>
        <v>http://www.aidedd.org/dnd/monstres.php?vo=Zombie,-ash</v>
      </c>
      <c r="K453" s="74" t="s">
        <v>35</v>
      </c>
      <c r="L453" s="74" t="s">
        <v>35</v>
      </c>
    </row>
    <row r="454" spans="1:13" ht="12.75" customHeight="1" x14ac:dyDescent="0.15">
      <c r="A454" s="73" t="s">
        <v>498</v>
      </c>
      <c r="B454" s="108" t="s">
        <v>47</v>
      </c>
      <c r="C454" s="74" t="s">
        <v>33</v>
      </c>
      <c r="D454" s="74" t="s">
        <v>370</v>
      </c>
      <c r="E454" s="74" t="s">
        <v>19</v>
      </c>
      <c r="F454" s="74">
        <v>30</v>
      </c>
      <c r="G454" s="74" t="s">
        <v>63</v>
      </c>
      <c r="H454" s="74"/>
      <c r="I454" s="83"/>
      <c r="K454" s="74" t="s">
        <v>35</v>
      </c>
      <c r="L454" s="74" t="s">
        <v>35</v>
      </c>
    </row>
    <row r="455" spans="1:13" ht="12.75" hidden="1" customHeight="1" x14ac:dyDescent="0.15">
      <c r="A455" s="73" t="s">
        <v>499</v>
      </c>
      <c r="B455" s="89" t="s">
        <v>32</v>
      </c>
      <c r="C455" s="74" t="s">
        <v>33</v>
      </c>
      <c r="D455" s="74" t="s">
        <v>86</v>
      </c>
      <c r="E455" s="74" t="s">
        <v>43</v>
      </c>
      <c r="F455" s="74">
        <v>12</v>
      </c>
      <c r="G455" s="74" t="s">
        <v>70</v>
      </c>
      <c r="H455" s="74"/>
      <c r="I455" s="83" t="str">
        <f t="shared" si="14"/>
        <v>http://www.aidedd.org/dnd/monstres.php?vo=Goblin,-Yegg</v>
      </c>
      <c r="J455" s="83"/>
      <c r="K455" s="74" t="s">
        <v>35</v>
      </c>
      <c r="L455" s="74" t="s">
        <v>35</v>
      </c>
    </row>
    <row r="456" spans="1:13" ht="15.75" hidden="1" customHeight="1" x14ac:dyDescent="0.15">
      <c r="A456" s="73" t="s">
        <v>500</v>
      </c>
      <c r="B456" s="89" t="s">
        <v>32</v>
      </c>
      <c r="C456" s="74" t="s">
        <v>33</v>
      </c>
      <c r="D456" s="74" t="s">
        <v>86</v>
      </c>
      <c r="E456" s="74" t="s">
        <v>43</v>
      </c>
      <c r="F456" s="74">
        <v>12</v>
      </c>
      <c r="G456" s="74" t="s">
        <v>70</v>
      </c>
      <c r="H456" s="74"/>
      <c r="I456" s="83" t="str">
        <f t="shared" si="14"/>
        <v>http://www.aidedd.org/dnd/monstres.php?vo=Goblin,-Lhupo</v>
      </c>
      <c r="J456" s="83"/>
      <c r="K456" s="74" t="s">
        <v>35</v>
      </c>
      <c r="L456" s="74" t="s">
        <v>35</v>
      </c>
    </row>
    <row r="457" spans="1:13" ht="15.75" hidden="1" customHeight="1" x14ac:dyDescent="0.15">
      <c r="A457" s="73" t="s">
        <v>501</v>
      </c>
      <c r="B457" s="89">
        <v>1</v>
      </c>
      <c r="C457" s="74" t="s">
        <v>33</v>
      </c>
      <c r="D457" s="74" t="s">
        <v>86</v>
      </c>
      <c r="E457" s="74" t="s">
        <v>19</v>
      </c>
      <c r="F457" s="74">
        <v>45</v>
      </c>
      <c r="G457" s="74" t="s">
        <v>63</v>
      </c>
      <c r="H457" s="74"/>
      <c r="I457" s="83" t="str">
        <f t="shared" si="14"/>
        <v>http://www.aidedd.org/dnd/monstres.php?vo=Bugbear,-King-Grol</v>
      </c>
      <c r="J457" s="83"/>
      <c r="K457" s="74" t="s">
        <v>35</v>
      </c>
      <c r="L457" s="74" t="s">
        <v>35</v>
      </c>
    </row>
    <row r="458" spans="1:13" ht="15.75" hidden="1" customHeight="1" x14ac:dyDescent="0.15">
      <c r="A458" s="73" t="s">
        <v>502</v>
      </c>
      <c r="B458" s="89" t="s">
        <v>47</v>
      </c>
      <c r="C458" s="74" t="s">
        <v>33</v>
      </c>
      <c r="D458" s="74" t="s">
        <v>86</v>
      </c>
      <c r="E458" s="74" t="s">
        <v>19</v>
      </c>
      <c r="F458" s="74">
        <v>20</v>
      </c>
      <c r="G458" s="74" t="s">
        <v>39</v>
      </c>
      <c r="H458" s="74"/>
      <c r="I458" s="83" t="str">
        <f t="shared" si="14"/>
        <v>http://www.aidedd.org/dnd/monstres.php?vo=Hobgoblin,-Targor-Bloodsword</v>
      </c>
      <c r="J458" s="83"/>
      <c r="K458" s="74" t="s">
        <v>35</v>
      </c>
      <c r="L458" s="74" t="s">
        <v>35</v>
      </c>
    </row>
    <row r="459" spans="1:13" ht="15.75" hidden="1" customHeight="1" x14ac:dyDescent="0.15">
      <c r="A459" s="73" t="s">
        <v>503</v>
      </c>
      <c r="B459" s="89">
        <v>3</v>
      </c>
      <c r="C459" s="74" t="s">
        <v>62</v>
      </c>
      <c r="D459" s="74"/>
      <c r="E459" s="74" t="s">
        <v>19</v>
      </c>
      <c r="F459" s="74">
        <v>45</v>
      </c>
      <c r="G459" s="74" t="s">
        <v>70</v>
      </c>
      <c r="H459" s="74"/>
      <c r="I459" s="83" t="str">
        <f t="shared" si="14"/>
        <v>http://www.aidedd.org/dnd/monstres.php?vo=Mormesk-the-Wraith</v>
      </c>
      <c r="J459" s="83"/>
      <c r="K459" s="74" t="s">
        <v>35</v>
      </c>
      <c r="L459" s="74" t="s">
        <v>35</v>
      </c>
    </row>
    <row r="460" spans="1:13" ht="15.75" hidden="1" customHeight="1" x14ac:dyDescent="0.15">
      <c r="A460" s="73" t="s">
        <v>504</v>
      </c>
      <c r="B460" s="89">
        <v>2</v>
      </c>
      <c r="C460" s="74" t="s">
        <v>33</v>
      </c>
      <c r="D460" s="74"/>
      <c r="E460" s="74" t="s">
        <v>19</v>
      </c>
      <c r="F460" s="74">
        <v>27</v>
      </c>
      <c r="G460" s="74" t="s">
        <v>70</v>
      </c>
      <c r="H460" s="74"/>
      <c r="I460" s="83" t="str">
        <f t="shared" ref="I460:I468" si="15">HYPERLINK("http://www.aidedd.org/dnd/monstres.php?vo="&amp;SUBSTITUTE(A460," ","-"))</f>
        <v>http://www.aidedd.org/dnd/monstres.php?vo=Nezznar-the-Black-Spider</v>
      </c>
      <c r="J460" s="83"/>
      <c r="K460" s="74" t="s">
        <v>35</v>
      </c>
      <c r="L460" s="74" t="s">
        <v>35</v>
      </c>
    </row>
    <row r="461" spans="1:13" ht="15.75" hidden="1" customHeight="1" x14ac:dyDescent="0.15">
      <c r="A461" s="73" t="s">
        <v>606</v>
      </c>
      <c r="B461" s="89">
        <v>1</v>
      </c>
      <c r="C461" s="74" t="s">
        <v>607</v>
      </c>
      <c r="D461" s="74"/>
      <c r="E461" s="74"/>
      <c r="F461" s="74">
        <v>20</v>
      </c>
      <c r="G461" s="74"/>
      <c r="H461" s="74"/>
      <c r="I461" s="83" t="str">
        <f t="shared" si="15"/>
        <v>http://www.aidedd.org/dnd/monstres.php?vo=Chest</v>
      </c>
      <c r="J461" s="83"/>
      <c r="K461" s="74"/>
      <c r="L461" s="74"/>
    </row>
    <row r="462" spans="1:13" ht="12.75" hidden="1" customHeight="1" x14ac:dyDescent="0.15">
      <c r="A462" s="76" t="s">
        <v>697</v>
      </c>
      <c r="B462" s="89">
        <v>4</v>
      </c>
      <c r="C462" s="74" t="s">
        <v>45</v>
      </c>
      <c r="D462" s="74"/>
      <c r="E462" s="74" t="s">
        <v>49</v>
      </c>
      <c r="F462" s="74">
        <v>76</v>
      </c>
      <c r="G462" s="75" t="s">
        <v>694</v>
      </c>
      <c r="H462" s="75"/>
      <c r="I462" s="83" t="str">
        <f t="shared" si="15"/>
        <v>http://www.aidedd.org/dnd/monstres.php?vo=Huge-Rust-Monster</v>
      </c>
      <c r="J462" s="83"/>
      <c r="K462" s="74" t="s">
        <v>35</v>
      </c>
      <c r="L462" s="74" t="s">
        <v>35</v>
      </c>
      <c r="M462" s="74" t="s">
        <v>696</v>
      </c>
    </row>
    <row r="463" spans="1:13" ht="15.75" hidden="1" customHeight="1" x14ac:dyDescent="0.15">
      <c r="A463" s="72" t="s">
        <v>698</v>
      </c>
      <c r="B463" s="91">
        <v>3</v>
      </c>
      <c r="C463" s="72" t="s">
        <v>33</v>
      </c>
      <c r="E463" s="72" t="s">
        <v>19</v>
      </c>
      <c r="F463" s="72">
        <v>52</v>
      </c>
      <c r="G463" s="72" t="s">
        <v>41</v>
      </c>
      <c r="H463" s="72">
        <v>0</v>
      </c>
      <c r="I463" s="83" t="str">
        <f t="shared" si="15"/>
        <v>http://www.aidedd.org/dnd/monstres.php?vo=Sword-of-the-Lady</v>
      </c>
      <c r="J463" s="83"/>
      <c r="K463" s="72" t="s">
        <v>35</v>
      </c>
      <c r="L463" s="72" t="s">
        <v>35</v>
      </c>
    </row>
    <row r="464" spans="1:13" ht="15.75" hidden="1" customHeight="1" x14ac:dyDescent="0.15">
      <c r="A464" s="72" t="s">
        <v>699</v>
      </c>
      <c r="B464" s="91">
        <v>2</v>
      </c>
      <c r="C464" s="72" t="s">
        <v>33</v>
      </c>
      <c r="E464" s="72" t="s">
        <v>19</v>
      </c>
      <c r="F464" s="72">
        <v>27</v>
      </c>
      <c r="G464" s="72" t="s">
        <v>700</v>
      </c>
      <c r="H464" s="72">
        <v>0</v>
      </c>
      <c r="I464" s="83" t="str">
        <f t="shared" si="15"/>
        <v>http://www.aidedd.org/dnd/monstres.php?vo=Oracle-of-the-Moon</v>
      </c>
      <c r="J464" s="83"/>
      <c r="K464" s="72" t="s">
        <v>35</v>
      </c>
      <c r="L464" s="72" t="s">
        <v>35</v>
      </c>
    </row>
    <row r="465" spans="1:12" ht="15.75" hidden="1" customHeight="1" x14ac:dyDescent="0.15">
      <c r="A465" s="72" t="s">
        <v>701</v>
      </c>
      <c r="B465" s="91">
        <v>3</v>
      </c>
      <c r="C465" s="72" t="s">
        <v>33</v>
      </c>
      <c r="E465" s="72" t="s">
        <v>19</v>
      </c>
      <c r="F465" s="72">
        <v>58</v>
      </c>
      <c r="G465" s="72" t="s">
        <v>155</v>
      </c>
      <c r="H465" s="72">
        <v>1</v>
      </c>
      <c r="I465" s="83" t="str">
        <f t="shared" si="15"/>
        <v>http://www.aidedd.org/dnd/monstres.php?vo=Cohort-of-the-Pact</v>
      </c>
      <c r="J465" s="83"/>
      <c r="K465" s="72" t="s">
        <v>35</v>
      </c>
      <c r="L465" s="72" t="s">
        <v>35</v>
      </c>
    </row>
    <row r="466" spans="1:12" ht="15.75" hidden="1" customHeight="1" x14ac:dyDescent="0.15">
      <c r="A466" s="72" t="s">
        <v>702</v>
      </c>
      <c r="B466" s="91">
        <v>1</v>
      </c>
      <c r="C466" s="72" t="s">
        <v>33</v>
      </c>
      <c r="E466" s="72" t="s">
        <v>19</v>
      </c>
      <c r="F466" s="72">
        <v>27</v>
      </c>
      <c r="G466" s="72" t="s">
        <v>92</v>
      </c>
      <c r="H466" s="72">
        <v>2</v>
      </c>
      <c r="I466" s="83" t="str">
        <f t="shared" si="15"/>
        <v>http://www.aidedd.org/dnd/monstres.php?vo=Xanathar's-Shadow</v>
      </c>
      <c r="J466" s="83"/>
      <c r="K466" s="72" t="s">
        <v>35</v>
      </c>
      <c r="L466" s="72" t="s">
        <v>35</v>
      </c>
    </row>
    <row r="467" spans="1:12" ht="15.75" hidden="1" customHeight="1" x14ac:dyDescent="0.15">
      <c r="A467" s="72" t="s">
        <v>703</v>
      </c>
      <c r="B467" s="91">
        <v>6</v>
      </c>
      <c r="C467" s="72" t="s">
        <v>33</v>
      </c>
      <c r="E467" s="72" t="s">
        <v>19</v>
      </c>
      <c r="F467" s="72">
        <v>40</v>
      </c>
      <c r="G467" s="72" t="s">
        <v>92</v>
      </c>
      <c r="H467" s="72">
        <v>2</v>
      </c>
      <c r="I467" s="83" t="str">
        <f t="shared" si="15"/>
        <v>http://www.aidedd.org/dnd/monstres.php?vo=Xanathar's-Eye</v>
      </c>
      <c r="J467" s="83"/>
      <c r="K467" s="72" t="s">
        <v>35</v>
      </c>
      <c r="L467" s="72" t="s">
        <v>35</v>
      </c>
    </row>
    <row r="468" spans="1:12" ht="15.75" hidden="1" customHeight="1" x14ac:dyDescent="0.15">
      <c r="A468" s="72" t="s">
        <v>704</v>
      </c>
      <c r="B468" s="91">
        <v>5</v>
      </c>
      <c r="C468" s="72" t="s">
        <v>33</v>
      </c>
      <c r="E468" s="72" t="s">
        <v>19</v>
      </c>
      <c r="F468" s="72">
        <v>112</v>
      </c>
      <c r="G468" s="72" t="s">
        <v>92</v>
      </c>
      <c r="H468" s="72">
        <v>2</v>
      </c>
      <c r="I468" s="83" t="str">
        <f t="shared" si="15"/>
        <v>http://www.aidedd.org/dnd/monstres.php?vo=Xanathar's-Fist</v>
      </c>
      <c r="J468" s="83"/>
      <c r="K468" s="72" t="s">
        <v>35</v>
      </c>
      <c r="L468" s="72" t="s">
        <v>35</v>
      </c>
    </row>
    <row r="469" spans="1:12" ht="15.75" hidden="1" customHeight="1" x14ac:dyDescent="0.15">
      <c r="A469" s="72" t="s">
        <v>759</v>
      </c>
      <c r="B469" s="89">
        <v>3</v>
      </c>
      <c r="C469" s="74" t="s">
        <v>33</v>
      </c>
      <c r="D469" s="72" t="s">
        <v>227</v>
      </c>
      <c r="E469" s="72" t="s">
        <v>19</v>
      </c>
      <c r="F469" s="72">
        <v>55</v>
      </c>
      <c r="G469" s="72" t="s">
        <v>760</v>
      </c>
      <c r="H469" s="72">
        <v>3</v>
      </c>
      <c r="I469" s="83" t="s">
        <v>769</v>
      </c>
      <c r="J469" s="83"/>
      <c r="K469" s="72" t="s">
        <v>35</v>
      </c>
      <c r="L469" s="72" t="s">
        <v>35</v>
      </c>
    </row>
    <row r="470" spans="1:12" ht="15.75" hidden="1" customHeight="1" x14ac:dyDescent="0.15">
      <c r="A470" s="72" t="s">
        <v>761</v>
      </c>
      <c r="B470" s="89">
        <v>8</v>
      </c>
      <c r="C470" s="74" t="s">
        <v>33</v>
      </c>
      <c r="D470" s="72" t="s">
        <v>227</v>
      </c>
      <c r="E470" s="72" t="s">
        <v>19</v>
      </c>
      <c r="F470" s="72">
        <v>91</v>
      </c>
      <c r="G470" s="72" t="s">
        <v>760</v>
      </c>
      <c r="H470" s="72">
        <v>4</v>
      </c>
      <c r="I470" s="83" t="s">
        <v>769</v>
      </c>
      <c r="J470" s="83"/>
      <c r="K470" s="72" t="s">
        <v>35</v>
      </c>
      <c r="L470" s="72" t="s">
        <v>35</v>
      </c>
    </row>
    <row r="471" spans="1:12" ht="15.75" customHeight="1" x14ac:dyDescent="0.15">
      <c r="A471" s="72" t="s">
        <v>766</v>
      </c>
      <c r="B471" s="108">
        <v>8</v>
      </c>
      <c r="C471" s="74" t="s">
        <v>33</v>
      </c>
      <c r="D471" s="72" t="s">
        <v>767</v>
      </c>
      <c r="E471" s="72" t="s">
        <v>19</v>
      </c>
      <c r="F471" s="72">
        <v>59</v>
      </c>
      <c r="G471" s="72" t="s">
        <v>768</v>
      </c>
      <c r="H471" s="72">
        <v>2</v>
      </c>
      <c r="I471" s="83" t="s">
        <v>770</v>
      </c>
      <c r="J471" s="83"/>
      <c r="K471" s="72" t="s">
        <v>35</v>
      </c>
      <c r="L471" s="72" t="s">
        <v>35</v>
      </c>
    </row>
    <row r="472" spans="1:12" ht="15.75" hidden="1" customHeight="1" x14ac:dyDescent="0.15">
      <c r="A472" s="73" t="s">
        <v>188</v>
      </c>
      <c r="B472" s="89">
        <v>1</v>
      </c>
      <c r="C472" s="74" t="s">
        <v>81</v>
      </c>
      <c r="D472" s="100" t="s">
        <v>824</v>
      </c>
      <c r="E472" s="74" t="s">
        <v>19</v>
      </c>
      <c r="F472" s="74">
        <v>22</v>
      </c>
      <c r="G472" s="74" t="s">
        <v>35</v>
      </c>
      <c r="H472" s="74">
        <v>1</v>
      </c>
      <c r="I472" s="83" t="str">
        <f>HYPERLINK("http://www.aidedd.org/dnd/monstres.php?vo="&amp;SUBSTITUTE(A472," ","-"))</f>
        <v>http://www.aidedd.org/dnd/monstres.php?vo=Dryad</v>
      </c>
      <c r="J472" s="83"/>
      <c r="K472" s="74" t="s">
        <v>35</v>
      </c>
      <c r="L472" s="74" t="s">
        <v>35</v>
      </c>
    </row>
    <row r="473" spans="1:12" ht="15.75" hidden="1" customHeight="1" x14ac:dyDescent="0.15">
      <c r="A473" s="73" t="s">
        <v>261</v>
      </c>
      <c r="B473" s="89">
        <v>3</v>
      </c>
      <c r="C473" s="74" t="s">
        <v>81</v>
      </c>
      <c r="D473" s="100" t="s">
        <v>824</v>
      </c>
      <c r="E473" s="74" t="s">
        <v>19</v>
      </c>
      <c r="F473" s="74">
        <v>82</v>
      </c>
      <c r="G473" s="74" t="s">
        <v>70</v>
      </c>
      <c r="H473" s="74">
        <v>1</v>
      </c>
      <c r="I473" s="83" t="s">
        <v>818</v>
      </c>
      <c r="J473" s="83"/>
      <c r="K473" s="74" t="s">
        <v>35</v>
      </c>
      <c r="L473" s="74" t="s">
        <v>35</v>
      </c>
    </row>
    <row r="474" spans="1:12" ht="15.75" hidden="1" customHeight="1" x14ac:dyDescent="0.15">
      <c r="A474" s="73" t="s">
        <v>263</v>
      </c>
      <c r="B474" s="89">
        <v>2</v>
      </c>
      <c r="C474" s="74" t="s">
        <v>81</v>
      </c>
      <c r="D474" s="100" t="s">
        <v>824</v>
      </c>
      <c r="E474" s="74" t="s">
        <v>19</v>
      </c>
      <c r="F474" s="74">
        <v>52</v>
      </c>
      <c r="G474" s="74" t="s">
        <v>63</v>
      </c>
      <c r="H474" s="74">
        <v>1</v>
      </c>
      <c r="I474" s="83" t="s">
        <v>817</v>
      </c>
      <c r="J474" s="83"/>
      <c r="K474" s="74" t="s">
        <v>35</v>
      </c>
      <c r="L474" s="74" t="s">
        <v>35</v>
      </c>
    </row>
    <row r="475" spans="1:12" ht="15.75" hidden="1" customHeight="1" x14ac:dyDescent="0.15">
      <c r="A475" s="72" t="s">
        <v>815</v>
      </c>
      <c r="B475" s="72">
        <v>7</v>
      </c>
      <c r="C475" s="72" t="s">
        <v>81</v>
      </c>
      <c r="D475" s="100" t="s">
        <v>824</v>
      </c>
      <c r="E475" s="91" t="s">
        <v>43</v>
      </c>
      <c r="F475" s="72">
        <v>102</v>
      </c>
      <c r="G475" s="72" t="s">
        <v>100</v>
      </c>
      <c r="H475" s="72">
        <v>2</v>
      </c>
      <c r="I475" s="83"/>
      <c r="J475" s="72" t="s">
        <v>816</v>
      </c>
    </row>
    <row r="476" spans="1:12" ht="15.75" hidden="1" customHeight="1" x14ac:dyDescent="0.15">
      <c r="A476" s="72" t="s">
        <v>805</v>
      </c>
      <c r="B476" s="72">
        <v>2</v>
      </c>
      <c r="C476" s="72" t="s">
        <v>81</v>
      </c>
      <c r="D476" s="100" t="s">
        <v>824</v>
      </c>
      <c r="E476" s="91" t="s">
        <v>43</v>
      </c>
      <c r="F476" s="72">
        <v>31</v>
      </c>
      <c r="G476" s="72" t="s">
        <v>70</v>
      </c>
      <c r="H476" s="72">
        <v>2</v>
      </c>
      <c r="I476" s="83"/>
      <c r="J476" s="72" t="s">
        <v>806</v>
      </c>
    </row>
    <row r="477" spans="1:12" ht="15.75" hidden="1" customHeight="1" x14ac:dyDescent="0.15">
      <c r="A477" s="72" t="s">
        <v>802</v>
      </c>
      <c r="B477" s="72">
        <v>1</v>
      </c>
      <c r="C477" s="72" t="s">
        <v>81</v>
      </c>
      <c r="D477" s="100" t="s">
        <v>824</v>
      </c>
      <c r="E477" s="91" t="s">
        <v>59</v>
      </c>
      <c r="F477" s="72">
        <v>10</v>
      </c>
      <c r="G477" s="72" t="s">
        <v>63</v>
      </c>
      <c r="H477" s="72">
        <v>6</v>
      </c>
      <c r="I477" s="83"/>
      <c r="J477" s="72" t="s">
        <v>803</v>
      </c>
    </row>
    <row r="478" spans="1:12" ht="15.75" hidden="1" customHeight="1" x14ac:dyDescent="0.15">
      <c r="A478" s="72" t="s">
        <v>807</v>
      </c>
      <c r="B478" s="72">
        <v>3</v>
      </c>
      <c r="C478" s="72" t="s">
        <v>81</v>
      </c>
      <c r="D478" s="100" t="s">
        <v>824</v>
      </c>
      <c r="E478" s="91" t="s">
        <v>43</v>
      </c>
      <c r="F478" s="72">
        <v>45</v>
      </c>
      <c r="G478" s="72" t="s">
        <v>63</v>
      </c>
      <c r="H478" s="72">
        <v>1</v>
      </c>
      <c r="I478" s="83"/>
      <c r="J478" s="72" t="s">
        <v>808</v>
      </c>
    </row>
    <row r="479" spans="1:12" ht="15.75" hidden="1" customHeight="1" x14ac:dyDescent="0.15">
      <c r="A479" s="73" t="s">
        <v>402</v>
      </c>
      <c r="B479" s="89" t="s">
        <v>47</v>
      </c>
      <c r="C479" s="74" t="s">
        <v>81</v>
      </c>
      <c r="D479" s="100" t="s">
        <v>824</v>
      </c>
      <c r="E479" s="74" t="s">
        <v>19</v>
      </c>
      <c r="F479" s="74">
        <v>31</v>
      </c>
      <c r="G479" s="74" t="s">
        <v>100</v>
      </c>
      <c r="H479" s="74">
        <v>3</v>
      </c>
      <c r="I479" s="83" t="str">
        <f>HYPERLINK("http://www.aidedd.org/dnd/monstres.php?vo="&amp;SUBSTITUTE(A479," ","-"))</f>
        <v>http://www.aidedd.org/dnd/monstres.php?vo=Satyr</v>
      </c>
      <c r="J479" s="83"/>
      <c r="K479" s="74" t="s">
        <v>35</v>
      </c>
      <c r="L479" s="74" t="s">
        <v>35</v>
      </c>
    </row>
    <row r="480" spans="1:12" ht="15.75" hidden="1" customHeight="1" x14ac:dyDescent="0.15">
      <c r="A480" s="73" t="s">
        <v>436</v>
      </c>
      <c r="B480" s="89" t="s">
        <v>32</v>
      </c>
      <c r="C480" s="74" t="s">
        <v>81</v>
      </c>
      <c r="D480" s="100" t="s">
        <v>824</v>
      </c>
      <c r="E480" s="74" t="s">
        <v>59</v>
      </c>
      <c r="F480" s="74">
        <v>2</v>
      </c>
      <c r="G480" s="74" t="s">
        <v>34</v>
      </c>
      <c r="H480" s="74">
        <v>4</v>
      </c>
      <c r="I480" s="83" t="str">
        <f>HYPERLINK("http://www.aidedd.org/dnd/monstres.php?vo="&amp;SUBSTITUTE(A480," ","-"))</f>
        <v>http://www.aidedd.org/dnd/monstres.php?vo=Sprite</v>
      </c>
      <c r="J480" s="83"/>
      <c r="K480" s="74" t="s">
        <v>35</v>
      </c>
      <c r="L480" s="74" t="s">
        <v>35</v>
      </c>
    </row>
    <row r="481" spans="1:10" ht="15.75" hidden="1" customHeight="1" x14ac:dyDescent="0.15">
      <c r="A481" s="72" t="s">
        <v>809</v>
      </c>
      <c r="B481" s="72">
        <v>4</v>
      </c>
      <c r="C481" s="72" t="s">
        <v>81</v>
      </c>
      <c r="D481" s="100" t="s">
        <v>824</v>
      </c>
      <c r="E481" s="91" t="s">
        <v>38</v>
      </c>
      <c r="F481" s="72">
        <v>51</v>
      </c>
      <c r="G481" s="72" t="s">
        <v>70</v>
      </c>
      <c r="H481" s="72">
        <v>3</v>
      </c>
      <c r="I481" s="83"/>
      <c r="J481" s="72" t="s">
        <v>810</v>
      </c>
    </row>
    <row r="482" spans="1:10" ht="15.75" hidden="1" customHeight="1" x14ac:dyDescent="0.15">
      <c r="A482" s="72" t="s">
        <v>819</v>
      </c>
      <c r="B482" s="91">
        <v>2</v>
      </c>
      <c r="C482" s="72" t="s">
        <v>45</v>
      </c>
      <c r="D482" s="72" t="s">
        <v>820</v>
      </c>
      <c r="E482" s="72" t="s">
        <v>19</v>
      </c>
      <c r="F482" s="72">
        <v>33</v>
      </c>
      <c r="G482" s="72" t="s">
        <v>70</v>
      </c>
      <c r="H482" s="72">
        <v>2</v>
      </c>
      <c r="J482" s="72" t="s">
        <v>821</v>
      </c>
    </row>
    <row r="483" spans="1:10" ht="15.75" hidden="1" customHeight="1" x14ac:dyDescent="0.15">
      <c r="A483" s="72" t="s">
        <v>822</v>
      </c>
      <c r="B483" s="91">
        <v>2</v>
      </c>
      <c r="C483" s="74" t="s">
        <v>33</v>
      </c>
      <c r="D483" s="72" t="s">
        <v>820</v>
      </c>
      <c r="E483" s="72" t="s">
        <v>19</v>
      </c>
      <c r="F483" s="72">
        <v>36</v>
      </c>
      <c r="G483" s="72" t="s">
        <v>70</v>
      </c>
      <c r="H483" s="72">
        <v>4</v>
      </c>
      <c r="I483" s="83" t="s">
        <v>827</v>
      </c>
    </row>
    <row r="484" spans="1:10" ht="15.75" hidden="1" customHeight="1" x14ac:dyDescent="0.15">
      <c r="A484" s="72" t="s">
        <v>823</v>
      </c>
      <c r="B484" s="91">
        <v>2</v>
      </c>
      <c r="C484" s="74" t="s">
        <v>33</v>
      </c>
      <c r="D484" s="72" t="s">
        <v>820</v>
      </c>
      <c r="E484" s="72" t="s">
        <v>19</v>
      </c>
      <c r="F484" s="72">
        <v>22</v>
      </c>
      <c r="G484" s="72" t="s">
        <v>70</v>
      </c>
      <c r="H484" s="72">
        <v>2</v>
      </c>
      <c r="I484" s="83" t="s">
        <v>827</v>
      </c>
    </row>
    <row r="485" spans="1:10" ht="15.75" hidden="1" customHeight="1" x14ac:dyDescent="0.15">
      <c r="A485" s="72" t="s">
        <v>825</v>
      </c>
      <c r="B485" s="91">
        <v>4</v>
      </c>
      <c r="C485" s="72" t="s">
        <v>91</v>
      </c>
      <c r="D485" s="72" t="s">
        <v>820</v>
      </c>
      <c r="E485" s="72" t="s">
        <v>38</v>
      </c>
      <c r="F485" s="72">
        <v>90</v>
      </c>
      <c r="G485" s="72" t="s">
        <v>70</v>
      </c>
      <c r="H485" s="72">
        <v>2</v>
      </c>
      <c r="I485" s="83" t="s">
        <v>828</v>
      </c>
      <c r="J485" s="72" t="s">
        <v>826</v>
      </c>
    </row>
    <row r="486" spans="1:10" ht="15.75" hidden="1" customHeight="1" x14ac:dyDescent="0.15">
      <c r="A486" s="72" t="s">
        <v>829</v>
      </c>
      <c r="B486" s="101" t="s">
        <v>47</v>
      </c>
      <c r="C486" s="72" t="s">
        <v>45</v>
      </c>
      <c r="D486" s="72" t="s">
        <v>820</v>
      </c>
      <c r="E486" s="72" t="s">
        <v>43</v>
      </c>
      <c r="F486" s="72">
        <v>18</v>
      </c>
      <c r="G486" s="72" t="s">
        <v>63</v>
      </c>
      <c r="H486" s="72">
        <v>2</v>
      </c>
      <c r="I486" s="83"/>
      <c r="J486" s="72" t="s">
        <v>832</v>
      </c>
    </row>
    <row r="487" spans="1:10" ht="15.75" hidden="1" customHeight="1" x14ac:dyDescent="0.15">
      <c r="A487" s="72" t="s">
        <v>830</v>
      </c>
      <c r="B487" s="91">
        <v>4</v>
      </c>
      <c r="C487" s="72" t="s">
        <v>45</v>
      </c>
      <c r="D487" s="100" t="s">
        <v>824</v>
      </c>
      <c r="E487" s="72" t="s">
        <v>38</v>
      </c>
      <c r="F487" s="72">
        <v>59</v>
      </c>
      <c r="G487" s="72" t="s">
        <v>369</v>
      </c>
      <c r="H487" s="72">
        <v>3</v>
      </c>
      <c r="J487" s="72" t="s">
        <v>831</v>
      </c>
    </row>
    <row r="488" spans="1:10" ht="15.75" hidden="1" customHeight="1" x14ac:dyDescent="0.15">
      <c r="A488" s="72" t="s">
        <v>833</v>
      </c>
      <c r="B488" s="91">
        <v>3</v>
      </c>
      <c r="C488" s="72" t="s">
        <v>45</v>
      </c>
      <c r="D488" s="72" t="s">
        <v>820</v>
      </c>
      <c r="E488" s="72" t="s">
        <v>38</v>
      </c>
      <c r="F488" s="72">
        <v>67</v>
      </c>
      <c r="G488" s="72" t="s">
        <v>63</v>
      </c>
      <c r="H488" s="72">
        <v>2</v>
      </c>
      <c r="J488" s="72" t="s">
        <v>834</v>
      </c>
    </row>
    <row r="489" spans="1:10" ht="15.75" hidden="1" customHeight="1" x14ac:dyDescent="0.15">
      <c r="A489" s="72" t="s">
        <v>835</v>
      </c>
      <c r="B489" s="91">
        <v>1</v>
      </c>
      <c r="C489" s="72" t="s">
        <v>91</v>
      </c>
      <c r="D489" s="72" t="s">
        <v>820</v>
      </c>
      <c r="E489" s="72" t="s">
        <v>59</v>
      </c>
      <c r="F489" s="72">
        <v>13</v>
      </c>
      <c r="G489" s="72" t="s">
        <v>63</v>
      </c>
      <c r="H489" s="72">
        <v>2</v>
      </c>
      <c r="J489" s="72" t="s">
        <v>836</v>
      </c>
    </row>
    <row r="490" spans="1:10" ht="15.75" hidden="1" customHeight="1" x14ac:dyDescent="0.15">
      <c r="A490" s="72" t="s">
        <v>837</v>
      </c>
      <c r="B490" s="91">
        <v>5</v>
      </c>
      <c r="C490" s="72" t="s">
        <v>51</v>
      </c>
      <c r="D490" s="72" t="s">
        <v>824</v>
      </c>
      <c r="E490" s="72" t="s">
        <v>19</v>
      </c>
      <c r="F490" s="72">
        <v>75</v>
      </c>
      <c r="G490" s="72" t="s">
        <v>56</v>
      </c>
      <c r="H490" s="72">
        <v>1</v>
      </c>
      <c r="J490" s="72" t="s">
        <v>838</v>
      </c>
    </row>
    <row r="491" spans="1:10" ht="15.75" hidden="1" customHeight="1" x14ac:dyDescent="0.15">
      <c r="A491" s="72" t="s">
        <v>839</v>
      </c>
      <c r="B491" s="91">
        <v>2</v>
      </c>
      <c r="C491" s="72" t="s">
        <v>48</v>
      </c>
      <c r="E491" s="72" t="s">
        <v>38</v>
      </c>
      <c r="F491" s="72">
        <v>38</v>
      </c>
      <c r="G491" s="72" t="s">
        <v>369</v>
      </c>
      <c r="H491" s="72">
        <v>0</v>
      </c>
      <c r="J491" s="72" t="s">
        <v>840</v>
      </c>
    </row>
    <row r="492" spans="1:10" ht="15.75" customHeight="1" x14ac:dyDescent="0.15">
      <c r="A492" s="72" t="s">
        <v>841</v>
      </c>
      <c r="B492" s="109">
        <v>4</v>
      </c>
      <c r="C492" s="72" t="s">
        <v>33</v>
      </c>
      <c r="D492" s="72" t="s">
        <v>370</v>
      </c>
      <c r="E492" s="72" t="s">
        <v>19</v>
      </c>
      <c r="F492" s="72">
        <v>60</v>
      </c>
      <c r="G492" s="72" t="s">
        <v>63</v>
      </c>
      <c r="H492" s="72">
        <v>0</v>
      </c>
      <c r="I492" s="83" t="s">
        <v>924</v>
      </c>
      <c r="J492" s="72" t="s">
        <v>842</v>
      </c>
    </row>
    <row r="493" spans="1:10" ht="15.75" customHeight="1" x14ac:dyDescent="0.15">
      <c r="A493" s="72" t="s">
        <v>843</v>
      </c>
      <c r="B493" s="109">
        <v>2</v>
      </c>
      <c r="C493" s="72" t="s">
        <v>33</v>
      </c>
      <c r="D493" s="72" t="s">
        <v>370</v>
      </c>
      <c r="E493" s="72" t="s">
        <v>19</v>
      </c>
      <c r="F493" s="72">
        <v>45</v>
      </c>
      <c r="G493" s="72" t="s">
        <v>63</v>
      </c>
      <c r="H493" s="72">
        <v>2</v>
      </c>
      <c r="J493" s="72" t="s">
        <v>842</v>
      </c>
    </row>
    <row r="494" spans="1:10" ht="15.75" customHeight="1" x14ac:dyDescent="0.15">
      <c r="A494" s="72" t="s">
        <v>844</v>
      </c>
      <c r="B494" s="109">
        <v>2</v>
      </c>
      <c r="C494" s="72" t="s">
        <v>33</v>
      </c>
      <c r="D494" s="72" t="s">
        <v>370</v>
      </c>
      <c r="E494" s="72" t="s">
        <v>19</v>
      </c>
      <c r="F494" s="72">
        <v>30</v>
      </c>
      <c r="G494" s="72" t="s">
        <v>63</v>
      </c>
      <c r="H494" s="72">
        <v>0</v>
      </c>
      <c r="J494" s="72" t="s">
        <v>845</v>
      </c>
    </row>
    <row r="495" spans="1:10" ht="15.75" customHeight="1" x14ac:dyDescent="0.15">
      <c r="A495" s="72" t="s">
        <v>846</v>
      </c>
      <c r="B495" s="110" t="s">
        <v>47</v>
      </c>
      <c r="C495" s="72" t="s">
        <v>33</v>
      </c>
      <c r="D495" s="72" t="s">
        <v>370</v>
      </c>
      <c r="E495" s="72" t="s">
        <v>19</v>
      </c>
      <c r="F495" s="72">
        <v>30</v>
      </c>
      <c r="G495" s="72" t="s">
        <v>63</v>
      </c>
      <c r="H495" s="72">
        <v>-1</v>
      </c>
      <c r="J495" s="72" t="s">
        <v>845</v>
      </c>
    </row>
    <row r="496" spans="1:10" ht="15.75" customHeight="1" x14ac:dyDescent="0.15">
      <c r="A496" s="72" t="s">
        <v>848</v>
      </c>
      <c r="B496" s="109">
        <v>3</v>
      </c>
      <c r="C496" s="72" t="s">
        <v>33</v>
      </c>
      <c r="D496" s="72" t="s">
        <v>370</v>
      </c>
      <c r="E496" s="72" t="s">
        <v>19</v>
      </c>
      <c r="F496" s="72">
        <v>52</v>
      </c>
      <c r="G496" s="72" t="s">
        <v>63</v>
      </c>
      <c r="H496" s="72">
        <v>3</v>
      </c>
      <c r="J496" s="72" t="s">
        <v>849</v>
      </c>
    </row>
    <row r="497" spans="1:12" ht="15.75" hidden="1" customHeight="1" x14ac:dyDescent="0.15">
      <c r="A497" s="72" t="s">
        <v>850</v>
      </c>
      <c r="B497" s="91">
        <v>5</v>
      </c>
      <c r="C497" s="72" t="s">
        <v>91</v>
      </c>
      <c r="D497" s="72" t="s">
        <v>370</v>
      </c>
      <c r="E497" s="72" t="s">
        <v>19</v>
      </c>
      <c r="F497" s="72">
        <v>95</v>
      </c>
      <c r="G497" s="72" t="s">
        <v>63</v>
      </c>
      <c r="H497" s="72">
        <v>1</v>
      </c>
      <c r="J497" s="72" t="s">
        <v>851</v>
      </c>
    </row>
    <row r="498" spans="1:12" ht="15.75" hidden="1" customHeight="1" x14ac:dyDescent="0.15">
      <c r="A498" s="72" t="s">
        <v>852</v>
      </c>
      <c r="B498" s="91">
        <v>2</v>
      </c>
      <c r="C498" s="72" t="s">
        <v>45</v>
      </c>
      <c r="D498" s="72" t="s">
        <v>820</v>
      </c>
      <c r="E498" s="72" t="s">
        <v>19</v>
      </c>
      <c r="F498" s="72">
        <v>52</v>
      </c>
      <c r="G498" s="72" t="s">
        <v>70</v>
      </c>
      <c r="H498" s="72">
        <v>2</v>
      </c>
      <c r="J498" s="72" t="s">
        <v>821</v>
      </c>
    </row>
    <row r="499" spans="1:12" ht="15.75" hidden="1" customHeight="1" x14ac:dyDescent="0.15">
      <c r="A499" s="72" t="s">
        <v>860</v>
      </c>
      <c r="B499" s="91">
        <v>3</v>
      </c>
      <c r="C499" s="72" t="s">
        <v>33</v>
      </c>
      <c r="D499" s="72" t="s">
        <v>370</v>
      </c>
      <c r="E499" s="72" t="s">
        <v>19</v>
      </c>
      <c r="F499" s="72">
        <v>60</v>
      </c>
      <c r="G499" s="72" t="s">
        <v>63</v>
      </c>
      <c r="H499" s="72">
        <v>2</v>
      </c>
      <c r="I499" s="83" t="s">
        <v>901</v>
      </c>
      <c r="J499" s="72" t="s">
        <v>842</v>
      </c>
    </row>
    <row r="500" spans="1:12" ht="15.75" hidden="1" customHeight="1" x14ac:dyDescent="0.15">
      <c r="A500" s="73" t="s">
        <v>864</v>
      </c>
      <c r="B500" s="89">
        <v>2</v>
      </c>
      <c r="C500" s="74" t="s">
        <v>33</v>
      </c>
      <c r="D500" s="74" t="s">
        <v>370</v>
      </c>
      <c r="E500" s="74" t="s">
        <v>19</v>
      </c>
      <c r="F500" s="74">
        <v>42</v>
      </c>
      <c r="G500" s="74" t="s">
        <v>63</v>
      </c>
      <c r="H500" s="100">
        <v>1</v>
      </c>
      <c r="I500" s="83" t="s">
        <v>865</v>
      </c>
      <c r="J500" s="83"/>
      <c r="K500" s="74" t="s">
        <v>35</v>
      </c>
      <c r="L500" s="74" t="s">
        <v>35</v>
      </c>
    </row>
    <row r="501" spans="1:12" ht="15.75" hidden="1" customHeight="1" x14ac:dyDescent="0.15">
      <c r="A501" s="72" t="s">
        <v>872</v>
      </c>
      <c r="B501" s="91">
        <v>7</v>
      </c>
      <c r="C501" s="72" t="s">
        <v>42</v>
      </c>
      <c r="D501" s="72" t="s">
        <v>915</v>
      </c>
      <c r="E501" s="74" t="s">
        <v>19</v>
      </c>
      <c r="F501" s="72">
        <v>67</v>
      </c>
      <c r="G501" s="72" t="s">
        <v>369</v>
      </c>
      <c r="H501" s="72">
        <v>2</v>
      </c>
      <c r="I501" s="83" t="s">
        <v>871</v>
      </c>
      <c r="K501" s="72" t="s">
        <v>35</v>
      </c>
      <c r="L501" s="72" t="s">
        <v>35</v>
      </c>
    </row>
    <row r="502" spans="1:12" ht="15.75" hidden="1" customHeight="1" x14ac:dyDescent="0.15">
      <c r="A502" s="72" t="s">
        <v>873</v>
      </c>
      <c r="B502" s="91">
        <v>1</v>
      </c>
      <c r="C502" s="72" t="s">
        <v>33</v>
      </c>
      <c r="D502" s="72" t="s">
        <v>916</v>
      </c>
      <c r="E502" s="74" t="s">
        <v>19</v>
      </c>
      <c r="F502" s="72">
        <v>44</v>
      </c>
      <c r="G502" s="72" t="s">
        <v>369</v>
      </c>
      <c r="H502" s="72">
        <v>2</v>
      </c>
      <c r="I502" s="83" t="s">
        <v>874</v>
      </c>
    </row>
    <row r="503" spans="1:12" ht="15.75" hidden="1" customHeight="1" x14ac:dyDescent="0.15">
      <c r="A503" s="72" t="s">
        <v>876</v>
      </c>
      <c r="B503" s="91">
        <v>2</v>
      </c>
      <c r="C503" s="72" t="s">
        <v>33</v>
      </c>
      <c r="D503" s="72" t="s">
        <v>916</v>
      </c>
      <c r="E503" s="74" t="s">
        <v>19</v>
      </c>
      <c r="F503" s="72">
        <v>39</v>
      </c>
      <c r="G503" s="72" t="s">
        <v>369</v>
      </c>
      <c r="H503" s="72">
        <v>4</v>
      </c>
      <c r="I503" s="83" t="s">
        <v>875</v>
      </c>
    </row>
    <row r="504" spans="1:12" ht="15.75" hidden="1" customHeight="1" x14ac:dyDescent="0.15">
      <c r="A504" s="72" t="s">
        <v>877</v>
      </c>
      <c r="B504" s="91">
        <v>1</v>
      </c>
      <c r="C504" s="72" t="s">
        <v>42</v>
      </c>
      <c r="D504" s="72" t="s">
        <v>915</v>
      </c>
      <c r="E504" s="74" t="s">
        <v>19</v>
      </c>
      <c r="F504" s="72">
        <v>47</v>
      </c>
      <c r="G504" s="72" t="s">
        <v>369</v>
      </c>
      <c r="H504" s="72">
        <v>2</v>
      </c>
      <c r="I504" s="72" t="s">
        <v>878</v>
      </c>
    </row>
    <row r="505" spans="1:12" ht="15.75" hidden="1" customHeight="1" x14ac:dyDescent="0.15">
      <c r="A505" s="72" t="s">
        <v>879</v>
      </c>
      <c r="B505" s="91">
        <v>2</v>
      </c>
      <c r="C505" s="72" t="s">
        <v>42</v>
      </c>
      <c r="D505" s="72" t="s">
        <v>915</v>
      </c>
      <c r="E505" s="74" t="s">
        <v>19</v>
      </c>
      <c r="F505" s="72">
        <v>75</v>
      </c>
      <c r="G505" s="72" t="s">
        <v>369</v>
      </c>
      <c r="H505" s="72">
        <v>2</v>
      </c>
      <c r="I505" s="72" t="s">
        <v>880</v>
      </c>
    </row>
    <row r="506" spans="1:12" ht="15.75" hidden="1" customHeight="1" x14ac:dyDescent="0.15">
      <c r="A506" s="72" t="s">
        <v>882</v>
      </c>
      <c r="B506" s="91">
        <v>1</v>
      </c>
      <c r="C506" s="72" t="s">
        <v>42</v>
      </c>
      <c r="D506" s="72" t="s">
        <v>916</v>
      </c>
      <c r="E506" s="74" t="s">
        <v>19</v>
      </c>
      <c r="F506" s="72">
        <v>39</v>
      </c>
      <c r="G506" s="72" t="s">
        <v>369</v>
      </c>
      <c r="H506" s="72">
        <v>4</v>
      </c>
      <c r="I506" s="72" t="s">
        <v>881</v>
      </c>
    </row>
    <row r="507" spans="1:12" ht="15.75" hidden="1" customHeight="1" x14ac:dyDescent="0.15">
      <c r="A507" s="72" t="s">
        <v>883</v>
      </c>
      <c r="B507" s="91">
        <v>1</v>
      </c>
      <c r="C507" s="72" t="s">
        <v>42</v>
      </c>
      <c r="D507" s="72" t="s">
        <v>916</v>
      </c>
      <c r="E507" s="72" t="s">
        <v>19</v>
      </c>
      <c r="F507" s="72">
        <v>39</v>
      </c>
      <c r="G507" s="72" t="s">
        <v>369</v>
      </c>
      <c r="H507" s="72">
        <v>4</v>
      </c>
      <c r="I507" s="72" t="s">
        <v>884</v>
      </c>
    </row>
    <row r="508" spans="1:12" ht="15.75" hidden="1" customHeight="1" x14ac:dyDescent="0.15">
      <c r="A508" s="72" t="s">
        <v>886</v>
      </c>
      <c r="B508" s="91">
        <v>1</v>
      </c>
      <c r="C508" s="72" t="s">
        <v>42</v>
      </c>
      <c r="D508" s="72" t="s">
        <v>916</v>
      </c>
      <c r="E508" s="72" t="s">
        <v>19</v>
      </c>
      <c r="F508" s="72">
        <v>56</v>
      </c>
      <c r="G508" s="72" t="s">
        <v>369</v>
      </c>
      <c r="H508" s="72">
        <v>1</v>
      </c>
      <c r="I508" s="72" t="s">
        <v>885</v>
      </c>
    </row>
    <row r="509" spans="1:12" ht="15.75" hidden="1" customHeight="1" x14ac:dyDescent="0.15">
      <c r="A509" s="72" t="s">
        <v>887</v>
      </c>
      <c r="B509" s="91">
        <v>1</v>
      </c>
      <c r="C509" s="72" t="s">
        <v>42</v>
      </c>
      <c r="D509" s="72" t="s">
        <v>915</v>
      </c>
      <c r="E509" s="72" t="s">
        <v>19</v>
      </c>
      <c r="F509" s="72">
        <v>43</v>
      </c>
      <c r="G509" s="72" t="s">
        <v>369</v>
      </c>
      <c r="H509" s="72">
        <v>4</v>
      </c>
      <c r="I509" s="72" t="s">
        <v>888</v>
      </c>
    </row>
    <row r="510" spans="1:12" ht="15.75" hidden="1" customHeight="1" x14ac:dyDescent="0.15">
      <c r="A510" s="72" t="s">
        <v>890</v>
      </c>
      <c r="B510" s="105" t="s">
        <v>78</v>
      </c>
      <c r="C510" s="72" t="s">
        <v>42</v>
      </c>
      <c r="D510" s="72" t="s">
        <v>915</v>
      </c>
      <c r="E510" s="72" t="s">
        <v>19</v>
      </c>
      <c r="F510" s="72">
        <v>5</v>
      </c>
      <c r="G510" s="72" t="s">
        <v>56</v>
      </c>
      <c r="H510" s="72">
        <v>1</v>
      </c>
      <c r="I510" s="72" t="s">
        <v>889</v>
      </c>
    </row>
    <row r="511" spans="1:12" ht="15.75" hidden="1" customHeight="1" x14ac:dyDescent="0.15">
      <c r="A511" s="72" t="s">
        <v>891</v>
      </c>
      <c r="B511" s="101" t="s">
        <v>32</v>
      </c>
      <c r="C511" s="72" t="s">
        <v>42</v>
      </c>
      <c r="D511" s="72" t="s">
        <v>915</v>
      </c>
      <c r="E511" s="72" t="s">
        <v>19</v>
      </c>
      <c r="F511" s="72">
        <v>11</v>
      </c>
      <c r="G511" s="72" t="s">
        <v>56</v>
      </c>
      <c r="H511" s="72">
        <v>1</v>
      </c>
      <c r="I511" s="72" t="s">
        <v>895</v>
      </c>
    </row>
    <row r="512" spans="1:12" ht="15.75" hidden="1" customHeight="1" x14ac:dyDescent="0.15">
      <c r="A512" s="72" t="s">
        <v>892</v>
      </c>
      <c r="B512" s="101" t="s">
        <v>47</v>
      </c>
      <c r="C512" s="72" t="s">
        <v>42</v>
      </c>
      <c r="D512" s="72" t="s">
        <v>915</v>
      </c>
      <c r="E512" s="72" t="s">
        <v>19</v>
      </c>
      <c r="F512" s="72">
        <v>16</v>
      </c>
      <c r="G512" s="72" t="s">
        <v>56</v>
      </c>
      <c r="H512" s="72">
        <v>1</v>
      </c>
      <c r="I512" s="72" t="s">
        <v>896</v>
      </c>
    </row>
    <row r="513" spans="1:12" ht="15.75" hidden="1" customHeight="1" x14ac:dyDescent="0.15">
      <c r="A513" s="72" t="s">
        <v>893</v>
      </c>
      <c r="B513" s="91">
        <v>1</v>
      </c>
      <c r="C513" s="72" t="s">
        <v>42</v>
      </c>
      <c r="D513" s="72" t="s">
        <v>915</v>
      </c>
      <c r="E513" s="72" t="s">
        <v>19</v>
      </c>
      <c r="F513" s="72">
        <v>22</v>
      </c>
      <c r="G513" s="72" t="s">
        <v>56</v>
      </c>
      <c r="H513" s="72">
        <v>2</v>
      </c>
      <c r="I513" s="72" t="s">
        <v>897</v>
      </c>
    </row>
    <row r="514" spans="1:12" ht="15.75" hidden="1" customHeight="1" x14ac:dyDescent="0.15">
      <c r="A514" s="72" t="s">
        <v>894</v>
      </c>
      <c r="B514" s="91">
        <v>2</v>
      </c>
      <c r="C514" s="72" t="s">
        <v>42</v>
      </c>
      <c r="D514" s="72" t="s">
        <v>915</v>
      </c>
      <c r="E514" s="72" t="s">
        <v>19</v>
      </c>
      <c r="F514" s="72">
        <v>32</v>
      </c>
      <c r="G514" s="72" t="s">
        <v>56</v>
      </c>
      <c r="H514" s="72">
        <v>2</v>
      </c>
      <c r="I514" s="72" t="s">
        <v>898</v>
      </c>
    </row>
    <row r="515" spans="1:12" ht="15.75" hidden="1" customHeight="1" x14ac:dyDescent="0.15">
      <c r="A515" s="72" t="s">
        <v>903</v>
      </c>
      <c r="B515" s="101" t="s">
        <v>78</v>
      </c>
      <c r="C515" s="72" t="s">
        <v>42</v>
      </c>
      <c r="D515" s="72" t="s">
        <v>915</v>
      </c>
      <c r="E515" s="72" t="s">
        <v>59</v>
      </c>
      <c r="F515" s="72">
        <v>5</v>
      </c>
      <c r="G515" s="72" t="s">
        <v>369</v>
      </c>
      <c r="H515" s="72">
        <v>1</v>
      </c>
      <c r="I515" s="83" t="s">
        <v>917</v>
      </c>
      <c r="K515" s="72" t="s">
        <v>35</v>
      </c>
      <c r="L515" s="72" t="s">
        <v>35</v>
      </c>
    </row>
    <row r="516" spans="1:12" ht="15.75" hidden="1" customHeight="1" x14ac:dyDescent="0.15">
      <c r="A516" s="72" t="s">
        <v>904</v>
      </c>
      <c r="B516" s="91">
        <v>3</v>
      </c>
      <c r="C516" s="72" t="s">
        <v>42</v>
      </c>
      <c r="D516" s="72" t="s">
        <v>915</v>
      </c>
      <c r="E516" s="72" t="s">
        <v>19</v>
      </c>
      <c r="F516" s="72">
        <v>46</v>
      </c>
      <c r="G516" s="72" t="s">
        <v>369</v>
      </c>
      <c r="H516" s="72">
        <v>1</v>
      </c>
      <c r="I516" s="83" t="s">
        <v>918</v>
      </c>
      <c r="K516" s="72" t="s">
        <v>35</v>
      </c>
      <c r="L516" s="72" t="s">
        <v>35</v>
      </c>
    </row>
    <row r="517" spans="1:12" ht="15.75" hidden="1" customHeight="1" x14ac:dyDescent="0.15">
      <c r="A517" s="72" t="s">
        <v>905</v>
      </c>
      <c r="B517" s="91">
        <v>5</v>
      </c>
      <c r="C517" s="72" t="s">
        <v>42</v>
      </c>
      <c r="D517" s="72" t="s">
        <v>915</v>
      </c>
      <c r="E517" s="72" t="s">
        <v>19</v>
      </c>
      <c r="F517" s="72">
        <v>65</v>
      </c>
      <c r="G517" s="72" t="s">
        <v>369</v>
      </c>
      <c r="H517" s="72">
        <v>4</v>
      </c>
      <c r="I517" s="83" t="s">
        <v>919</v>
      </c>
      <c r="K517" s="72" t="s">
        <v>35</v>
      </c>
      <c r="L517" s="72" t="s">
        <v>35</v>
      </c>
    </row>
    <row r="518" spans="1:12" ht="15.75" hidden="1" customHeight="1" x14ac:dyDescent="0.15">
      <c r="A518" s="72" t="s">
        <v>906</v>
      </c>
      <c r="B518" s="91">
        <v>7</v>
      </c>
      <c r="C518" s="72" t="s">
        <v>42</v>
      </c>
      <c r="D518" s="72" t="s">
        <v>915</v>
      </c>
      <c r="E518" s="72" t="s">
        <v>38</v>
      </c>
      <c r="F518" s="72">
        <v>85</v>
      </c>
      <c r="G518" s="72" t="s">
        <v>369</v>
      </c>
      <c r="H518" s="72">
        <v>0</v>
      </c>
      <c r="I518" s="83" t="s">
        <v>920</v>
      </c>
      <c r="K518" s="72" t="s">
        <v>35</v>
      </c>
      <c r="L518" s="72" t="s">
        <v>35</v>
      </c>
    </row>
    <row r="519" spans="1:12" ht="15.75" hidden="1" customHeight="1" x14ac:dyDescent="0.15">
      <c r="A519" s="72" t="s">
        <v>907</v>
      </c>
      <c r="B519" s="91">
        <v>9</v>
      </c>
      <c r="C519" s="72" t="s">
        <v>42</v>
      </c>
      <c r="D519" s="72" t="s">
        <v>915</v>
      </c>
      <c r="E519" s="72" t="s">
        <v>19</v>
      </c>
      <c r="F519" s="72">
        <v>90</v>
      </c>
      <c r="G519" s="72" t="s">
        <v>369</v>
      </c>
      <c r="H519" s="72">
        <v>5</v>
      </c>
      <c r="I519" s="83" t="s">
        <v>921</v>
      </c>
      <c r="K519" s="72" t="s">
        <v>35</v>
      </c>
      <c r="L519" s="72" t="s">
        <v>35</v>
      </c>
    </row>
    <row r="520" spans="1:12" ht="15.75" hidden="1" customHeight="1" x14ac:dyDescent="0.15">
      <c r="A520" s="72" t="s">
        <v>908</v>
      </c>
      <c r="B520" s="91">
        <v>14</v>
      </c>
      <c r="C520" s="72" t="s">
        <v>42</v>
      </c>
      <c r="D520" s="72" t="s">
        <v>915</v>
      </c>
      <c r="E520" s="72" t="s">
        <v>49</v>
      </c>
      <c r="F520" s="72">
        <v>175</v>
      </c>
      <c r="G520" s="72" t="s">
        <v>369</v>
      </c>
      <c r="H520" s="72">
        <v>1</v>
      </c>
      <c r="I520" s="83" t="s">
        <v>922</v>
      </c>
      <c r="K520" s="72" t="s">
        <v>2</v>
      </c>
      <c r="L520" s="72" t="s">
        <v>35</v>
      </c>
    </row>
    <row r="521" spans="1:12" ht="15.75" customHeight="1" x14ac:dyDescent="0.15">
      <c r="A521" s="72" t="s">
        <v>911</v>
      </c>
      <c r="B521" s="109">
        <v>6</v>
      </c>
      <c r="C521" s="72" t="s">
        <v>33</v>
      </c>
      <c r="D521" s="72" t="s">
        <v>370</v>
      </c>
      <c r="E521" s="72" t="s">
        <v>19</v>
      </c>
      <c r="F521" s="72">
        <v>78</v>
      </c>
      <c r="G521" s="72" t="s">
        <v>63</v>
      </c>
      <c r="H521" s="72">
        <v>3</v>
      </c>
      <c r="I521" s="83" t="s">
        <v>912</v>
      </c>
      <c r="K521" s="72" t="s">
        <v>35</v>
      </c>
      <c r="L521" s="72" t="s">
        <v>35</v>
      </c>
    </row>
    <row r="522" spans="1:12" ht="15.75" hidden="1" customHeight="1" x14ac:dyDescent="0.15">
      <c r="A522" s="72" t="s">
        <v>914</v>
      </c>
      <c r="B522" s="91">
        <v>9</v>
      </c>
      <c r="C522" s="72" t="s">
        <v>42</v>
      </c>
      <c r="D522" s="72" t="s">
        <v>915</v>
      </c>
      <c r="E522" s="72" t="s">
        <v>19</v>
      </c>
      <c r="F522" s="72">
        <v>45</v>
      </c>
      <c r="G522" s="72" t="s">
        <v>369</v>
      </c>
      <c r="H522" s="72">
        <v>5</v>
      </c>
      <c r="I522" s="83" t="s">
        <v>921</v>
      </c>
      <c r="K522" s="72" t="s">
        <v>35</v>
      </c>
      <c r="L522" s="72" t="s">
        <v>35</v>
      </c>
    </row>
    <row r="523" spans="1:12" ht="15.75" customHeight="1" x14ac:dyDescent="0.15">
      <c r="A523" s="72" t="s">
        <v>923</v>
      </c>
      <c r="B523" s="109">
        <v>4</v>
      </c>
      <c r="C523" s="72" t="s">
        <v>33</v>
      </c>
      <c r="D523" s="72" t="s">
        <v>370</v>
      </c>
      <c r="E523" s="72" t="s">
        <v>19</v>
      </c>
      <c r="F523" s="72">
        <v>60</v>
      </c>
      <c r="G523" s="72" t="s">
        <v>63</v>
      </c>
      <c r="H523" s="72">
        <v>2</v>
      </c>
      <c r="I523" s="83" t="s">
        <v>925</v>
      </c>
      <c r="K523" s="72" t="s">
        <v>35</v>
      </c>
      <c r="L523" s="72" t="s">
        <v>35</v>
      </c>
    </row>
    <row r="524" spans="1:12" ht="15.75" customHeight="1" x14ac:dyDescent="0.15">
      <c r="A524" t="s">
        <v>926</v>
      </c>
      <c r="B524" s="108">
        <v>2</v>
      </c>
      <c r="C524" s="74" t="s">
        <v>33</v>
      </c>
      <c r="D524" s="74" t="s">
        <v>370</v>
      </c>
      <c r="E524" s="74" t="s">
        <v>19</v>
      </c>
      <c r="F524" s="74">
        <v>42</v>
      </c>
      <c r="G524" s="74" t="s">
        <v>63</v>
      </c>
      <c r="H524" s="74">
        <v>3</v>
      </c>
      <c r="I524" s="111" t="s">
        <v>927</v>
      </c>
      <c r="K524" s="74" t="s">
        <v>35</v>
      </c>
      <c r="L524" s="74" t="s">
        <v>35</v>
      </c>
    </row>
    <row r="525" spans="1:12" ht="15.75" customHeight="1" x14ac:dyDescent="0.15">
      <c r="A525" s="72" t="s">
        <v>936</v>
      </c>
      <c r="B525" s="109">
        <v>4</v>
      </c>
      <c r="C525" s="74" t="s">
        <v>33</v>
      </c>
      <c r="D525" s="74" t="s">
        <v>370</v>
      </c>
      <c r="E525" s="74" t="s">
        <v>19</v>
      </c>
      <c r="F525" s="74"/>
      <c r="G525" s="74" t="s">
        <v>63</v>
      </c>
      <c r="I525" s="83" t="s">
        <v>937</v>
      </c>
      <c r="K525" s="72" t="s">
        <v>35</v>
      </c>
      <c r="L525" s="72" t="s">
        <v>35</v>
      </c>
    </row>
  </sheetData>
  <sheetProtection selectLockedCells="1" selectUnlockedCells="1"/>
  <autoFilter ref="A1:M524">
    <filterColumn colId="0">
      <filters>
        <filter val="Barbarian Half Orc"/>
        <filter val="Orc"/>
        <filter val="Orc Blade of Ilneval"/>
        <filter val="Orc Claw of Luthic"/>
        <filter val="Orc Eye of Gruumsh"/>
        <filter val="Orc Hand of Yurtus"/>
        <filter val="Orc Marksman"/>
        <filter val="Orc Nutured One of Yurtrus"/>
        <filter val="Orc Orog"/>
        <filter val="Orc Red Fang of Shargaas"/>
        <filter val="Orc War chief"/>
        <filter val="Orc Worg Master"/>
        <filter val="Orc, Brughor AxeBiter"/>
        <filter val="Orc, Thalak Goldtooth"/>
      </filters>
    </filterColumn>
    <sortState ref="A523:M523">
      <sortCondition ref="D1:D524"/>
    </sortState>
  </autoFilter>
  <hyperlinks>
    <hyperlink ref="I469" r:id="rId1"/>
    <hyperlink ref="I470" r:id="rId2"/>
    <hyperlink ref="I471" r:id="rId3"/>
    <hyperlink ref="I483" r:id="rId4"/>
    <hyperlink ref="I484" r:id="rId5"/>
    <hyperlink ref="I485" r:id="rId6"/>
    <hyperlink ref="I501" r:id="rId7"/>
    <hyperlink ref="I502" r:id="rId8"/>
    <hyperlink ref="I499" r:id="rId9"/>
    <hyperlink ref="I503" r:id="rId10"/>
    <hyperlink ref="I517" r:id="rId11" location="p47"/>
    <hyperlink ref="I516" r:id="rId12" location="p46"/>
    <hyperlink ref="I515" r:id="rId13" location="p45"/>
    <hyperlink ref="I518" r:id="rId14" location="p48"/>
    <hyperlink ref="I519" r:id="rId15" location="p50"/>
    <hyperlink ref="I520" r:id="rId16" location="p51"/>
    <hyperlink ref="I522" r:id="rId17" location="p50"/>
    <hyperlink ref="I492" r:id="rId18"/>
    <hyperlink ref="I523" r:id="rId19"/>
    <hyperlink ref="I525" r:id="rId20"/>
  </hyperlinks>
  <pageMargins left="0.7" right="0.7" top="0.75" bottom="0.75" header="0.51180555555555551" footer="0.51180555555555551"/>
  <pageSetup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X90"/>
  <sheetViews>
    <sheetView topLeftCell="A53" workbookViewId="0">
      <selection activeCell="A90" sqref="A90:X90"/>
    </sheetView>
  </sheetViews>
  <sheetFormatPr baseColWidth="10" defaultColWidth="8.83203125" defaultRowHeight="13" x14ac:dyDescent="0.15"/>
  <cols>
    <col min="1" max="1" width="41.33203125" style="5" customWidth="1"/>
    <col min="2" max="2" width="28.1640625" style="27" customWidth="1"/>
    <col min="3" max="10" width="18.33203125" style="27" customWidth="1"/>
    <col min="11" max="11" width="19.1640625" style="27" customWidth="1"/>
    <col min="12" max="12" width="18.83203125" style="27" customWidth="1"/>
    <col min="13" max="20" width="19.1640625" style="27" customWidth="1"/>
    <col min="21" max="21" width="19.5" style="27" customWidth="1"/>
    <col min="22" max="22" width="19.1640625" style="27" customWidth="1"/>
    <col min="23" max="24" width="19.5" style="27" customWidth="1"/>
    <col min="25" max="16384" width="8.83203125" style="2"/>
  </cols>
  <sheetData>
    <row r="1" spans="1:24" x14ac:dyDescent="0.15">
      <c r="B1" s="27">
        <v>1</v>
      </c>
      <c r="C1" s="27">
        <f>B1+1</f>
        <v>2</v>
      </c>
      <c r="D1" s="27">
        <f t="shared" ref="D1:X1" si="0">C1+1</f>
        <v>3</v>
      </c>
      <c r="E1" s="27">
        <f t="shared" si="0"/>
        <v>4</v>
      </c>
      <c r="F1" s="27">
        <f t="shared" si="0"/>
        <v>5</v>
      </c>
      <c r="G1" s="27">
        <f t="shared" si="0"/>
        <v>6</v>
      </c>
      <c r="H1" s="27">
        <f t="shared" si="0"/>
        <v>7</v>
      </c>
      <c r="I1" s="27">
        <f t="shared" si="0"/>
        <v>8</v>
      </c>
      <c r="J1" s="27">
        <f t="shared" si="0"/>
        <v>9</v>
      </c>
      <c r="K1" s="27">
        <f t="shared" si="0"/>
        <v>10</v>
      </c>
      <c r="L1" s="27">
        <f t="shared" si="0"/>
        <v>11</v>
      </c>
      <c r="M1" s="27">
        <f t="shared" si="0"/>
        <v>12</v>
      </c>
      <c r="N1" s="27">
        <f t="shared" si="0"/>
        <v>13</v>
      </c>
      <c r="O1" s="27">
        <f t="shared" si="0"/>
        <v>14</v>
      </c>
      <c r="P1" s="27">
        <f t="shared" si="0"/>
        <v>15</v>
      </c>
      <c r="Q1" s="27">
        <f t="shared" si="0"/>
        <v>16</v>
      </c>
      <c r="R1" s="27">
        <f t="shared" si="0"/>
        <v>17</v>
      </c>
      <c r="S1" s="27">
        <f t="shared" si="0"/>
        <v>18</v>
      </c>
      <c r="T1" s="27">
        <f t="shared" si="0"/>
        <v>19</v>
      </c>
      <c r="U1" s="27">
        <f t="shared" si="0"/>
        <v>20</v>
      </c>
      <c r="V1" s="27">
        <f t="shared" si="0"/>
        <v>21</v>
      </c>
      <c r="W1" s="27">
        <f t="shared" si="0"/>
        <v>22</v>
      </c>
      <c r="X1" s="27">
        <f t="shared" si="0"/>
        <v>23</v>
      </c>
    </row>
    <row r="2" spans="1:24" x14ac:dyDescent="0.15">
      <c r="A2" s="3" t="s">
        <v>522</v>
      </c>
      <c r="B2" s="4" t="s">
        <v>523</v>
      </c>
      <c r="C2" s="4" t="s">
        <v>524</v>
      </c>
      <c r="D2" s="4" t="s">
        <v>525</v>
      </c>
      <c r="E2" s="4" t="s">
        <v>526</v>
      </c>
      <c r="F2" s="4" t="s">
        <v>527</v>
      </c>
      <c r="G2" s="4" t="s">
        <v>528</v>
      </c>
      <c r="H2" s="4" t="s">
        <v>529</v>
      </c>
      <c r="I2" s="4" t="s">
        <v>530</v>
      </c>
      <c r="J2" s="4" t="s">
        <v>531</v>
      </c>
      <c r="K2" s="4" t="s">
        <v>532</v>
      </c>
      <c r="L2" s="4" t="s">
        <v>533</v>
      </c>
      <c r="M2" s="4" t="s">
        <v>534</v>
      </c>
      <c r="N2" s="4" t="s">
        <v>535</v>
      </c>
      <c r="O2" s="4" t="s">
        <v>536</v>
      </c>
      <c r="P2" s="4" t="s">
        <v>537</v>
      </c>
      <c r="Q2" s="4" t="s">
        <v>538</v>
      </c>
      <c r="R2" s="4" t="s">
        <v>539</v>
      </c>
      <c r="S2" s="4" t="s">
        <v>540</v>
      </c>
      <c r="T2" s="4" t="s">
        <v>541</v>
      </c>
      <c r="U2" s="4" t="s">
        <v>542</v>
      </c>
      <c r="V2" s="4" t="s">
        <v>543</v>
      </c>
      <c r="W2" s="4" t="s">
        <v>544</v>
      </c>
      <c r="X2" s="4" t="s">
        <v>545</v>
      </c>
    </row>
    <row r="3" spans="1:24" x14ac:dyDescent="0.15">
      <c r="A3" s="31" t="s">
        <v>609</v>
      </c>
      <c r="B3" s="29" t="str">
        <f>VLOOKUP(B$1,Tracker!$AG$12:$AH$34,2,FALSE)</f>
        <v>Orc</v>
      </c>
      <c r="C3" s="29" t="str">
        <f>VLOOKUP(C$1,Tracker!$AG$12:$AH$34,2,FALSE)</f>
        <v>Orc</v>
      </c>
      <c r="D3" s="29" t="str">
        <f>VLOOKUP(D$1,Tracker!$AG$12:$AH$34,2,FALSE)</f>
        <v>Orc</v>
      </c>
      <c r="E3" s="29" t="str">
        <f>VLOOKUP(E$1,Tracker!$AG$12:$AH$34,2,FALSE)</f>
        <v>Orc</v>
      </c>
      <c r="F3" s="29" t="str">
        <f>VLOOKUP(F$1,Tracker!$AG$12:$AH$34,2,FALSE)</f>
        <v>Orc</v>
      </c>
      <c r="G3" s="29" t="str">
        <f>VLOOKUP(G$1,Tracker!$AG$12:$AH$34,2,FALSE)</f>
        <v>Orc</v>
      </c>
      <c r="H3" s="29">
        <f>VLOOKUP(H$1,Tracker!$AG$12:$AH$34,2,FALSE)</f>
        <v>0</v>
      </c>
      <c r="I3" s="29">
        <f>VLOOKUP(I$1,Tracker!$AG$12:$AH$34,2,FALSE)</f>
        <v>0</v>
      </c>
      <c r="J3" s="29">
        <f>VLOOKUP(J$1,Tracker!$AG$12:$AH$34,2,FALSE)</f>
        <v>0</v>
      </c>
      <c r="K3" s="29">
        <f>VLOOKUP(K$1,Tracker!$AG$12:$AH$34,2,FALSE)</f>
        <v>0</v>
      </c>
      <c r="L3" s="29" t="str">
        <f>VLOOKUP(L$1,Tracker!$AG$12:$AH$34,2,FALSE)</f>
        <v/>
      </c>
      <c r="M3" s="29" t="str">
        <f>VLOOKUP(M$1,Tracker!$AG$12:$AH$34,2,FALSE)</f>
        <v/>
      </c>
      <c r="N3" s="29" t="str">
        <f>VLOOKUP(N$1,Tracker!$AG$12:$AH$34,2,FALSE)</f>
        <v/>
      </c>
      <c r="O3" s="29" t="str">
        <f>VLOOKUP(O$1,Tracker!$AG$12:$AH$34,2,FALSE)</f>
        <v/>
      </c>
      <c r="P3" s="29" t="str">
        <f>VLOOKUP(P$1,Tracker!$AG$12:$AH$34,2,FALSE)</f>
        <v/>
      </c>
      <c r="Q3" s="29" t="str">
        <f>VLOOKUP(Q$1,Tracker!$AG$12:$AH$34,2,FALSE)</f>
        <v/>
      </c>
      <c r="R3" s="29" t="str">
        <f>VLOOKUP(R$1,Tracker!$AG$12:$AH$34,2,FALSE)</f>
        <v/>
      </c>
      <c r="S3" s="29" t="str">
        <f>VLOOKUP(S$1,Tracker!$AG$12:$AH$34,2,FALSE)</f>
        <v/>
      </c>
      <c r="T3" s="29" t="str">
        <f>VLOOKUP(T$1,Tracker!$AG$12:$AH$34,2,FALSE)</f>
        <v/>
      </c>
      <c r="U3" s="29" t="str">
        <f>VLOOKUP(U$1,Tracker!$AG$12:$AH$34,2,FALSE)</f>
        <v/>
      </c>
      <c r="V3" s="29" t="str">
        <f>VLOOKUP(V$1,Tracker!$AG$12:$AH$34,2,FALSE)</f>
        <v/>
      </c>
      <c r="W3" s="29" t="str">
        <f>VLOOKUP(W$1,Tracker!$AG$12:$AH$34,2,FALSE)</f>
        <v/>
      </c>
      <c r="X3" s="29" t="str">
        <f>VLOOKUP(X$1,Tracker!$AG$12:$AH$34,2,FALSE)</f>
        <v/>
      </c>
    </row>
    <row r="4" spans="1:24" x14ac:dyDescent="0.15">
      <c r="A4" s="28" t="s">
        <v>546</v>
      </c>
      <c r="B4" s="29" t="s">
        <v>248</v>
      </c>
      <c r="C4" s="27" t="s">
        <v>248</v>
      </c>
      <c r="D4" s="27" t="s">
        <v>248</v>
      </c>
      <c r="E4" s="27" t="s">
        <v>248</v>
      </c>
    </row>
    <row r="5" spans="1:24" x14ac:dyDescent="0.15">
      <c r="A5" s="28" t="s">
        <v>547</v>
      </c>
      <c r="B5" s="29" t="s">
        <v>248</v>
      </c>
      <c r="C5" s="27" t="s">
        <v>248</v>
      </c>
      <c r="D5" s="27" t="s">
        <v>248</v>
      </c>
      <c r="E5" s="27" t="s">
        <v>248</v>
      </c>
    </row>
    <row r="6" spans="1:24" x14ac:dyDescent="0.15">
      <c r="A6" s="28" t="s">
        <v>548</v>
      </c>
      <c r="B6" s="29" t="s">
        <v>469</v>
      </c>
      <c r="C6" s="27" t="s">
        <v>469</v>
      </c>
      <c r="D6" s="27" t="s">
        <v>469</v>
      </c>
      <c r="E6" s="27" t="s">
        <v>469</v>
      </c>
    </row>
    <row r="7" spans="1:24" x14ac:dyDescent="0.15">
      <c r="A7" s="28" t="s">
        <v>549</v>
      </c>
      <c r="B7" s="29" t="s">
        <v>248</v>
      </c>
      <c r="C7" s="27" t="s">
        <v>248</v>
      </c>
      <c r="D7" s="27" t="s">
        <v>248</v>
      </c>
    </row>
    <row r="8" spans="1:24" x14ac:dyDescent="0.15">
      <c r="A8" s="28" t="s">
        <v>550</v>
      </c>
      <c r="B8" s="29" t="s">
        <v>248</v>
      </c>
      <c r="C8" s="27" t="s">
        <v>248</v>
      </c>
      <c r="D8" s="27" t="s">
        <v>248</v>
      </c>
      <c r="E8" s="27" t="s">
        <v>248</v>
      </c>
      <c r="F8" s="27" t="s">
        <v>248</v>
      </c>
      <c r="G8" s="27" t="s">
        <v>248</v>
      </c>
      <c r="H8" s="27" t="s">
        <v>248</v>
      </c>
      <c r="I8" s="27" t="s">
        <v>248</v>
      </c>
    </row>
    <row r="9" spans="1:24" x14ac:dyDescent="0.15">
      <c r="A9" s="28" t="s">
        <v>551</v>
      </c>
      <c r="B9" s="29" t="s">
        <v>248</v>
      </c>
      <c r="C9" s="27" t="s">
        <v>248</v>
      </c>
      <c r="D9" s="27" t="s">
        <v>248</v>
      </c>
      <c r="E9" s="27" t="s">
        <v>248</v>
      </c>
      <c r="F9" s="27" t="s">
        <v>248</v>
      </c>
      <c r="G9" s="27" t="s">
        <v>248</v>
      </c>
      <c r="H9" s="27" t="s">
        <v>248</v>
      </c>
    </row>
    <row r="10" spans="1:24" x14ac:dyDescent="0.15">
      <c r="A10" s="28" t="s">
        <v>552</v>
      </c>
      <c r="B10" s="29" t="s">
        <v>248</v>
      </c>
      <c r="C10" s="27" t="s">
        <v>248</v>
      </c>
      <c r="D10" s="27" t="s">
        <v>248</v>
      </c>
      <c r="E10" s="27" t="s">
        <v>248</v>
      </c>
      <c r="F10" s="27" t="s">
        <v>248</v>
      </c>
      <c r="G10" s="27" t="s">
        <v>248</v>
      </c>
      <c r="H10" s="27" t="s">
        <v>248</v>
      </c>
      <c r="I10" s="27" t="s">
        <v>469</v>
      </c>
      <c r="J10" s="27" t="s">
        <v>469</v>
      </c>
      <c r="K10" s="27" t="s">
        <v>493</v>
      </c>
      <c r="L10" s="27" t="s">
        <v>494</v>
      </c>
    </row>
    <row r="11" spans="1:24" x14ac:dyDescent="0.15">
      <c r="A11" s="28" t="s">
        <v>1</v>
      </c>
      <c r="B11" s="29" t="s">
        <v>490</v>
      </c>
      <c r="C11" s="27" t="s">
        <v>490</v>
      </c>
      <c r="D11" s="27" t="s">
        <v>490</v>
      </c>
      <c r="E11" s="27" t="s">
        <v>490</v>
      </c>
    </row>
    <row r="12" spans="1:24" x14ac:dyDescent="0.15">
      <c r="A12" s="28" t="s">
        <v>553</v>
      </c>
      <c r="B12" s="12" t="s">
        <v>490</v>
      </c>
      <c r="C12" s="12" t="s">
        <v>490</v>
      </c>
      <c r="D12" s="12" t="s">
        <v>490</v>
      </c>
      <c r="E12" s="12" t="s">
        <v>490</v>
      </c>
    </row>
    <row r="13" spans="1:24" x14ac:dyDescent="0.15">
      <c r="A13" s="28" t="s">
        <v>554</v>
      </c>
      <c r="B13" s="12" t="s">
        <v>416</v>
      </c>
      <c r="C13" s="12" t="s">
        <v>416</v>
      </c>
      <c r="D13" s="12" t="s">
        <v>416</v>
      </c>
      <c r="E13" s="12" t="s">
        <v>416</v>
      </c>
    </row>
    <row r="14" spans="1:24" x14ac:dyDescent="0.15">
      <c r="A14" s="28" t="s">
        <v>555</v>
      </c>
      <c r="B14" s="27" t="s">
        <v>490</v>
      </c>
      <c r="C14" s="27" t="s">
        <v>490</v>
      </c>
      <c r="D14" s="27" t="s">
        <v>490</v>
      </c>
    </row>
    <row r="15" spans="1:24" x14ac:dyDescent="0.15">
      <c r="A15" s="28" t="s">
        <v>556</v>
      </c>
      <c r="B15" s="27" t="s">
        <v>337</v>
      </c>
    </row>
    <row r="16" spans="1:24" x14ac:dyDescent="0.15">
      <c r="A16" s="28" t="s">
        <v>557</v>
      </c>
      <c r="B16" s="27" t="s">
        <v>85</v>
      </c>
      <c r="C16" s="27" t="s">
        <v>85</v>
      </c>
      <c r="D16" s="27" t="s">
        <v>85</v>
      </c>
    </row>
    <row r="17" spans="1:14" x14ac:dyDescent="0.15">
      <c r="A17" s="28" t="s">
        <v>558</v>
      </c>
      <c r="B17" s="27" t="s">
        <v>490</v>
      </c>
      <c r="C17" s="27" t="s">
        <v>490</v>
      </c>
      <c r="D17" s="27" t="s">
        <v>490</v>
      </c>
      <c r="E17" s="27" t="s">
        <v>490</v>
      </c>
    </row>
    <row r="18" spans="1:14" x14ac:dyDescent="0.15">
      <c r="A18" s="28" t="s">
        <v>559</v>
      </c>
      <c r="B18" s="27" t="s">
        <v>496</v>
      </c>
      <c r="C18" s="27" t="s">
        <v>490</v>
      </c>
      <c r="D18" s="12" t="s">
        <v>416</v>
      </c>
      <c r="E18" s="12" t="s">
        <v>416</v>
      </c>
    </row>
    <row r="19" spans="1:14" x14ac:dyDescent="0.15">
      <c r="A19" s="31" t="s">
        <v>608</v>
      </c>
      <c r="B19" s="27" t="s">
        <v>496</v>
      </c>
      <c r="C19" s="12" t="s">
        <v>416</v>
      </c>
      <c r="D19" s="12" t="s">
        <v>416</v>
      </c>
      <c r="E19" s="27" t="s">
        <v>85</v>
      </c>
      <c r="F19" s="27" t="s">
        <v>85</v>
      </c>
      <c r="G19" s="27" t="s">
        <v>85</v>
      </c>
      <c r="H19" s="27" t="s">
        <v>490</v>
      </c>
      <c r="I19" s="27" t="s">
        <v>490</v>
      </c>
      <c r="J19" s="27" t="s">
        <v>490</v>
      </c>
      <c r="K19" s="27" t="s">
        <v>490</v>
      </c>
    </row>
    <row r="20" spans="1:14" x14ac:dyDescent="0.15">
      <c r="A20" s="30" t="s">
        <v>560</v>
      </c>
      <c r="B20" s="27" t="s">
        <v>437</v>
      </c>
      <c r="C20" s="27" t="s">
        <v>437</v>
      </c>
      <c r="D20" s="27" t="s">
        <v>437</v>
      </c>
      <c r="E20" s="27" t="s">
        <v>437</v>
      </c>
      <c r="F20" s="27" t="s">
        <v>437</v>
      </c>
      <c r="G20" s="27" t="s">
        <v>437</v>
      </c>
      <c r="H20" s="27" t="s">
        <v>437</v>
      </c>
      <c r="I20" s="27" t="s">
        <v>437</v>
      </c>
    </row>
    <row r="21" spans="1:14" x14ac:dyDescent="0.15">
      <c r="A21" s="30" t="s">
        <v>561</v>
      </c>
      <c r="B21" s="27" t="s">
        <v>228</v>
      </c>
      <c r="C21" s="27" t="s">
        <v>228</v>
      </c>
      <c r="D21" s="27" t="s">
        <v>228</v>
      </c>
      <c r="E21" s="27" t="s">
        <v>228</v>
      </c>
      <c r="F21" s="27" t="s">
        <v>228</v>
      </c>
    </row>
    <row r="22" spans="1:14" x14ac:dyDescent="0.15">
      <c r="A22" s="30" t="s">
        <v>562</v>
      </c>
      <c r="B22" s="27" t="s">
        <v>256</v>
      </c>
      <c r="C22" s="27" t="s">
        <v>256</v>
      </c>
      <c r="D22" s="27" t="s">
        <v>256</v>
      </c>
      <c r="E22" s="27" t="s">
        <v>256</v>
      </c>
    </row>
    <row r="23" spans="1:14" x14ac:dyDescent="0.15">
      <c r="A23" s="30" t="s">
        <v>563</v>
      </c>
      <c r="B23" s="27" t="s">
        <v>416</v>
      </c>
      <c r="C23" s="27" t="s">
        <v>416</v>
      </c>
      <c r="D23" s="27" t="s">
        <v>416</v>
      </c>
      <c r="E23" s="27" t="s">
        <v>416</v>
      </c>
      <c r="F23" s="27" t="s">
        <v>416</v>
      </c>
      <c r="G23" s="27" t="s">
        <v>416</v>
      </c>
    </row>
    <row r="24" spans="1:14" x14ac:dyDescent="0.15">
      <c r="A24" s="30" t="s">
        <v>564</v>
      </c>
      <c r="B24" s="27" t="s">
        <v>361</v>
      </c>
    </row>
    <row r="25" spans="1:14" x14ac:dyDescent="0.15">
      <c r="A25" s="30" t="s">
        <v>565</v>
      </c>
      <c r="B25" s="27" t="s">
        <v>248</v>
      </c>
      <c r="C25" s="27" t="s">
        <v>248</v>
      </c>
      <c r="D25" s="27" t="s">
        <v>248</v>
      </c>
      <c r="E25" s="27" t="s">
        <v>248</v>
      </c>
      <c r="F25" s="27" t="s">
        <v>248</v>
      </c>
      <c r="G25" s="27" t="s">
        <v>248</v>
      </c>
      <c r="H25" s="27" t="s">
        <v>248</v>
      </c>
      <c r="I25" s="27" t="s">
        <v>248</v>
      </c>
      <c r="J25" s="27" t="s">
        <v>248</v>
      </c>
    </row>
    <row r="26" spans="1:14" x14ac:dyDescent="0.15">
      <c r="A26" s="30" t="s">
        <v>566</v>
      </c>
      <c r="B26" s="27" t="s">
        <v>85</v>
      </c>
      <c r="C26" s="27" t="s">
        <v>85</v>
      </c>
      <c r="D26" s="27" t="s">
        <v>85</v>
      </c>
      <c r="E26" s="27" t="s">
        <v>85</v>
      </c>
    </row>
    <row r="27" spans="1:14" x14ac:dyDescent="0.15">
      <c r="A27" s="30" t="s">
        <v>567</v>
      </c>
      <c r="B27" s="27" t="s">
        <v>272</v>
      </c>
      <c r="C27" s="27" t="s">
        <v>272</v>
      </c>
      <c r="D27" s="27" t="s">
        <v>272</v>
      </c>
      <c r="E27" s="27" t="s">
        <v>272</v>
      </c>
      <c r="F27" s="27" t="s">
        <v>272</v>
      </c>
      <c r="G27" s="27" t="s">
        <v>272</v>
      </c>
    </row>
    <row r="28" spans="1:14" x14ac:dyDescent="0.15">
      <c r="A28" s="30" t="s">
        <v>568</v>
      </c>
      <c r="B28" s="27" t="s">
        <v>370</v>
      </c>
      <c r="C28" s="27" t="s">
        <v>370</v>
      </c>
      <c r="D28" s="27" t="s">
        <v>370</v>
      </c>
      <c r="E28" s="27" t="s">
        <v>370</v>
      </c>
    </row>
    <row r="29" spans="1:14" x14ac:dyDescent="0.15">
      <c r="A29" s="30" t="s">
        <v>569</v>
      </c>
      <c r="B29" s="27" t="s">
        <v>469</v>
      </c>
      <c r="C29" s="27" t="s">
        <v>469</v>
      </c>
      <c r="D29" s="27" t="s">
        <v>469</v>
      </c>
      <c r="E29" s="27" t="s">
        <v>469</v>
      </c>
      <c r="F29" s="27" t="s">
        <v>469</v>
      </c>
      <c r="G29" s="27" t="s">
        <v>469</v>
      </c>
    </row>
    <row r="30" spans="1:14" x14ac:dyDescent="0.15">
      <c r="A30" s="30" t="s">
        <v>570</v>
      </c>
      <c r="B30" s="27" t="s">
        <v>485</v>
      </c>
      <c r="C30" s="27" t="s">
        <v>485</v>
      </c>
      <c r="D30" s="27" t="s">
        <v>485</v>
      </c>
      <c r="E30" s="27" t="s">
        <v>485</v>
      </c>
      <c r="F30" s="27" t="s">
        <v>485</v>
      </c>
      <c r="G30" s="27" t="s">
        <v>485</v>
      </c>
    </row>
    <row r="31" spans="1:14" x14ac:dyDescent="0.15">
      <c r="A31" s="30" t="s">
        <v>571</v>
      </c>
      <c r="B31" s="12" t="s">
        <v>368</v>
      </c>
    </row>
    <row r="32" spans="1:14" x14ac:dyDescent="0.15">
      <c r="A32" s="30" t="s">
        <v>572</v>
      </c>
      <c r="B32" s="27" t="s">
        <v>374</v>
      </c>
      <c r="L32" s="27" t="s">
        <v>485</v>
      </c>
      <c r="M32" s="27" t="s">
        <v>485</v>
      </c>
      <c r="N32" s="27" t="s">
        <v>491</v>
      </c>
    </row>
    <row r="33" spans="1:11" x14ac:dyDescent="0.15">
      <c r="A33" s="28" t="s">
        <v>573</v>
      </c>
      <c r="B33" s="27" t="s">
        <v>485</v>
      </c>
      <c r="C33" s="27" t="s">
        <v>485</v>
      </c>
      <c r="D33" s="27" t="s">
        <v>485</v>
      </c>
      <c r="E33" s="27" t="s">
        <v>485</v>
      </c>
      <c r="F33" s="27" t="s">
        <v>485</v>
      </c>
      <c r="G33" s="27" t="s">
        <v>485</v>
      </c>
      <c r="H33" s="27" t="s">
        <v>485</v>
      </c>
      <c r="I33" s="27" t="s">
        <v>485</v>
      </c>
      <c r="J33" s="27" t="s">
        <v>485</v>
      </c>
      <c r="K33" s="27" t="s">
        <v>485</v>
      </c>
    </row>
    <row r="34" spans="1:11" x14ac:dyDescent="0.15">
      <c r="A34" s="28" t="s">
        <v>574</v>
      </c>
      <c r="B34" s="27" t="s">
        <v>77</v>
      </c>
      <c r="C34" s="27" t="s">
        <v>77</v>
      </c>
    </row>
    <row r="35" spans="1:11" x14ac:dyDescent="0.15">
      <c r="A35" s="28" t="s">
        <v>575</v>
      </c>
      <c r="B35" s="27" t="s">
        <v>77</v>
      </c>
      <c r="C35" s="27" t="s">
        <v>77</v>
      </c>
      <c r="D35" s="27" t="s">
        <v>77</v>
      </c>
      <c r="E35" s="27" t="s">
        <v>77</v>
      </c>
      <c r="F35" s="27" t="s">
        <v>77</v>
      </c>
      <c r="G35" s="27" t="s">
        <v>77</v>
      </c>
    </row>
    <row r="36" spans="1:11" x14ac:dyDescent="0.15">
      <c r="A36" s="28" t="s">
        <v>576</v>
      </c>
      <c r="B36" s="27" t="s">
        <v>497</v>
      </c>
      <c r="C36" s="27" t="s">
        <v>497</v>
      </c>
      <c r="D36" s="27" t="s">
        <v>497</v>
      </c>
      <c r="E36" s="27" t="s">
        <v>497</v>
      </c>
    </row>
    <row r="37" spans="1:11" x14ac:dyDescent="0.15">
      <c r="A37" s="28" t="s">
        <v>577</v>
      </c>
      <c r="B37" s="27" t="s">
        <v>77</v>
      </c>
      <c r="C37" s="27" t="s">
        <v>77</v>
      </c>
      <c r="D37" s="27" t="s">
        <v>77</v>
      </c>
      <c r="E37" s="27" t="s">
        <v>77</v>
      </c>
      <c r="F37" s="27" t="s">
        <v>77</v>
      </c>
      <c r="G37" s="27" t="s">
        <v>77</v>
      </c>
      <c r="H37" s="27" t="s">
        <v>77</v>
      </c>
      <c r="I37" s="27" t="s">
        <v>77</v>
      </c>
    </row>
    <row r="38" spans="1:11" x14ac:dyDescent="0.15">
      <c r="A38" s="28" t="s">
        <v>578</v>
      </c>
      <c r="B38" s="27" t="s">
        <v>435</v>
      </c>
      <c r="C38" s="27" t="s">
        <v>435</v>
      </c>
    </row>
    <row r="39" spans="1:11" x14ac:dyDescent="0.15">
      <c r="A39" s="28" t="s">
        <v>579</v>
      </c>
      <c r="B39" s="27" t="s">
        <v>174</v>
      </c>
    </row>
    <row r="40" spans="1:11" x14ac:dyDescent="0.15">
      <c r="A40" s="28" t="s">
        <v>580</v>
      </c>
      <c r="B40" s="27" t="s">
        <v>497</v>
      </c>
      <c r="C40" s="27" t="s">
        <v>497</v>
      </c>
    </row>
    <row r="41" spans="1:11" x14ac:dyDescent="0.15">
      <c r="A41" s="28" t="s">
        <v>581</v>
      </c>
      <c r="B41" s="27" t="s">
        <v>497</v>
      </c>
      <c r="C41" s="27" t="s">
        <v>497</v>
      </c>
      <c r="D41" s="27" t="s">
        <v>497</v>
      </c>
      <c r="E41" s="27" t="s">
        <v>497</v>
      </c>
      <c r="F41" s="27" t="s">
        <v>497</v>
      </c>
    </row>
    <row r="42" spans="1:11" x14ac:dyDescent="0.15">
      <c r="A42" s="28" t="s">
        <v>582</v>
      </c>
      <c r="B42" s="27" t="s">
        <v>77</v>
      </c>
      <c r="C42" s="27" t="s">
        <v>77</v>
      </c>
      <c r="D42" s="27" t="s">
        <v>77</v>
      </c>
      <c r="E42" s="27" t="s">
        <v>77</v>
      </c>
      <c r="F42" s="27" t="s">
        <v>77</v>
      </c>
      <c r="G42" s="27" t="s">
        <v>77</v>
      </c>
    </row>
    <row r="43" spans="1:11" x14ac:dyDescent="0.15">
      <c r="A43" s="28" t="s">
        <v>583</v>
      </c>
      <c r="B43" s="27" t="s">
        <v>346</v>
      </c>
      <c r="C43" s="27" t="s">
        <v>346</v>
      </c>
      <c r="D43" s="27" t="s">
        <v>346</v>
      </c>
      <c r="E43" s="27" t="s">
        <v>346</v>
      </c>
      <c r="F43" s="27" t="s">
        <v>346</v>
      </c>
      <c r="G43" s="27" t="s">
        <v>346</v>
      </c>
    </row>
    <row r="44" spans="1:11" x14ac:dyDescent="0.15">
      <c r="A44" s="28" t="s">
        <v>584</v>
      </c>
      <c r="B44" s="27" t="s">
        <v>498</v>
      </c>
      <c r="C44" s="27" t="s">
        <v>370</v>
      </c>
      <c r="D44" s="27" t="s">
        <v>370</v>
      </c>
      <c r="E44" s="27" t="s">
        <v>370</v>
      </c>
      <c r="F44" s="27" t="s">
        <v>370</v>
      </c>
      <c r="G44" s="27" t="s">
        <v>370</v>
      </c>
      <c r="H44" s="27" t="s">
        <v>370</v>
      </c>
      <c r="I44" s="27" t="s">
        <v>370</v>
      </c>
      <c r="J44" s="27" t="s">
        <v>361</v>
      </c>
    </row>
    <row r="45" spans="1:11" x14ac:dyDescent="0.15">
      <c r="A45" s="28" t="s">
        <v>585</v>
      </c>
      <c r="B45" s="27" t="s">
        <v>248</v>
      </c>
      <c r="C45" s="27" t="s">
        <v>248</v>
      </c>
    </row>
    <row r="46" spans="1:11" x14ac:dyDescent="0.15">
      <c r="A46" s="28" t="s">
        <v>586</v>
      </c>
      <c r="B46" s="27" t="s">
        <v>248</v>
      </c>
      <c r="C46" s="27" t="s">
        <v>248</v>
      </c>
      <c r="D46" s="27" t="s">
        <v>248</v>
      </c>
    </row>
    <row r="47" spans="1:11" x14ac:dyDescent="0.15">
      <c r="A47" s="28" t="s">
        <v>587</v>
      </c>
      <c r="B47" s="27" t="s">
        <v>272</v>
      </c>
      <c r="C47" s="27" t="s">
        <v>272</v>
      </c>
      <c r="D47" s="27" t="s">
        <v>272</v>
      </c>
      <c r="E47" s="27" t="s">
        <v>272</v>
      </c>
    </row>
    <row r="48" spans="1:11" x14ac:dyDescent="0.15">
      <c r="A48" s="28" t="s">
        <v>588</v>
      </c>
      <c r="B48" s="27" t="s">
        <v>248</v>
      </c>
      <c r="C48" s="27" t="s">
        <v>248</v>
      </c>
      <c r="D48" s="27" t="s">
        <v>248</v>
      </c>
      <c r="E48" s="27" t="s">
        <v>248</v>
      </c>
      <c r="F48" s="27" t="s">
        <v>248</v>
      </c>
      <c r="G48" s="27" t="s">
        <v>248</v>
      </c>
      <c r="H48" s="27" t="s">
        <v>248</v>
      </c>
      <c r="I48" s="27" t="s">
        <v>499</v>
      </c>
    </row>
    <row r="49" spans="1:11" x14ac:dyDescent="0.15">
      <c r="A49" s="28" t="s">
        <v>589</v>
      </c>
      <c r="B49" s="27" t="s">
        <v>256</v>
      </c>
    </row>
    <row r="50" spans="1:11" x14ac:dyDescent="0.15">
      <c r="A50" s="28" t="s">
        <v>590</v>
      </c>
      <c r="B50" s="27" t="s">
        <v>500</v>
      </c>
      <c r="C50" s="27" t="s">
        <v>248</v>
      </c>
      <c r="D50" s="27" t="s">
        <v>248</v>
      </c>
    </row>
    <row r="51" spans="1:11" x14ac:dyDescent="0.15">
      <c r="A51" s="28" t="s">
        <v>591</v>
      </c>
      <c r="B51" s="27" t="s">
        <v>272</v>
      </c>
      <c r="C51" s="27" t="s">
        <v>272</v>
      </c>
    </row>
    <row r="52" spans="1:11" x14ac:dyDescent="0.15">
      <c r="A52" s="28" t="s">
        <v>592</v>
      </c>
      <c r="B52" s="27" t="s">
        <v>374</v>
      </c>
    </row>
    <row r="53" spans="1:11" x14ac:dyDescent="0.15">
      <c r="A53" s="28" t="s">
        <v>593</v>
      </c>
      <c r="B53" s="27" t="s">
        <v>501</v>
      </c>
      <c r="C53" s="27" t="s">
        <v>469</v>
      </c>
      <c r="D53" s="27" t="s">
        <v>140</v>
      </c>
    </row>
    <row r="54" spans="1:11" x14ac:dyDescent="0.15">
      <c r="A54" s="28" t="s">
        <v>594</v>
      </c>
      <c r="B54" s="27" t="s">
        <v>502</v>
      </c>
      <c r="C54" s="27" t="s">
        <v>272</v>
      </c>
      <c r="D54" s="27" t="s">
        <v>272</v>
      </c>
      <c r="E54" s="27" t="s">
        <v>272</v>
      </c>
      <c r="F54" s="27" t="s">
        <v>469</v>
      </c>
      <c r="G54" s="27" t="s">
        <v>469</v>
      </c>
    </row>
    <row r="55" spans="1:11" x14ac:dyDescent="0.15">
      <c r="A55" s="30" t="s">
        <v>595</v>
      </c>
      <c r="B55" s="27" t="s">
        <v>368</v>
      </c>
    </row>
    <row r="56" spans="1:11" x14ac:dyDescent="0.15">
      <c r="A56" s="30" t="s">
        <v>596</v>
      </c>
      <c r="B56" s="27" t="s">
        <v>437</v>
      </c>
      <c r="C56" s="27" t="s">
        <v>437</v>
      </c>
      <c r="D56" s="27" t="s">
        <v>437</v>
      </c>
      <c r="E56" s="27" t="s">
        <v>437</v>
      </c>
      <c r="F56" s="27" t="s">
        <v>437</v>
      </c>
      <c r="G56" s="27" t="s">
        <v>437</v>
      </c>
      <c r="H56" s="27" t="s">
        <v>437</v>
      </c>
      <c r="I56" s="27" t="s">
        <v>437</v>
      </c>
      <c r="J56" s="27" t="s">
        <v>437</v>
      </c>
      <c r="K56" s="27" t="s">
        <v>437</v>
      </c>
    </row>
    <row r="57" spans="1:11" x14ac:dyDescent="0.15">
      <c r="A57" s="30" t="s">
        <v>597</v>
      </c>
      <c r="B57" s="27" t="s">
        <v>416</v>
      </c>
      <c r="C57" s="27" t="s">
        <v>416</v>
      </c>
      <c r="D57" s="27" t="s">
        <v>416</v>
      </c>
      <c r="E57" s="27" t="s">
        <v>416</v>
      </c>
      <c r="F57" s="27" t="s">
        <v>416</v>
      </c>
      <c r="G57" s="27" t="s">
        <v>416</v>
      </c>
      <c r="H57" s="27" t="s">
        <v>416</v>
      </c>
      <c r="I57" s="27" t="s">
        <v>416</v>
      </c>
      <c r="J57" s="27" t="s">
        <v>416</v>
      </c>
    </row>
    <row r="58" spans="1:11" x14ac:dyDescent="0.15">
      <c r="A58" s="30" t="s">
        <v>598</v>
      </c>
      <c r="B58" s="27" t="s">
        <v>228</v>
      </c>
      <c r="C58" s="27" t="s">
        <v>228</v>
      </c>
      <c r="D58" s="27" t="s">
        <v>228</v>
      </c>
    </row>
    <row r="59" spans="1:11" x14ac:dyDescent="0.15">
      <c r="A59" s="30" t="s">
        <v>599</v>
      </c>
      <c r="B59" s="27" t="s">
        <v>228</v>
      </c>
      <c r="C59" s="27" t="s">
        <v>228</v>
      </c>
      <c r="D59" s="27" t="s">
        <v>228</v>
      </c>
      <c r="E59" s="27" t="s">
        <v>228</v>
      </c>
      <c r="F59" s="27" t="s">
        <v>228</v>
      </c>
      <c r="G59" s="27" t="s">
        <v>228</v>
      </c>
      <c r="H59" s="27" t="s">
        <v>228</v>
      </c>
    </row>
    <row r="60" spans="1:11" x14ac:dyDescent="0.15">
      <c r="A60" s="30" t="s">
        <v>600</v>
      </c>
      <c r="B60" s="27" t="s">
        <v>85</v>
      </c>
      <c r="C60" s="27" t="s">
        <v>85</v>
      </c>
      <c r="D60" s="27" t="s">
        <v>85</v>
      </c>
      <c r="E60" s="27" t="s">
        <v>85</v>
      </c>
      <c r="F60" s="27" t="s">
        <v>85</v>
      </c>
    </row>
    <row r="61" spans="1:11" x14ac:dyDescent="0.15">
      <c r="A61" s="30" t="s">
        <v>601</v>
      </c>
      <c r="B61" s="27" t="s">
        <v>485</v>
      </c>
      <c r="C61" s="27" t="s">
        <v>485</v>
      </c>
      <c r="D61" s="27" t="s">
        <v>485</v>
      </c>
      <c r="E61" s="27" t="s">
        <v>485</v>
      </c>
      <c r="F61" s="27" t="s">
        <v>485</v>
      </c>
      <c r="G61" s="27" t="s">
        <v>485</v>
      </c>
      <c r="H61" s="27" t="s">
        <v>485</v>
      </c>
      <c r="I61" s="27" t="s">
        <v>485</v>
      </c>
      <c r="J61" s="27" t="s">
        <v>212</v>
      </c>
    </row>
    <row r="62" spans="1:11" x14ac:dyDescent="0.15">
      <c r="A62" s="30" t="s">
        <v>602</v>
      </c>
      <c r="B62" s="12" t="s">
        <v>503</v>
      </c>
    </row>
    <row r="63" spans="1:11" x14ac:dyDescent="0.15">
      <c r="A63" s="30" t="s">
        <v>603</v>
      </c>
      <c r="B63" s="27" t="s">
        <v>75</v>
      </c>
    </row>
    <row r="64" spans="1:11" x14ac:dyDescent="0.15">
      <c r="A64" s="30" t="s">
        <v>604</v>
      </c>
      <c r="B64" s="27" t="s">
        <v>85</v>
      </c>
      <c r="C64" s="27" t="s">
        <v>85</v>
      </c>
      <c r="D64" s="27" t="s">
        <v>85</v>
      </c>
      <c r="E64" s="27" t="s">
        <v>140</v>
      </c>
    </row>
    <row r="65" spans="1:24" x14ac:dyDescent="0.15">
      <c r="A65" s="30" t="s">
        <v>605</v>
      </c>
      <c r="B65" s="27" t="s">
        <v>504</v>
      </c>
      <c r="C65" s="27" t="s">
        <v>736</v>
      </c>
      <c r="D65" s="27" t="s">
        <v>736</v>
      </c>
      <c r="E65" s="27" t="s">
        <v>736</v>
      </c>
      <c r="F65" s="27" t="s">
        <v>736</v>
      </c>
      <c r="G65" s="27" t="s">
        <v>140</v>
      </c>
    </row>
    <row r="66" spans="1:24" x14ac:dyDescent="0.15">
      <c r="A66" s="5" t="s">
        <v>733</v>
      </c>
      <c r="B66" s="27" t="s">
        <v>702</v>
      </c>
      <c r="C66" s="27" t="s">
        <v>702</v>
      </c>
      <c r="D66" s="27" t="s">
        <v>702</v>
      </c>
      <c r="E66" s="27" t="s">
        <v>702</v>
      </c>
      <c r="F66" s="27" t="s">
        <v>703</v>
      </c>
      <c r="G66" s="27" t="s">
        <v>704</v>
      </c>
      <c r="H66" s="27" t="s">
        <v>698</v>
      </c>
      <c r="I66" s="27" t="s">
        <v>698</v>
      </c>
      <c r="J66" s="27" t="s">
        <v>698</v>
      </c>
      <c r="K66" s="27" t="s">
        <v>699</v>
      </c>
      <c r="L66" s="27" t="s">
        <v>701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</row>
    <row r="67" spans="1:24" x14ac:dyDescent="0.15">
      <c r="A67" s="5" t="s">
        <v>739</v>
      </c>
      <c r="B67" s="27" t="s">
        <v>736</v>
      </c>
      <c r="C67" s="27" t="s">
        <v>736</v>
      </c>
      <c r="D67" s="27" t="s">
        <v>736</v>
      </c>
      <c r="E67" s="27">
        <v>0</v>
      </c>
      <c r="F67" s="27">
        <v>0</v>
      </c>
      <c r="G67" s="27">
        <v>0</v>
      </c>
      <c r="H67" s="27">
        <v>0</v>
      </c>
      <c r="I67" s="27">
        <v>0</v>
      </c>
      <c r="J67" s="27">
        <v>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</row>
    <row r="68" spans="1:24" x14ac:dyDescent="0.15">
      <c r="A68" s="5" t="s">
        <v>735</v>
      </c>
      <c r="B68" s="27" t="s">
        <v>730</v>
      </c>
      <c r="C68" s="27" t="s">
        <v>730</v>
      </c>
      <c r="D68" s="27" t="s">
        <v>730</v>
      </c>
      <c r="E68" s="27" t="s">
        <v>730</v>
      </c>
      <c r="F68" s="27" t="s">
        <v>730</v>
      </c>
      <c r="G68" s="27">
        <v>0</v>
      </c>
      <c r="H68" s="27">
        <v>0</v>
      </c>
      <c r="I68" s="27">
        <v>0</v>
      </c>
      <c r="J68" s="27">
        <v>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</row>
    <row r="69" spans="1:24" x14ac:dyDescent="0.15">
      <c r="A69" s="5" t="s">
        <v>740</v>
      </c>
      <c r="B69" s="27" t="s">
        <v>741</v>
      </c>
      <c r="C69" s="27" t="s">
        <v>741</v>
      </c>
      <c r="D69" s="27" t="s">
        <v>742</v>
      </c>
      <c r="E69" s="27" t="s">
        <v>742</v>
      </c>
      <c r="F69" s="27" t="s">
        <v>742</v>
      </c>
      <c r="G69" s="27" t="s">
        <v>742</v>
      </c>
      <c r="H69" s="27">
        <v>0</v>
      </c>
      <c r="I69" s="27">
        <v>0</v>
      </c>
      <c r="J69" s="27">
        <v>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</row>
    <row r="70" spans="1:24" x14ac:dyDescent="0.15">
      <c r="A70" s="5" t="s">
        <v>734</v>
      </c>
      <c r="B70" s="27" t="s">
        <v>316</v>
      </c>
      <c r="C70" s="27" t="s">
        <v>316</v>
      </c>
      <c r="D70" s="27" t="s">
        <v>316</v>
      </c>
      <c r="E70" s="27">
        <v>0</v>
      </c>
      <c r="F70" s="27">
        <v>0</v>
      </c>
      <c r="G70" s="27">
        <v>0</v>
      </c>
      <c r="H70" s="27">
        <v>0</v>
      </c>
      <c r="I70" s="27">
        <v>0</v>
      </c>
      <c r="J70" s="27">
        <v>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</row>
    <row r="71" spans="1:24" x14ac:dyDescent="0.15">
      <c r="A71" s="5" t="s">
        <v>743</v>
      </c>
      <c r="B71" s="27" t="s">
        <v>745</v>
      </c>
      <c r="C71" s="27">
        <v>0</v>
      </c>
      <c r="D71" s="27">
        <v>0</v>
      </c>
      <c r="E71" s="27">
        <v>0</v>
      </c>
      <c r="F71" s="27">
        <v>0</v>
      </c>
      <c r="G71" s="27">
        <v>0</v>
      </c>
      <c r="H71" s="27">
        <v>0</v>
      </c>
      <c r="I71" s="27">
        <v>0</v>
      </c>
      <c r="J71" s="27">
        <v>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</row>
    <row r="72" spans="1:24" x14ac:dyDescent="0.15">
      <c r="A72" s="5" t="s">
        <v>757</v>
      </c>
      <c r="B72" s="27" t="s">
        <v>391</v>
      </c>
      <c r="C72" s="27">
        <v>0</v>
      </c>
      <c r="D72" s="27">
        <v>0</v>
      </c>
      <c r="E72" s="27">
        <v>0</v>
      </c>
      <c r="F72" s="27">
        <v>0</v>
      </c>
      <c r="G72" s="27">
        <v>0</v>
      </c>
      <c r="H72" s="27">
        <v>0</v>
      </c>
      <c r="I72" s="27">
        <v>0</v>
      </c>
      <c r="J72" s="27">
        <v>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</row>
    <row r="73" spans="1:24" x14ac:dyDescent="0.15">
      <c r="A73" s="5" t="s">
        <v>763</v>
      </c>
      <c r="B73" s="27" t="s">
        <v>759</v>
      </c>
      <c r="C73" s="27" t="s">
        <v>289</v>
      </c>
      <c r="D73" s="27" t="s">
        <v>289</v>
      </c>
      <c r="E73" s="27" t="s">
        <v>289</v>
      </c>
      <c r="F73" s="27">
        <v>0</v>
      </c>
      <c r="G73" s="27">
        <v>0</v>
      </c>
      <c r="H73" s="27">
        <v>0</v>
      </c>
      <c r="I73" s="27">
        <v>0</v>
      </c>
      <c r="J73" s="27">
        <v>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</row>
    <row r="74" spans="1:24" x14ac:dyDescent="0.15">
      <c r="A74" s="5" t="s">
        <v>764</v>
      </c>
      <c r="B74" s="27" t="s">
        <v>761</v>
      </c>
      <c r="C74" s="27" t="s">
        <v>762</v>
      </c>
      <c r="D74" s="27">
        <v>0</v>
      </c>
      <c r="E74" s="27">
        <v>0</v>
      </c>
      <c r="F74" s="27">
        <v>0</v>
      </c>
      <c r="G74" s="27">
        <v>0</v>
      </c>
      <c r="H74" s="27">
        <v>0</v>
      </c>
      <c r="I74" s="27">
        <v>0</v>
      </c>
      <c r="J74" s="27">
        <v>0</v>
      </c>
      <c r="K74" s="27">
        <v>0</v>
      </c>
      <c r="L74" s="27">
        <v>0</v>
      </c>
      <c r="M74" s="27">
        <v>0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  <c r="T74" s="27">
        <v>0</v>
      </c>
      <c r="U74" s="27">
        <v>0</v>
      </c>
      <c r="V74" s="27">
        <v>0</v>
      </c>
      <c r="W74" s="27">
        <v>0</v>
      </c>
      <c r="X74" s="27">
        <v>0</v>
      </c>
    </row>
    <row r="75" spans="1:24" x14ac:dyDescent="0.15">
      <c r="A75" s="5" t="s">
        <v>765</v>
      </c>
      <c r="B75" s="27" t="s">
        <v>766</v>
      </c>
      <c r="C75" s="27">
        <v>0</v>
      </c>
      <c r="D75" s="27">
        <v>0</v>
      </c>
      <c r="E75" s="27">
        <v>0</v>
      </c>
      <c r="F75" s="27">
        <v>0</v>
      </c>
      <c r="G75" s="27">
        <v>0</v>
      </c>
      <c r="H75" s="27">
        <v>0</v>
      </c>
      <c r="I75" s="27">
        <v>0</v>
      </c>
      <c r="J75" s="27">
        <v>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</row>
    <row r="76" spans="1:24" x14ac:dyDescent="0.15">
      <c r="A76" s="5" t="s">
        <v>854</v>
      </c>
      <c r="B76" s="27" t="s">
        <v>809</v>
      </c>
      <c r="C76" s="27" t="s">
        <v>807</v>
      </c>
      <c r="D76" s="27" t="s">
        <v>807</v>
      </c>
      <c r="E76" s="27">
        <v>0</v>
      </c>
      <c r="F76" s="27">
        <v>0</v>
      </c>
      <c r="G76" s="27">
        <v>0</v>
      </c>
      <c r="H76" s="27">
        <v>0</v>
      </c>
      <c r="I76" s="27">
        <v>0</v>
      </c>
      <c r="J76" s="27">
        <v>0</v>
      </c>
      <c r="K76" s="27">
        <v>0</v>
      </c>
      <c r="L76" s="27">
        <v>0</v>
      </c>
      <c r="M76" s="27">
        <v>0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7">
        <v>0</v>
      </c>
      <c r="U76" s="27">
        <v>0</v>
      </c>
      <c r="V76" s="27">
        <v>0</v>
      </c>
      <c r="W76" s="27">
        <v>0</v>
      </c>
      <c r="X76" s="27">
        <v>0</v>
      </c>
    </row>
    <row r="77" spans="1:24" x14ac:dyDescent="0.15">
      <c r="A77" s="5" t="s">
        <v>855</v>
      </c>
      <c r="B77" s="27" t="s">
        <v>802</v>
      </c>
      <c r="C77" s="27" t="s">
        <v>802</v>
      </c>
      <c r="D77" s="27" t="s">
        <v>802</v>
      </c>
      <c r="E77" s="27" t="s">
        <v>802</v>
      </c>
      <c r="F77" s="27" t="s">
        <v>802</v>
      </c>
      <c r="G77" s="27" t="s">
        <v>802</v>
      </c>
      <c r="H77" s="27" t="s">
        <v>802</v>
      </c>
      <c r="I77" s="27" t="s">
        <v>802</v>
      </c>
      <c r="J77" s="27">
        <v>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</row>
    <row r="78" spans="1:24" x14ac:dyDescent="0.15">
      <c r="A78" s="5" t="s">
        <v>853</v>
      </c>
      <c r="B78" s="27" t="s">
        <v>852</v>
      </c>
      <c r="C78" s="27" t="s">
        <v>819</v>
      </c>
      <c r="D78" s="27" t="s">
        <v>822</v>
      </c>
      <c r="E78" s="27" t="s">
        <v>823</v>
      </c>
      <c r="F78" s="27">
        <v>0</v>
      </c>
      <c r="G78" s="27">
        <v>0</v>
      </c>
      <c r="H78" s="27">
        <v>0</v>
      </c>
      <c r="I78" s="27">
        <v>0</v>
      </c>
      <c r="J78" s="27">
        <v>0</v>
      </c>
      <c r="K78" s="27">
        <v>0</v>
      </c>
      <c r="L78" s="27">
        <v>0</v>
      </c>
      <c r="M78" s="27">
        <v>0</v>
      </c>
      <c r="N78" s="27">
        <v>0</v>
      </c>
      <c r="O78" s="27">
        <v>0</v>
      </c>
      <c r="P78" s="27">
        <v>0</v>
      </c>
      <c r="Q78" s="27">
        <v>0</v>
      </c>
      <c r="R78" s="27">
        <v>0</v>
      </c>
      <c r="S78" s="27">
        <v>0</v>
      </c>
      <c r="T78" s="27">
        <v>0</v>
      </c>
      <c r="U78" s="27">
        <v>0</v>
      </c>
      <c r="V78" s="27">
        <v>0</v>
      </c>
      <c r="W78" s="27">
        <v>0</v>
      </c>
      <c r="X78" s="27">
        <v>0</v>
      </c>
    </row>
    <row r="79" spans="1:24" x14ac:dyDescent="0.15">
      <c r="A79" s="5" t="s">
        <v>861</v>
      </c>
      <c r="B79" s="27" t="s">
        <v>843</v>
      </c>
      <c r="C79" s="27" t="s">
        <v>370</v>
      </c>
      <c r="D79" s="27" t="s">
        <v>370</v>
      </c>
      <c r="E79" s="27" t="s">
        <v>370</v>
      </c>
      <c r="F79" s="27" t="s">
        <v>370</v>
      </c>
      <c r="G79" s="27" t="s">
        <v>370</v>
      </c>
      <c r="H79" s="27" t="s">
        <v>370</v>
      </c>
      <c r="I79" s="27">
        <v>0</v>
      </c>
      <c r="J79" s="27">
        <v>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</row>
    <row r="80" spans="1:24" x14ac:dyDescent="0.15">
      <c r="A80" s="5" t="s">
        <v>862</v>
      </c>
      <c r="B80" s="27" t="s">
        <v>860</v>
      </c>
      <c r="C80" s="27" t="s">
        <v>67</v>
      </c>
      <c r="D80" s="27">
        <v>0</v>
      </c>
      <c r="E80" s="27">
        <v>0</v>
      </c>
      <c r="F80" s="27">
        <v>0</v>
      </c>
      <c r="G80" s="27">
        <v>0</v>
      </c>
      <c r="H80" s="27">
        <v>0</v>
      </c>
      <c r="I80" s="27">
        <v>0</v>
      </c>
      <c r="J80" s="27">
        <v>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</row>
    <row r="81" spans="1:24" x14ac:dyDescent="0.15">
      <c r="A81" s="5" t="s">
        <v>863</v>
      </c>
      <c r="B81" s="27" t="s">
        <v>850</v>
      </c>
      <c r="C81" s="27" t="s">
        <v>843</v>
      </c>
      <c r="D81" s="27" t="s">
        <v>370</v>
      </c>
      <c r="E81" s="27" t="s">
        <v>370</v>
      </c>
      <c r="F81" s="27" t="s">
        <v>370</v>
      </c>
      <c r="G81" s="27">
        <v>0</v>
      </c>
      <c r="H81" s="27">
        <v>0</v>
      </c>
      <c r="I81" s="27">
        <v>0</v>
      </c>
      <c r="J81" s="27">
        <v>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</row>
    <row r="82" spans="1:24" x14ac:dyDescent="0.15">
      <c r="A82" s="5" t="s">
        <v>859</v>
      </c>
      <c r="B82" s="27" t="s">
        <v>864</v>
      </c>
      <c r="C82" s="27" t="s">
        <v>370</v>
      </c>
      <c r="D82" s="27" t="s">
        <v>370</v>
      </c>
      <c r="E82" s="27" t="s">
        <v>370</v>
      </c>
      <c r="F82" s="27" t="s">
        <v>370</v>
      </c>
      <c r="G82" s="27" t="s">
        <v>370</v>
      </c>
      <c r="H82" s="27" t="s">
        <v>370</v>
      </c>
      <c r="I82" s="27" t="s">
        <v>370</v>
      </c>
      <c r="J82" s="27" t="s">
        <v>370</v>
      </c>
      <c r="K82" s="27" t="s">
        <v>370</v>
      </c>
      <c r="L82" s="27">
        <v>0</v>
      </c>
      <c r="M82" s="27">
        <v>0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</row>
    <row r="83" spans="1:24" x14ac:dyDescent="0.15">
      <c r="A83" s="5" t="s">
        <v>872</v>
      </c>
      <c r="B83" s="27" t="s">
        <v>872</v>
      </c>
      <c r="C83" s="27">
        <v>0</v>
      </c>
      <c r="D83" s="27">
        <v>0</v>
      </c>
      <c r="E83" s="27">
        <v>0</v>
      </c>
      <c r="F83" s="27">
        <v>0</v>
      </c>
      <c r="G83" s="27">
        <v>0</v>
      </c>
      <c r="H83" s="27">
        <v>0</v>
      </c>
      <c r="I83" s="27">
        <v>0</v>
      </c>
      <c r="J83" s="27">
        <v>0</v>
      </c>
      <c r="K83" s="27">
        <v>0</v>
      </c>
      <c r="L83" s="27">
        <v>0</v>
      </c>
      <c r="M83" s="27">
        <v>0</v>
      </c>
      <c r="N83" s="27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</row>
    <row r="84" spans="1:24" x14ac:dyDescent="0.15">
      <c r="A84" s="5" t="s">
        <v>900</v>
      </c>
      <c r="B84" s="27" t="s">
        <v>879</v>
      </c>
      <c r="C84" s="27" t="s">
        <v>877</v>
      </c>
      <c r="D84" s="27" t="s">
        <v>877</v>
      </c>
      <c r="E84" s="27" t="s">
        <v>890</v>
      </c>
      <c r="F84" s="27" t="s">
        <v>891</v>
      </c>
      <c r="G84" s="27" t="s">
        <v>892</v>
      </c>
      <c r="H84" s="27" t="s">
        <v>893</v>
      </c>
      <c r="I84" s="27" t="s">
        <v>894</v>
      </c>
      <c r="J84" s="27">
        <v>0</v>
      </c>
      <c r="K84" s="27">
        <v>0</v>
      </c>
      <c r="L84" s="27">
        <v>0</v>
      </c>
      <c r="M84" s="27">
        <v>0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</row>
    <row r="85" spans="1:24" x14ac:dyDescent="0.15">
      <c r="A85" s="5" t="s">
        <v>899</v>
      </c>
      <c r="B85" s="27" t="s">
        <v>879</v>
      </c>
      <c r="C85" s="27" t="s">
        <v>877</v>
      </c>
      <c r="D85" s="27" t="s">
        <v>877</v>
      </c>
      <c r="E85" s="27" t="s">
        <v>887</v>
      </c>
      <c r="F85" s="27" t="s">
        <v>887</v>
      </c>
      <c r="G85" s="27" t="s">
        <v>893</v>
      </c>
      <c r="H85" s="27" t="s">
        <v>890</v>
      </c>
      <c r="I85" s="27" t="s">
        <v>890</v>
      </c>
      <c r="J85" s="27">
        <v>0</v>
      </c>
      <c r="K85" s="27">
        <v>0</v>
      </c>
      <c r="L85" s="27">
        <v>0</v>
      </c>
      <c r="M85" s="27">
        <v>0</v>
      </c>
      <c r="N85" s="27">
        <v>0</v>
      </c>
      <c r="O85" s="27">
        <v>0</v>
      </c>
      <c r="P85" s="27">
        <v>0</v>
      </c>
      <c r="Q85" s="27">
        <v>0</v>
      </c>
      <c r="R85" s="27">
        <v>0</v>
      </c>
      <c r="S85" s="27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</row>
    <row r="86" spans="1:24" x14ac:dyDescent="0.15">
      <c r="A86" s="5" t="s">
        <v>902</v>
      </c>
      <c r="B86" s="27" t="s">
        <v>864</v>
      </c>
      <c r="C86" s="27" t="s">
        <v>370</v>
      </c>
      <c r="D86" s="27" t="s">
        <v>370</v>
      </c>
      <c r="E86" s="27" t="s">
        <v>370</v>
      </c>
      <c r="F86" s="27" t="s">
        <v>370</v>
      </c>
      <c r="G86" s="27" t="s">
        <v>370</v>
      </c>
      <c r="H86" s="27" t="s">
        <v>370</v>
      </c>
      <c r="I86" s="27" t="s">
        <v>370</v>
      </c>
      <c r="J86" s="27">
        <v>0</v>
      </c>
      <c r="K86" s="27">
        <v>0</v>
      </c>
      <c r="L86" s="27">
        <v>0</v>
      </c>
      <c r="M86" s="27">
        <v>0</v>
      </c>
      <c r="N86" s="27">
        <v>0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</row>
    <row r="87" spans="1:24" x14ac:dyDescent="0.15">
      <c r="A87" s="5" t="s">
        <v>909</v>
      </c>
      <c r="B87" s="27" t="s">
        <v>904</v>
      </c>
      <c r="C87" s="27" t="s">
        <v>904</v>
      </c>
      <c r="D87" s="27" t="s">
        <v>892</v>
      </c>
      <c r="E87" s="27" t="s">
        <v>892</v>
      </c>
      <c r="F87" s="27" t="s">
        <v>892</v>
      </c>
      <c r="G87" s="27">
        <v>0</v>
      </c>
      <c r="H87" s="27">
        <v>0</v>
      </c>
      <c r="I87" s="27">
        <v>0</v>
      </c>
      <c r="J87" s="27">
        <v>0</v>
      </c>
      <c r="K87" s="27">
        <v>0</v>
      </c>
      <c r="L87" s="27">
        <v>0</v>
      </c>
      <c r="M87" s="27">
        <v>0</v>
      </c>
      <c r="N87" s="27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</row>
    <row r="88" spans="1:24" x14ac:dyDescent="0.15">
      <c r="A88" s="5" t="s">
        <v>913</v>
      </c>
      <c r="B88" s="27" t="s">
        <v>903</v>
      </c>
      <c r="C88" s="27" t="s">
        <v>903</v>
      </c>
      <c r="D88" s="27" t="s">
        <v>914</v>
      </c>
      <c r="E88" s="27" t="s">
        <v>877</v>
      </c>
      <c r="F88" s="27" t="s">
        <v>877</v>
      </c>
      <c r="G88" s="27" t="s">
        <v>890</v>
      </c>
      <c r="H88" s="27" t="s">
        <v>890</v>
      </c>
      <c r="I88" s="27" t="s">
        <v>891</v>
      </c>
      <c r="J88" s="27" t="s">
        <v>891</v>
      </c>
      <c r="K88" s="27">
        <v>0</v>
      </c>
      <c r="L88" s="27">
        <v>0</v>
      </c>
      <c r="M88" s="27">
        <v>0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</row>
    <row r="89" spans="1:24" x14ac:dyDescent="0.15">
      <c r="A89" s="5" t="s">
        <v>910</v>
      </c>
      <c r="B89" s="27" t="s">
        <v>911</v>
      </c>
      <c r="C89" s="27" t="s">
        <v>370</v>
      </c>
      <c r="D89" s="27" t="s">
        <v>370</v>
      </c>
      <c r="E89" s="27" t="s">
        <v>926</v>
      </c>
      <c r="F89" s="27" t="s">
        <v>926</v>
      </c>
      <c r="G89" s="27" t="s">
        <v>926</v>
      </c>
      <c r="H89" s="27" t="s">
        <v>926</v>
      </c>
      <c r="I89" s="27" t="s">
        <v>926</v>
      </c>
      <c r="J89" s="27" t="s">
        <v>926</v>
      </c>
      <c r="K89" s="27" t="s">
        <v>923</v>
      </c>
      <c r="L89" s="27" t="s">
        <v>470</v>
      </c>
      <c r="M89" s="27" t="s">
        <v>470</v>
      </c>
      <c r="N89" s="27" t="s">
        <v>470</v>
      </c>
      <c r="O89" s="27" t="s">
        <v>470</v>
      </c>
      <c r="P89" s="27">
        <v>0</v>
      </c>
      <c r="Q89" s="27">
        <v>0</v>
      </c>
      <c r="R89" s="27">
        <v>0</v>
      </c>
      <c r="S89" s="27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</row>
    <row r="90" spans="1:24" x14ac:dyDescent="0.15">
      <c r="A90" s="5" t="s">
        <v>932</v>
      </c>
      <c r="B90" s="27" t="s">
        <v>911</v>
      </c>
      <c r="C90" s="27" t="s">
        <v>370</v>
      </c>
      <c r="D90" s="27" t="s">
        <v>370</v>
      </c>
      <c r="E90" s="27" t="s">
        <v>370</v>
      </c>
      <c r="F90" s="27" t="s">
        <v>370</v>
      </c>
      <c r="G90" s="27" t="s">
        <v>926</v>
      </c>
      <c r="H90" s="27" t="s">
        <v>926</v>
      </c>
      <c r="I90" s="27" t="s">
        <v>926</v>
      </c>
      <c r="J90" s="27" t="s">
        <v>926</v>
      </c>
      <c r="K90" s="27" t="s">
        <v>923</v>
      </c>
      <c r="L90" s="27" t="s">
        <v>470</v>
      </c>
      <c r="M90" s="27" t="s">
        <v>470</v>
      </c>
      <c r="N90" s="27" t="s">
        <v>470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</row>
  </sheetData>
  <sheetProtection selectLockedCells="1" selectUnlockedCells="1"/>
  <conditionalFormatting sqref="B31 B62">
    <cfRule type="expression" dxfId="7" priority="5" stopIfTrue="1">
      <formula>NOT(ISERROR(SEARCH("DEAD",B31)))</formula>
    </cfRule>
  </conditionalFormatting>
  <conditionalFormatting sqref="B12:E12">
    <cfRule type="expression" dxfId="6" priority="6" stopIfTrue="1">
      <formula>NOT(ISERROR(SEARCH("DEAD",B12)))</formula>
    </cfRule>
  </conditionalFormatting>
  <conditionalFormatting sqref="B13:E13">
    <cfRule type="expression" dxfId="5" priority="7" stopIfTrue="1">
      <formula>NOT(ISERROR(SEARCH("DEAD",B13)))</formula>
    </cfRule>
  </conditionalFormatting>
  <conditionalFormatting sqref="D18">
    <cfRule type="expression" dxfId="4" priority="8" stopIfTrue="1">
      <formula>NOT(ISERROR(SEARCH("DEAD",D18)))</formula>
    </cfRule>
  </conditionalFormatting>
  <conditionalFormatting sqref="E18">
    <cfRule type="expression" dxfId="3" priority="9" stopIfTrue="1">
      <formula>NOT(ISERROR(SEARCH("DEAD",E18)))</formula>
    </cfRule>
  </conditionalFormatting>
  <conditionalFormatting sqref="D19">
    <cfRule type="expression" dxfId="2" priority="3" stopIfTrue="1">
      <formula>NOT(ISERROR(SEARCH("DEAD",D19)))</formula>
    </cfRule>
  </conditionalFormatting>
  <conditionalFormatting sqref="C19">
    <cfRule type="expression" dxfId="1" priority="1" stopIfTrue="1">
      <formula>NOT(ISERROR(SEARCH("DEAD",C19)))</formula>
    </cfRule>
  </conditionalFormatting>
  <conditionalFormatting sqref="D19">
    <cfRule type="expression" dxfId="0" priority="2" stopIfTrue="1">
      <formula>NOT(ISERROR(SEARCH("DEAD",D19)))</formula>
    </cfRule>
  </conditionalFormatting>
  <dataValidations count="1">
    <dataValidation type="list" allowBlank="1" showErrorMessage="1" sqref="B19:K19 B5:U18 B32:B61 B3:X4 D20:E64 B63:B81 D66:E81 F88 D83:E32644 B83:B32644">
      <formula1>_CreatureNames</formula1>
      <formula2>0</formula2>
    </dataValidation>
  </dataValidations>
  <pageMargins left="0.7" right="0.7" top="0.75" bottom="0.75" header="0.51180555555555551" footer="0.51180555555555551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Tracker</vt:lpstr>
      <vt:lpstr>EncounterBuilder</vt:lpstr>
      <vt:lpstr>PartyInfo</vt:lpstr>
      <vt:lpstr>RandomEncounterTables</vt:lpstr>
      <vt:lpstr>GeneralEncounterTables</vt:lpstr>
      <vt:lpstr>CreatureInfo</vt:lpstr>
      <vt:lpstr>EncounterList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2016-10-15T01:04:05Z</dcterms:created>
  <dcterms:modified xsi:type="dcterms:W3CDTF">2018-11-22T18:02:27Z</dcterms:modified>
</cp:coreProperties>
</file>
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28109" codeName="{51196F13-6AD0-C1B8-E2B4-A1F9AE17003E}"/>
  <workbookPr codeName="ThisWorkbook"/>
  <mc:AlternateContent xmlns:mc="http://schemas.openxmlformats.org/markup-compatibility/2006">
    <mc:Choice Requires="x15">
      <x15ac:absPath xmlns:x15ac="http://schemas.microsoft.com/office/spreadsheetml/2010/11/ac" url="/Volumes/Green1gUSB/"/>
    </mc:Choice>
  </mc:AlternateContent>
  <bookViews>
    <workbookView xWindow="0" yWindow="460" windowWidth="38400" windowHeight="23440" tabRatio="930"/>
  </bookViews>
  <sheets>
    <sheet name="Generator" sheetId="3" r:id="rId1"/>
    <sheet name="Add a New Table" sheetId="1" r:id="rId2"/>
    <sheet name="Name Tables" sheetId="4" r:id="rId3"/>
    <sheet name="First Impression Tables" sheetId="5" r:id="rId4"/>
    <sheet name="Class Tables" sheetId="6" r:id="rId5"/>
    <sheet name="Ethos Table" sheetId="7" r:id="rId6"/>
    <sheet name="Personality Tables" sheetId="8" r:id="rId7"/>
    <sheet name="Background Tables" sheetId="9" r:id="rId8"/>
    <sheet name="Early Life Tables" sheetId="10" r:id="rId9"/>
    <sheet name="Life Events Tables" sheetId="11" r:id="rId10"/>
    <sheet name="Image URL Tables" sheetId="12" r:id="rId11"/>
    <sheet name="Stat Block Tables" sheetId="13" r:id="rId12"/>
    <sheet name="Orc Tables" sheetId="14" r:id="rId13"/>
    <sheet name="Demon Tables" sheetId="15" r:id="rId14"/>
    <sheet name="Cult Tables" sheetId="16" r:id="rId15"/>
    <sheet name="Forgotten Realms Tables" sheetId="17" r:id="rId16"/>
    <sheet name="References" sheetId="18" r:id="rId17"/>
  </sheets>
  <definedNames>
    <definedName name="_MarkdownText">Generator!$N$1:$N$36</definedName>
    <definedName name="_xlnm.Print_Area" localSheetId="0">Generator!$A$2:$K$34</definedName>
  </definedNames>
  <calcPr calcId="150001" calcMode="manual" concurrentCalc="0"/>
  <extLst>
    <ext xmlns:x14="http://schemas.microsoft.com/office/spreadsheetml/2009/9/main" uri="{79F54976-1DA5-4618-B147-4CDE4B953A38}">
      <x14:workbookPr defaultImageDpi="330"/>
    </ext>
    <ext xmlns:mx="http://schemas.microsoft.com/office/mac/excel/2008/main" uri="{7523E5D3-25F3-A5E0-1632-64F254C22452}">
      <mx:ArchID Flags="2"/>
    </ext>
    <ext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2" i="5" l="1"/>
  <c r="A3" i="5"/>
  <c r="D4" i="3"/>
  <c r="E4" i="3"/>
  <c r="H4" i="3"/>
  <c r="J4" i="3"/>
  <c r="K4" i="3"/>
  <c r="A3" i="3"/>
  <c r="C3" i="3"/>
  <c r="A2" i="4"/>
  <c r="A3" i="4"/>
  <c r="A4" i="4"/>
  <c r="A5"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D3" i="3"/>
  <c r="E3" i="3"/>
  <c r="H3" i="3"/>
  <c r="C4" i="3"/>
  <c r="C5" i="3"/>
  <c r="D5" i="3"/>
  <c r="E5" i="3"/>
  <c r="H5" i="3"/>
  <c r="C6" i="3"/>
  <c r="D6" i="3"/>
  <c r="E6" i="3"/>
  <c r="H6" i="3"/>
  <c r="C7" i="3"/>
  <c r="K2" i="5"/>
  <c r="K3" i="5"/>
  <c r="K4" i="5"/>
  <c r="K5" i="5"/>
  <c r="K6" i="5"/>
  <c r="K7" i="5"/>
  <c r="K8" i="5"/>
  <c r="K9" i="5"/>
  <c r="K10" i="5"/>
  <c r="K11" i="5"/>
  <c r="K12" i="5"/>
  <c r="K13" i="5"/>
  <c r="K14" i="5"/>
  <c r="K15" i="5"/>
  <c r="K16" i="5"/>
  <c r="K17" i="5"/>
  <c r="K18" i="5"/>
  <c r="K19" i="5"/>
  <c r="K20" i="5"/>
  <c r="K21" i="5"/>
  <c r="D7" i="3"/>
  <c r="E7" i="3"/>
  <c r="H7" i="3"/>
  <c r="C8" i="3"/>
  <c r="D8" i="3"/>
  <c r="E8" i="3"/>
  <c r="H8" i="3"/>
  <c r="C9" i="3"/>
  <c r="N2" i="5"/>
  <c r="N3" i="5"/>
  <c r="N4" i="5"/>
  <c r="N5" i="5"/>
  <c r="N6" i="5"/>
  <c r="N7" i="5"/>
  <c r="D9" i="3"/>
  <c r="E9" i="3"/>
  <c r="H9" i="3"/>
  <c r="C10" i="3"/>
  <c r="N10" i="5"/>
  <c r="N11" i="5"/>
  <c r="N12" i="5"/>
  <c r="N13" i="5"/>
  <c r="N14" i="5"/>
  <c r="N15" i="5"/>
  <c r="D10" i="3"/>
  <c r="E10" i="3"/>
  <c r="H10" i="3"/>
  <c r="C11" i="3"/>
  <c r="A2" i="6"/>
  <c r="A3" i="6"/>
  <c r="A4" i="6"/>
  <c r="A5" i="6"/>
  <c r="A6" i="6"/>
  <c r="A7" i="6"/>
  <c r="A8" i="6"/>
  <c r="A9" i="6"/>
  <c r="A10" i="6"/>
  <c r="A11" i="6"/>
  <c r="A12" i="6"/>
  <c r="A13" i="6"/>
  <c r="D11" i="3"/>
  <c r="E11" i="3"/>
  <c r="H11" i="3"/>
  <c r="C12" i="3"/>
  <c r="A2" i="7"/>
  <c r="A3" i="7"/>
  <c r="A4" i="7"/>
  <c r="A5" i="7"/>
  <c r="A6" i="7"/>
  <c r="A7" i="7"/>
  <c r="A8" i="7"/>
  <c r="D12" i="3"/>
  <c r="E12" i="3"/>
  <c r="H12" i="3"/>
  <c r="C13" i="3"/>
  <c r="A2" i="17"/>
  <c r="A3" i="17"/>
  <c r="A4" i="17"/>
  <c r="A5" i="17"/>
  <c r="A6" i="17"/>
  <c r="A7" i="17"/>
  <c r="A8" i="17"/>
  <c r="A9" i="17"/>
  <c r="A10" i="17"/>
  <c r="A11" i="17"/>
  <c r="A12" i="17"/>
  <c r="A13" i="17"/>
  <c r="A14" i="17"/>
  <c r="A15" i="17"/>
  <c r="A16" i="17"/>
  <c r="A17" i="17"/>
  <c r="A18" i="17"/>
  <c r="A19" i="17"/>
  <c r="A20" i="17"/>
  <c r="A21" i="17"/>
  <c r="A22" i="17"/>
  <c r="A23" i="17"/>
  <c r="A24" i="17"/>
  <c r="A25" i="17"/>
  <c r="A26" i="17"/>
  <c r="A27" i="17"/>
  <c r="A28" i="17"/>
  <c r="A29" i="17"/>
  <c r="A30" i="17"/>
  <c r="A31" i="17"/>
  <c r="A32" i="17"/>
  <c r="A33" i="17"/>
  <c r="A34" i="17"/>
  <c r="A35" i="17"/>
  <c r="A36" i="17"/>
  <c r="A37" i="17"/>
  <c r="A38" i="17"/>
  <c r="D13" i="3"/>
  <c r="E13" i="3"/>
  <c r="H13" i="3"/>
  <c r="C14" i="3"/>
  <c r="A2" i="8"/>
  <c r="A3" i="8"/>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102" i="8"/>
  <c r="A103" i="8"/>
  <c r="A104" i="8"/>
  <c r="A105" i="8"/>
  <c r="D14" i="3"/>
  <c r="E14" i="3"/>
  <c r="H14" i="3"/>
  <c r="C15" i="3"/>
  <c r="D15" i="3"/>
  <c r="E15" i="3"/>
  <c r="H15" i="3"/>
  <c r="C16" i="3"/>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16" i="3"/>
  <c r="E16" i="3"/>
  <c r="H16" i="3"/>
  <c r="C17" i="3"/>
  <c r="G2" i="8"/>
  <c r="G3"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D17" i="3"/>
  <c r="E17" i="3"/>
  <c r="H17" i="3"/>
  <c r="C18" i="3"/>
  <c r="J2" i="8"/>
  <c r="J3" i="8"/>
  <c r="J4" i="8"/>
  <c r="J5" i="8"/>
  <c r="J6" i="8"/>
  <c r="J7" i="8"/>
  <c r="J8" i="8"/>
  <c r="J9" i="8"/>
  <c r="J10" i="8"/>
  <c r="J11" i="8"/>
  <c r="J12" i="8"/>
  <c r="J13" i="8"/>
  <c r="J14" i="8"/>
  <c r="J15" i="8"/>
  <c r="J16" i="8"/>
  <c r="J17" i="8"/>
  <c r="J18" i="8"/>
  <c r="J19" i="8"/>
  <c r="J20" i="8"/>
  <c r="J21" i="8"/>
  <c r="J22" i="8"/>
  <c r="J23" i="8"/>
  <c r="J24" i="8"/>
  <c r="J25" i="8"/>
  <c r="J26" i="8"/>
  <c r="J27" i="8"/>
  <c r="J28" i="8"/>
  <c r="J29" i="8"/>
  <c r="J30" i="8"/>
  <c r="J31" i="8"/>
  <c r="J32" i="8"/>
  <c r="J33" i="8"/>
  <c r="J34" i="8"/>
  <c r="J35" i="8"/>
  <c r="J36" i="8"/>
  <c r="J37" i="8"/>
  <c r="J38" i="8"/>
  <c r="J39" i="8"/>
  <c r="J40" i="8"/>
  <c r="J41" i="8"/>
  <c r="J42" i="8"/>
  <c r="J43" i="8"/>
  <c r="J44" i="8"/>
  <c r="J45" i="8"/>
  <c r="J46" i="8"/>
  <c r="J47" i="8"/>
  <c r="J48" i="8"/>
  <c r="J49" i="8"/>
  <c r="J50" i="8"/>
  <c r="J51" i="8"/>
  <c r="J52" i="8"/>
  <c r="J53" i="8"/>
  <c r="J54" i="8"/>
  <c r="J55" i="8"/>
  <c r="J56" i="8"/>
  <c r="J57" i="8"/>
  <c r="J58" i="8"/>
  <c r="J59" i="8"/>
  <c r="J60" i="8"/>
  <c r="J61" i="8"/>
  <c r="J62" i="8"/>
  <c r="J63" i="8"/>
  <c r="J64" i="8"/>
  <c r="J65" i="8"/>
  <c r="J66" i="8"/>
  <c r="J67" i="8"/>
  <c r="J68" i="8"/>
  <c r="J69" i="8"/>
  <c r="J70" i="8"/>
  <c r="J71" i="8"/>
  <c r="J72" i="8"/>
  <c r="J73" i="8"/>
  <c r="J74" i="8"/>
  <c r="J75" i="8"/>
  <c r="J76" i="8"/>
  <c r="J77" i="8"/>
  <c r="J78" i="8"/>
  <c r="J79" i="8"/>
  <c r="D18" i="3"/>
  <c r="E18" i="3"/>
  <c r="H18" i="3"/>
  <c r="C19" i="3"/>
  <c r="M2" i="8"/>
  <c r="M3" i="8"/>
  <c r="M4" i="8"/>
  <c r="M5" i="8"/>
  <c r="M6" i="8"/>
  <c r="M7" i="8"/>
  <c r="M8" i="8"/>
  <c r="M9" i="8"/>
  <c r="M10" i="8"/>
  <c r="M11" i="8"/>
  <c r="M12" i="8"/>
  <c r="M13" i="8"/>
  <c r="M14" i="8"/>
  <c r="M15" i="8"/>
  <c r="M16" i="8"/>
  <c r="M17" i="8"/>
  <c r="M18" i="8"/>
  <c r="M19" i="8"/>
  <c r="M20" i="8"/>
  <c r="M21" i="8"/>
  <c r="D19" i="3"/>
  <c r="E19" i="3"/>
  <c r="H19" i="3"/>
  <c r="C20" i="3"/>
  <c r="P2" i="8"/>
  <c r="P3" i="8"/>
  <c r="P4" i="8"/>
  <c r="P5" i="8"/>
  <c r="P6" i="8"/>
  <c r="P7" i="8"/>
  <c r="P8" i="8"/>
  <c r="P9" i="8"/>
  <c r="P10" i="8"/>
  <c r="P11" i="8"/>
  <c r="P12" i="8"/>
  <c r="P13" i="8"/>
  <c r="P14" i="8"/>
  <c r="P15" i="8"/>
  <c r="P16" i="8"/>
  <c r="P17" i="8"/>
  <c r="P18" i="8"/>
  <c r="P19" i="8"/>
  <c r="P20" i="8"/>
  <c r="P21" i="8"/>
  <c r="P22" i="8"/>
  <c r="P23" i="8"/>
  <c r="D20" i="3"/>
  <c r="E20" i="3"/>
  <c r="H20" i="3"/>
  <c r="C21" i="3"/>
  <c r="S2" i="8"/>
  <c r="S3" i="8"/>
  <c r="S4" i="8"/>
  <c r="S5" i="8"/>
  <c r="S6" i="8"/>
  <c r="S7" i="8"/>
  <c r="S8" i="8"/>
  <c r="S9" i="8"/>
  <c r="S10" i="8"/>
  <c r="S11" i="8"/>
  <c r="S12" i="8"/>
  <c r="S13" i="8"/>
  <c r="D21" i="3"/>
  <c r="E21" i="3"/>
  <c r="H21" i="3"/>
  <c r="C22" i="3"/>
  <c r="D22" i="3"/>
  <c r="E22" i="3"/>
  <c r="H22" i="3"/>
  <c r="C23" i="3"/>
  <c r="A2" i="9"/>
  <c r="A3" i="9"/>
  <c r="A4" i="9"/>
  <c r="A5" i="9"/>
  <c r="A6" i="9"/>
  <c r="A7" i="9"/>
  <c r="A8" i="9"/>
  <c r="A9" i="9"/>
  <c r="A10" i="9"/>
  <c r="A11" i="9"/>
  <c r="A12" i="9"/>
  <c r="A13" i="9"/>
  <c r="A14" i="9"/>
  <c r="D23" i="3"/>
  <c r="E23" i="3"/>
  <c r="H23" i="3"/>
  <c r="J23" i="3"/>
  <c r="K23" i="3"/>
  <c r="A24" i="3"/>
  <c r="C24" i="3"/>
  <c r="G2" i="9"/>
  <c r="G3" i="9"/>
  <c r="G4" i="9"/>
  <c r="G5" i="9"/>
  <c r="G6" i="9"/>
  <c r="G7" i="9"/>
  <c r="D42" i="9"/>
  <c r="D43" i="9"/>
  <c r="D44" i="9"/>
  <c r="D45" i="9"/>
  <c r="D46" i="9"/>
  <c r="D47" i="9"/>
  <c r="D24" i="3"/>
  <c r="E24" i="3"/>
  <c r="H24" i="3"/>
  <c r="C25" i="3"/>
  <c r="K2" i="11"/>
  <c r="K3" i="11"/>
  <c r="K4" i="11"/>
  <c r="K5" i="11"/>
  <c r="K6" i="11"/>
  <c r="K7" i="11"/>
  <c r="K8" i="11"/>
  <c r="D25" i="3"/>
  <c r="E25" i="3"/>
  <c r="H25" i="3"/>
  <c r="C26" i="3"/>
  <c r="D26" i="3"/>
  <c r="E26" i="3"/>
  <c r="H26" i="3"/>
  <c r="C27" i="3"/>
  <c r="D27" i="3"/>
  <c r="E27" i="3"/>
  <c r="H27" i="3"/>
  <c r="C28" i="3"/>
  <c r="J2" i="10"/>
  <c r="J3" i="10"/>
  <c r="J4" i="10"/>
  <c r="J5" i="10"/>
  <c r="J6" i="10"/>
  <c r="J7" i="10"/>
  <c r="J8" i="10"/>
  <c r="J9" i="10"/>
  <c r="J10" i="10"/>
  <c r="J11" i="10"/>
  <c r="J12" i="10"/>
  <c r="D28" i="3"/>
  <c r="E28" i="3"/>
  <c r="H28" i="3"/>
  <c r="C29" i="3"/>
  <c r="D2" i="10"/>
  <c r="D3" i="10"/>
  <c r="D4" i="10"/>
  <c r="D5" i="10"/>
  <c r="D6" i="10"/>
  <c r="D7" i="10"/>
  <c r="D8" i="10"/>
  <c r="D9" i="10"/>
  <c r="D10" i="10"/>
  <c r="D11" i="10"/>
  <c r="D12" i="10"/>
  <c r="D13" i="10"/>
  <c r="D14" i="10"/>
  <c r="D15" i="10"/>
  <c r="D16" i="10"/>
  <c r="D17" i="10"/>
  <c r="D18" i="10"/>
  <c r="D19" i="10"/>
  <c r="D20" i="10"/>
  <c r="D21" i="10"/>
  <c r="D22" i="10"/>
  <c r="D23" i="10"/>
  <c r="D24" i="10"/>
  <c r="D29" i="3"/>
  <c r="E29" i="3"/>
  <c r="H29" i="3"/>
  <c r="C30" i="3"/>
  <c r="A6" i="10"/>
  <c r="A7" i="10"/>
  <c r="A8" i="10"/>
  <c r="A9" i="10"/>
  <c r="D30" i="3"/>
  <c r="E30" i="3"/>
  <c r="H30" i="3"/>
  <c r="C31" i="3"/>
  <c r="H32" i="11"/>
  <c r="H33" i="11"/>
  <c r="H34" i="11"/>
  <c r="H35" i="11"/>
  <c r="H36" i="11"/>
  <c r="H37" i="11"/>
  <c r="H38" i="11"/>
  <c r="H39" i="11"/>
  <c r="H40" i="11"/>
  <c r="H41" i="11"/>
  <c r="H42" i="11"/>
  <c r="D31" i="3"/>
  <c r="E31" i="3"/>
  <c r="H31" i="3"/>
  <c r="C32" i="3"/>
  <c r="D32" i="3"/>
  <c r="E32" i="3"/>
  <c r="H32" i="3"/>
  <c r="C33" i="3"/>
  <c r="D33" i="3"/>
  <c r="E33" i="3"/>
  <c r="H33" i="3"/>
  <c r="C34" i="3"/>
  <c r="J15" i="10"/>
  <c r="J16" i="10"/>
  <c r="J17" i="10"/>
  <c r="J18" i="10"/>
  <c r="J19" i="10"/>
  <c r="J20" i="10"/>
  <c r="J21" i="10"/>
  <c r="D34" i="3"/>
  <c r="E34" i="3"/>
  <c r="H34" i="3"/>
  <c r="C35" i="3"/>
  <c r="A2" i="13"/>
  <c r="D35" i="3"/>
  <c r="H35" i="3"/>
  <c r="C36" i="3"/>
  <c r="A2" i="12"/>
  <c r="D36" i="3"/>
  <c r="E36" i="3"/>
  <c r="H36" i="3"/>
  <c r="E35" i="3"/>
  <c r="J3" i="3"/>
  <c r="K3" i="3"/>
  <c r="J5" i="3"/>
  <c r="K5" i="3"/>
  <c r="B3" i="3"/>
  <c r="B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J6" i="3"/>
  <c r="K6" i="3"/>
  <c r="V1003" i="1"/>
  <c r="O8" i="1"/>
  <c r="O9" i="1"/>
  <c r="O10" i="1"/>
  <c r="O11" i="1"/>
  <c r="O12" i="1"/>
  <c r="O13" i="1"/>
  <c r="O14" i="1"/>
  <c r="O15" i="1"/>
  <c r="W1003" i="1"/>
  <c r="X1003" i="1"/>
  <c r="Y1003" i="1"/>
  <c r="V1004" i="1"/>
  <c r="W1004" i="1"/>
  <c r="X1004" i="1"/>
  <c r="Y1004" i="1"/>
  <c r="V1005" i="1"/>
  <c r="W1005" i="1"/>
  <c r="X1005" i="1"/>
  <c r="Y1005" i="1"/>
  <c r="V1006" i="1"/>
  <c r="W1006" i="1"/>
  <c r="X1006" i="1"/>
  <c r="Y1006" i="1"/>
  <c r="V1007" i="1"/>
  <c r="W1007" i="1"/>
  <c r="X1007" i="1"/>
  <c r="Y1007" i="1"/>
  <c r="V1008" i="1"/>
  <c r="W1008" i="1"/>
  <c r="X1008" i="1"/>
  <c r="Y1008" i="1"/>
  <c r="V1009" i="1"/>
  <c r="W1009" i="1"/>
  <c r="X1009" i="1"/>
  <c r="Y1009" i="1"/>
  <c r="V1010" i="1"/>
  <c r="W1010" i="1"/>
  <c r="X1010" i="1"/>
  <c r="Y1010" i="1"/>
  <c r="V1011" i="1"/>
  <c r="W1011" i="1"/>
  <c r="X1011" i="1"/>
  <c r="Y1011" i="1"/>
  <c r="V1012" i="1"/>
  <c r="W1012" i="1"/>
  <c r="X1012" i="1"/>
  <c r="Y1012" i="1"/>
  <c r="V1013" i="1"/>
  <c r="W1013" i="1"/>
  <c r="X1013" i="1"/>
  <c r="Y1013" i="1"/>
  <c r="V1014" i="1"/>
  <c r="W1014" i="1"/>
  <c r="X1014" i="1"/>
  <c r="Y1014" i="1"/>
  <c r="V1015" i="1"/>
  <c r="W1015" i="1"/>
  <c r="X1015" i="1"/>
  <c r="Y1015" i="1"/>
  <c r="V1016" i="1"/>
  <c r="W1016" i="1"/>
  <c r="X1016" i="1"/>
  <c r="Y1016" i="1"/>
  <c r="V1017" i="1"/>
  <c r="W1017" i="1"/>
  <c r="X1017" i="1"/>
  <c r="Y1017" i="1"/>
  <c r="V1018" i="1"/>
  <c r="W1018" i="1"/>
  <c r="X1018" i="1"/>
  <c r="Y1018" i="1"/>
  <c r="V1019" i="1"/>
  <c r="W1019" i="1"/>
  <c r="X1019" i="1"/>
  <c r="Y1019" i="1"/>
  <c r="V1020" i="1"/>
  <c r="W1020" i="1"/>
  <c r="X1020" i="1"/>
  <c r="Y1020" i="1"/>
  <c r="V1021" i="1"/>
  <c r="W1021" i="1"/>
  <c r="X1021" i="1"/>
  <c r="Y1021" i="1"/>
  <c r="V1022" i="1"/>
  <c r="W1022" i="1"/>
  <c r="X1022" i="1"/>
  <c r="Y1022" i="1"/>
  <c r="V1023" i="1"/>
  <c r="W1023" i="1"/>
  <c r="X1023" i="1"/>
  <c r="Y1023" i="1"/>
  <c r="V1024" i="1"/>
  <c r="W1024" i="1"/>
  <c r="X1024" i="1"/>
  <c r="Y1024" i="1"/>
  <c r="V1025" i="1"/>
  <c r="W1025" i="1"/>
  <c r="X1025" i="1"/>
  <c r="Y1025" i="1"/>
  <c r="V1026" i="1"/>
  <c r="W1026" i="1"/>
  <c r="X1026" i="1"/>
  <c r="Y1026" i="1"/>
  <c r="V1027" i="1"/>
  <c r="W1027" i="1"/>
  <c r="X1027" i="1"/>
  <c r="Y1027" i="1"/>
  <c r="V1028" i="1"/>
  <c r="W1028" i="1"/>
  <c r="X1028" i="1"/>
  <c r="Y1028" i="1"/>
  <c r="V1029" i="1"/>
  <c r="W1029" i="1"/>
  <c r="X1029" i="1"/>
  <c r="Y1029" i="1"/>
  <c r="V1030" i="1"/>
  <c r="W1030" i="1"/>
  <c r="X1030" i="1"/>
  <c r="Y1030" i="1"/>
  <c r="V1031" i="1"/>
  <c r="W1031" i="1"/>
  <c r="X1031" i="1"/>
  <c r="Y1031" i="1"/>
  <c r="V1032" i="1"/>
  <c r="W1032" i="1"/>
  <c r="X1032" i="1"/>
  <c r="Y1032" i="1"/>
  <c r="V1033" i="1"/>
  <c r="W1033" i="1"/>
  <c r="X1033" i="1"/>
  <c r="Y1033" i="1"/>
  <c r="V1034" i="1"/>
  <c r="W1034" i="1"/>
  <c r="X1034" i="1"/>
  <c r="Y1034" i="1"/>
  <c r="V1035" i="1"/>
  <c r="W1035" i="1"/>
  <c r="X1035" i="1"/>
  <c r="Y1035" i="1"/>
  <c r="V1036" i="1"/>
  <c r="W1036" i="1"/>
  <c r="X1036" i="1"/>
  <c r="Y1036" i="1"/>
  <c r="V1037" i="1"/>
  <c r="W1037" i="1"/>
  <c r="X1037" i="1"/>
  <c r="Y1037" i="1"/>
  <c r="V1038" i="1"/>
  <c r="W1038" i="1"/>
  <c r="X1038" i="1"/>
  <c r="Y1038" i="1"/>
  <c r="O33" i="1"/>
  <c r="V9" i="1"/>
  <c r="W9" i="1"/>
  <c r="V8" i="1"/>
  <c r="W8" i="1"/>
  <c r="N4" i="3"/>
  <c r="N5" i="3"/>
  <c r="N6" i="3"/>
  <c r="J7" i="3"/>
  <c r="K7" i="3"/>
  <c r="N7" i="3"/>
  <c r="J8" i="3"/>
  <c r="K8" i="3"/>
  <c r="N8" i="3"/>
  <c r="J9" i="3"/>
  <c r="K9" i="3"/>
  <c r="N9" i="3"/>
  <c r="J10" i="3"/>
  <c r="K10" i="3"/>
  <c r="N10" i="3"/>
  <c r="J11" i="3"/>
  <c r="K11" i="3"/>
  <c r="N11" i="3"/>
  <c r="J12" i="3"/>
  <c r="K12" i="3"/>
  <c r="N12" i="3"/>
  <c r="J13" i="3"/>
  <c r="K13" i="3"/>
  <c r="N13" i="3"/>
  <c r="J14" i="3"/>
  <c r="K14" i="3"/>
  <c r="N14" i="3"/>
  <c r="J15" i="3"/>
  <c r="K15" i="3"/>
  <c r="N15" i="3"/>
  <c r="J16" i="3"/>
  <c r="K16" i="3"/>
  <c r="N16" i="3"/>
  <c r="J17" i="3"/>
  <c r="K17" i="3"/>
  <c r="N17" i="3"/>
  <c r="J18" i="3"/>
  <c r="K18" i="3"/>
  <c r="N18" i="3"/>
  <c r="J19" i="3"/>
  <c r="K19" i="3"/>
  <c r="N19" i="3"/>
  <c r="J20" i="3"/>
  <c r="K20" i="3"/>
  <c r="N20" i="3"/>
  <c r="J21" i="3"/>
  <c r="K21" i="3"/>
  <c r="N21" i="3"/>
  <c r="J22" i="3"/>
  <c r="K22" i="3"/>
  <c r="N22" i="3"/>
  <c r="N23" i="3"/>
  <c r="J24" i="3"/>
  <c r="D10" i="9"/>
  <c r="D11" i="9"/>
  <c r="D12" i="9"/>
  <c r="D13" i="9"/>
  <c r="D14" i="9"/>
  <c r="D15" i="9"/>
  <c r="K24" i="3"/>
  <c r="N24" i="3"/>
  <c r="J25" i="3"/>
  <c r="K25" i="3"/>
  <c r="N25" i="3"/>
  <c r="J26" i="3"/>
  <c r="K26" i="3"/>
  <c r="N26" i="3"/>
  <c r="J27" i="3"/>
  <c r="K27" i="3"/>
  <c r="N27" i="3"/>
  <c r="J28" i="3"/>
  <c r="K28" i="3"/>
  <c r="N28" i="3"/>
  <c r="J29" i="3"/>
  <c r="K29" i="3"/>
  <c r="N29" i="3"/>
  <c r="J30" i="3"/>
  <c r="K30" i="3"/>
  <c r="N30" i="3"/>
  <c r="J31" i="3"/>
  <c r="K31" i="3"/>
  <c r="N31" i="3"/>
  <c r="J32" i="3"/>
  <c r="K32" i="3"/>
  <c r="N32" i="3"/>
  <c r="J33" i="3"/>
  <c r="K33" i="3"/>
  <c r="N33" i="3"/>
  <c r="J34" i="3"/>
  <c r="K34" i="3"/>
  <c r="N34" i="3"/>
  <c r="J35" i="3"/>
  <c r="K35" i="3"/>
  <c r="N35" i="3"/>
  <c r="J36" i="3"/>
  <c r="K36" i="3"/>
  <c r="N36" i="3"/>
  <c r="N3" i="3"/>
  <c r="J2" i="9"/>
  <c r="J3" i="9"/>
  <c r="J4" i="9"/>
  <c r="J5" i="9"/>
  <c r="J6" i="9"/>
  <c r="J7" i="9"/>
  <c r="N1" i="3"/>
  <c r="D2" i="14"/>
  <c r="D3" i="14"/>
  <c r="D4" i="14"/>
  <c r="D5" i="14"/>
  <c r="D6" i="14"/>
  <c r="D7" i="14"/>
  <c r="D8" i="14"/>
  <c r="D9" i="14"/>
  <c r="D10" i="14"/>
  <c r="D11" i="14"/>
  <c r="D12" i="14"/>
  <c r="D13" i="14"/>
  <c r="G2" i="14"/>
  <c r="G3" i="14"/>
  <c r="G4" i="14"/>
  <c r="G5" i="14"/>
  <c r="G6" i="14"/>
  <c r="G7" i="14"/>
  <c r="G8" i="14"/>
  <c r="G9" i="14"/>
  <c r="G10" i="14"/>
  <c r="G11" i="14"/>
  <c r="G12" i="14"/>
  <c r="G13" i="14"/>
  <c r="J2" i="14"/>
  <c r="J3" i="14"/>
  <c r="J4" i="14"/>
  <c r="J5" i="14"/>
  <c r="J6" i="14"/>
  <c r="J7" i="14"/>
  <c r="M2" i="14"/>
  <c r="M3" i="14"/>
  <c r="M4" i="14"/>
  <c r="M5" i="14"/>
  <c r="M6" i="14"/>
  <c r="M7" i="14"/>
  <c r="P2" i="14"/>
  <c r="P3" i="14"/>
  <c r="P4" i="14"/>
  <c r="P5" i="14"/>
  <c r="P6" i="14"/>
  <c r="P7" i="14"/>
  <c r="S2" i="14"/>
  <c r="S3" i="14"/>
  <c r="S4" i="14"/>
  <c r="S5" i="14"/>
  <c r="S6" i="14"/>
  <c r="S7" i="14"/>
  <c r="V2" i="14"/>
  <c r="V3" i="14"/>
  <c r="V4" i="14"/>
  <c r="V5" i="14"/>
  <c r="V6" i="14"/>
  <c r="V7" i="14"/>
  <c r="V8" i="14"/>
  <c r="V9" i="14"/>
  <c r="V10" i="14"/>
  <c r="Y2" i="14"/>
  <c r="Y3" i="14"/>
  <c r="Y4" i="14"/>
  <c r="Y5" i="14"/>
  <c r="Y6" i="14"/>
  <c r="Y7" i="14"/>
  <c r="Y8" i="14"/>
  <c r="Y9" i="14"/>
  <c r="Y10" i="14"/>
  <c r="Y11" i="14"/>
  <c r="Y12" i="14"/>
  <c r="Y13" i="14"/>
  <c r="Y14" i="14"/>
  <c r="Y15" i="14"/>
  <c r="A2" i="15"/>
  <c r="A3" i="15"/>
  <c r="A4" i="15"/>
  <c r="A5" i="15"/>
  <c r="A6" i="15"/>
  <c r="A7" i="15"/>
  <c r="D2" i="15"/>
  <c r="D3" i="15"/>
  <c r="D4" i="15"/>
  <c r="D5" i="15"/>
  <c r="D6" i="15"/>
  <c r="D7" i="15"/>
  <c r="G2" i="15"/>
  <c r="J2" i="15"/>
  <c r="J3" i="15"/>
  <c r="J4" i="15"/>
  <c r="J5" i="15"/>
  <c r="J6" i="15"/>
  <c r="J7" i="15"/>
  <c r="M2" i="15"/>
  <c r="M3" i="15"/>
  <c r="M4" i="15"/>
  <c r="M5" i="15"/>
  <c r="M6" i="15"/>
  <c r="M7" i="15"/>
  <c r="M8" i="15"/>
  <c r="M9" i="15"/>
  <c r="M10" i="15"/>
  <c r="M11" i="15"/>
  <c r="M12" i="15"/>
  <c r="M13" i="15"/>
  <c r="M14" i="15"/>
  <c r="M15" i="15"/>
  <c r="M16" i="15"/>
  <c r="M17" i="15"/>
  <c r="M18" i="15"/>
  <c r="M19" i="15"/>
  <c r="M20" i="15"/>
  <c r="M21" i="15"/>
  <c r="X2" i="16"/>
  <c r="X3" i="16"/>
  <c r="X4" i="16"/>
  <c r="X5" i="16"/>
  <c r="X6" i="16"/>
  <c r="X7" i="16"/>
  <c r="X8" i="16"/>
  <c r="X9" i="16"/>
  <c r="X10" i="16"/>
  <c r="X11" i="16"/>
  <c r="X12" i="16"/>
  <c r="X13" i="16"/>
  <c r="X14" i="16"/>
  <c r="X15" i="16"/>
  <c r="X16" i="16"/>
  <c r="X17" i="16"/>
  <c r="X18" i="16"/>
  <c r="X19" i="16"/>
  <c r="X20" i="16"/>
  <c r="X21" i="16"/>
  <c r="X22" i="16"/>
  <c r="X23" i="16"/>
  <c r="X24" i="16"/>
  <c r="X25" i="16"/>
  <c r="X26" i="16"/>
  <c r="X27" i="16"/>
  <c r="X28" i="16"/>
  <c r="X29" i="16"/>
  <c r="X30" i="16"/>
  <c r="X31" i="16"/>
  <c r="X32" i="16"/>
  <c r="X33" i="16"/>
  <c r="X34" i="16"/>
  <c r="X35" i="16"/>
  <c r="X36" i="16"/>
  <c r="X37" i="16"/>
  <c r="X38" i="16"/>
  <c r="X39" i="16"/>
  <c r="X40" i="16"/>
  <c r="X41" i="16"/>
  <c r="U2" i="16"/>
  <c r="U3" i="16"/>
  <c r="U4" i="16"/>
  <c r="U5" i="16"/>
  <c r="P2" i="16"/>
  <c r="P3" i="16"/>
  <c r="P4" i="16"/>
  <c r="P5" i="16"/>
  <c r="P6" i="16"/>
  <c r="P7" i="16"/>
  <c r="M2" i="16"/>
  <c r="M3" i="16"/>
  <c r="M4" i="16"/>
  <c r="M5" i="16"/>
  <c r="M6" i="16"/>
  <c r="M7" i="16"/>
  <c r="M8" i="16"/>
  <c r="M9" i="16"/>
  <c r="J2" i="16"/>
  <c r="J3" i="16"/>
  <c r="J4" i="16"/>
  <c r="J5" i="16"/>
  <c r="J6" i="16"/>
  <c r="G2" i="16"/>
  <c r="G3" i="16"/>
  <c r="G4" i="16"/>
  <c r="G5" i="16"/>
  <c r="G6" i="16"/>
  <c r="G7" i="16"/>
  <c r="D2" i="16"/>
  <c r="D3" i="16"/>
  <c r="D4" i="16"/>
  <c r="D5" i="16"/>
  <c r="D6" i="16"/>
  <c r="D7" i="16"/>
  <c r="A2" i="16"/>
  <c r="A3" i="16"/>
  <c r="A4" i="16"/>
  <c r="A5" i="16"/>
  <c r="A6" i="16"/>
  <c r="A7" i="16"/>
  <c r="A2" i="11"/>
  <c r="A3" i="11"/>
  <c r="A4" i="11"/>
  <c r="A5" i="11"/>
  <c r="A6" i="11"/>
  <c r="A7" i="11"/>
  <c r="A8" i="11"/>
  <c r="A9" i="11"/>
  <c r="A10" i="11"/>
  <c r="A11" i="11"/>
  <c r="A12" i="11"/>
  <c r="A13" i="11"/>
  <c r="A14" i="11"/>
  <c r="E39" i="11"/>
  <c r="E40" i="11"/>
  <c r="E41" i="11"/>
  <c r="E42" i="11"/>
  <c r="E27" i="11"/>
  <c r="E28" i="11"/>
  <c r="E29" i="11"/>
  <c r="E30" i="11"/>
  <c r="E31" i="11"/>
  <c r="E32" i="11"/>
  <c r="E33" i="11"/>
  <c r="E34" i="11"/>
  <c r="E35" i="11"/>
  <c r="E36" i="11"/>
  <c r="E15" i="11"/>
  <c r="E16" i="11"/>
  <c r="E17" i="11"/>
  <c r="E18" i="11"/>
  <c r="E19" i="11"/>
  <c r="E20" i="11"/>
  <c r="E21" i="11"/>
  <c r="E22" i="11"/>
  <c r="E23" i="11"/>
  <c r="E24" i="11"/>
  <c r="E2" i="11"/>
  <c r="E3" i="11"/>
  <c r="E4" i="11"/>
  <c r="E5" i="11"/>
  <c r="E6" i="11"/>
  <c r="E7" i="11"/>
  <c r="E8" i="11"/>
  <c r="E9" i="11"/>
  <c r="E10" i="11"/>
  <c r="E11" i="11"/>
  <c r="E12" i="11"/>
  <c r="H19" i="11"/>
  <c r="H20" i="11"/>
  <c r="H21" i="11"/>
  <c r="H22" i="11"/>
  <c r="H23" i="11"/>
  <c r="H24" i="11"/>
  <c r="H25" i="11"/>
  <c r="H26" i="11"/>
  <c r="H27" i="11"/>
  <c r="H28" i="11"/>
  <c r="H29" i="11"/>
  <c r="H2" i="11"/>
  <c r="H3" i="11"/>
  <c r="H4" i="11"/>
  <c r="H5" i="11"/>
  <c r="H6" i="11"/>
  <c r="H7" i="11"/>
  <c r="H8" i="11"/>
  <c r="H9" i="11"/>
  <c r="H10" i="11"/>
  <c r="H11" i="11"/>
  <c r="H12" i="11"/>
  <c r="H13" i="11"/>
  <c r="H14" i="11"/>
  <c r="H15" i="11"/>
  <c r="H16" i="11"/>
  <c r="A32" i="11"/>
  <c r="A33" i="11"/>
  <c r="A34" i="11"/>
  <c r="A35" i="11"/>
  <c r="A36" i="11"/>
  <c r="A37" i="11"/>
  <c r="A38" i="11"/>
  <c r="A39" i="11"/>
  <c r="P2" i="10"/>
  <c r="P3" i="10"/>
  <c r="P4" i="10"/>
  <c r="P5" i="10"/>
  <c r="P6" i="10"/>
  <c r="P7" i="10"/>
  <c r="P8" i="10"/>
  <c r="P9" i="10"/>
  <c r="P10" i="10"/>
  <c r="G2" i="10"/>
  <c r="G3" i="10"/>
  <c r="G4" i="10"/>
  <c r="G5" i="10"/>
  <c r="G6" i="10"/>
  <c r="M2" i="10"/>
  <c r="M3" i="10"/>
  <c r="M4" i="10"/>
  <c r="M5" i="10"/>
  <c r="M6" i="10"/>
  <c r="M7" i="10"/>
  <c r="M8" i="10"/>
  <c r="G42" i="9"/>
  <c r="G43" i="9"/>
  <c r="G44" i="9"/>
  <c r="G45" i="9"/>
  <c r="G46" i="9"/>
  <c r="G47" i="9"/>
  <c r="G34" i="9"/>
  <c r="G35" i="9"/>
  <c r="G36" i="9"/>
  <c r="G37" i="9"/>
  <c r="G38" i="9"/>
  <c r="G39" i="9"/>
  <c r="G26" i="9"/>
  <c r="G27" i="9"/>
  <c r="G28" i="9"/>
  <c r="G29" i="9"/>
  <c r="G30" i="9"/>
  <c r="G31" i="9"/>
  <c r="G18" i="9"/>
  <c r="G19" i="9"/>
  <c r="G20" i="9"/>
  <c r="G21" i="9"/>
  <c r="G22" i="9"/>
  <c r="G23" i="9"/>
  <c r="G10" i="9"/>
  <c r="G11" i="9"/>
  <c r="G12" i="9"/>
  <c r="G13" i="9"/>
  <c r="G14" i="9"/>
  <c r="G15" i="9"/>
  <c r="D34" i="9"/>
  <c r="D35" i="9"/>
  <c r="D36" i="9"/>
  <c r="D37" i="9"/>
  <c r="D38" i="9"/>
  <c r="D39" i="9"/>
  <c r="D26" i="9"/>
  <c r="D27" i="9"/>
  <c r="D28" i="9"/>
  <c r="D29" i="9"/>
  <c r="D30" i="9"/>
  <c r="D31" i="9"/>
  <c r="D18" i="9"/>
  <c r="D19" i="9"/>
  <c r="D20" i="9"/>
  <c r="D21" i="9"/>
  <c r="D22" i="9"/>
  <c r="D23" i="9"/>
  <c r="D2" i="9"/>
  <c r="D3" i="9"/>
  <c r="D4" i="9"/>
  <c r="D5" i="9"/>
  <c r="D6" i="9"/>
  <c r="D7" i="9"/>
  <c r="G2" i="5"/>
  <c r="G3" i="5"/>
  <c r="G4" i="5"/>
  <c r="G5" i="5"/>
  <c r="G6" i="5"/>
  <c r="G7" i="5"/>
  <c r="D2" i="5"/>
  <c r="D3" i="5"/>
  <c r="D4" i="5"/>
  <c r="D5" i="5"/>
  <c r="D6" i="5"/>
  <c r="D7" i="5"/>
  <c r="D8" i="5"/>
  <c r="D9" i="5"/>
  <c r="D10" i="5"/>
  <c r="G2" i="4"/>
  <c r="G3" i="4"/>
  <c r="G4" i="4"/>
  <c r="G5" i="4"/>
  <c r="D2" i="4"/>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V1002" i="1"/>
  <c r="V1001" i="1"/>
  <c r="V1000" i="1"/>
  <c r="V999" i="1"/>
  <c r="V998" i="1"/>
  <c r="V997" i="1"/>
  <c r="V996" i="1"/>
  <c r="V995" i="1"/>
  <c r="V994" i="1"/>
  <c r="V993" i="1"/>
  <c r="V992" i="1"/>
  <c r="V991" i="1"/>
  <c r="V990" i="1"/>
  <c r="V989" i="1"/>
  <c r="V988" i="1"/>
  <c r="V987" i="1"/>
  <c r="V986" i="1"/>
  <c r="V985" i="1"/>
  <c r="V984" i="1"/>
  <c r="V983" i="1"/>
  <c r="V982" i="1"/>
  <c r="V981" i="1"/>
  <c r="V980" i="1"/>
  <c r="V979" i="1"/>
  <c r="V978" i="1"/>
  <c r="V977" i="1"/>
  <c r="V976" i="1"/>
  <c r="V975" i="1"/>
  <c r="V974" i="1"/>
  <c r="V973" i="1"/>
  <c r="V972" i="1"/>
  <c r="V971" i="1"/>
  <c r="V970" i="1"/>
  <c r="V969" i="1"/>
  <c r="V968" i="1"/>
  <c r="V967" i="1"/>
  <c r="V966" i="1"/>
  <c r="V965" i="1"/>
  <c r="V964" i="1"/>
  <c r="V963" i="1"/>
  <c r="V962" i="1"/>
  <c r="V961" i="1"/>
  <c r="V960" i="1"/>
  <c r="V959" i="1"/>
  <c r="V958" i="1"/>
  <c r="V957" i="1"/>
  <c r="V956" i="1"/>
  <c r="V955" i="1"/>
  <c r="V954" i="1"/>
  <c r="V953" i="1"/>
  <c r="V952" i="1"/>
  <c r="V951" i="1"/>
  <c r="V950" i="1"/>
  <c r="V949" i="1"/>
  <c r="V948" i="1"/>
  <c r="V947" i="1"/>
  <c r="V946" i="1"/>
  <c r="V945" i="1"/>
  <c r="V944" i="1"/>
  <c r="V943" i="1"/>
  <c r="V942" i="1"/>
  <c r="V941" i="1"/>
  <c r="V940" i="1"/>
  <c r="V939" i="1"/>
  <c r="V938" i="1"/>
  <c r="V937" i="1"/>
  <c r="V936" i="1"/>
  <c r="V935" i="1"/>
  <c r="V934" i="1"/>
  <c r="V933" i="1"/>
  <c r="V932" i="1"/>
  <c r="V931" i="1"/>
  <c r="V930" i="1"/>
  <c r="V929" i="1"/>
  <c r="V928" i="1"/>
  <c r="V927" i="1"/>
  <c r="V926" i="1"/>
  <c r="V925" i="1"/>
  <c r="V924" i="1"/>
  <c r="V923" i="1"/>
  <c r="V922" i="1"/>
  <c r="V921" i="1"/>
  <c r="V920" i="1"/>
  <c r="V919" i="1"/>
  <c r="V918" i="1"/>
  <c r="V917" i="1"/>
  <c r="V916" i="1"/>
  <c r="V915" i="1"/>
  <c r="V914" i="1"/>
  <c r="V913" i="1"/>
  <c r="V912" i="1"/>
  <c r="V911" i="1"/>
  <c r="V910" i="1"/>
  <c r="V909" i="1"/>
  <c r="V908" i="1"/>
  <c r="V907" i="1"/>
  <c r="V906" i="1"/>
  <c r="V905" i="1"/>
  <c r="V904" i="1"/>
  <c r="V903" i="1"/>
  <c r="V902" i="1"/>
  <c r="V901" i="1"/>
  <c r="V900" i="1"/>
  <c r="V899" i="1"/>
  <c r="V898" i="1"/>
  <c r="V897" i="1"/>
  <c r="V896" i="1"/>
  <c r="V895" i="1"/>
  <c r="V894" i="1"/>
  <c r="V893" i="1"/>
  <c r="V892" i="1"/>
  <c r="V891" i="1"/>
  <c r="V890" i="1"/>
  <c r="V889" i="1"/>
  <c r="V888" i="1"/>
  <c r="V887" i="1"/>
  <c r="V886" i="1"/>
  <c r="V885" i="1"/>
  <c r="V884" i="1"/>
  <c r="V883" i="1"/>
  <c r="V882" i="1"/>
  <c r="V881" i="1"/>
  <c r="V880" i="1"/>
  <c r="V879" i="1"/>
  <c r="V878" i="1"/>
  <c r="V877" i="1"/>
  <c r="V876" i="1"/>
  <c r="V875" i="1"/>
  <c r="V874" i="1"/>
  <c r="V873" i="1"/>
  <c r="V872" i="1"/>
  <c r="V871" i="1"/>
  <c r="V870" i="1"/>
  <c r="V869" i="1"/>
  <c r="V868" i="1"/>
  <c r="V867" i="1"/>
  <c r="V866" i="1"/>
  <c r="V865" i="1"/>
  <c r="V864" i="1"/>
  <c r="V863" i="1"/>
  <c r="V862" i="1"/>
  <c r="V861" i="1"/>
  <c r="V860" i="1"/>
  <c r="V859" i="1"/>
  <c r="V858" i="1"/>
  <c r="V857" i="1"/>
  <c r="V856" i="1"/>
  <c r="V855" i="1"/>
  <c r="V854" i="1"/>
  <c r="V853" i="1"/>
  <c r="V852" i="1"/>
  <c r="V851" i="1"/>
  <c r="V850" i="1"/>
  <c r="V849" i="1"/>
  <c r="V848" i="1"/>
  <c r="V847" i="1"/>
  <c r="V846" i="1"/>
  <c r="V845" i="1"/>
  <c r="V844" i="1"/>
  <c r="V843" i="1"/>
  <c r="V842" i="1"/>
  <c r="V841" i="1"/>
  <c r="V840" i="1"/>
  <c r="V839" i="1"/>
  <c r="V838" i="1"/>
  <c r="V837" i="1"/>
  <c r="V836" i="1"/>
  <c r="V835" i="1"/>
  <c r="V834" i="1"/>
  <c r="V833" i="1"/>
  <c r="V832" i="1"/>
  <c r="V831" i="1"/>
  <c r="V830" i="1"/>
  <c r="V829" i="1"/>
  <c r="V828" i="1"/>
  <c r="V827" i="1"/>
  <c r="V826" i="1"/>
  <c r="V825" i="1"/>
  <c r="V824" i="1"/>
  <c r="V823" i="1"/>
  <c r="V822" i="1"/>
  <c r="V821" i="1"/>
  <c r="V820" i="1"/>
  <c r="V819" i="1"/>
  <c r="V818" i="1"/>
  <c r="V817" i="1"/>
  <c r="V816" i="1"/>
  <c r="V815" i="1"/>
  <c r="V814" i="1"/>
  <c r="V813" i="1"/>
  <c r="V812" i="1"/>
  <c r="V811" i="1"/>
  <c r="V810" i="1"/>
  <c r="V809" i="1"/>
  <c r="V808" i="1"/>
  <c r="V807" i="1"/>
  <c r="V806" i="1"/>
  <c r="V805" i="1"/>
  <c r="V804" i="1"/>
  <c r="V803" i="1"/>
  <c r="V802" i="1"/>
  <c r="V801" i="1"/>
  <c r="V800" i="1"/>
  <c r="V799" i="1"/>
  <c r="V798" i="1"/>
  <c r="V797" i="1"/>
  <c r="V796" i="1"/>
  <c r="V795" i="1"/>
  <c r="V794" i="1"/>
  <c r="V793" i="1"/>
  <c r="V792" i="1"/>
  <c r="V791" i="1"/>
  <c r="V790" i="1"/>
  <c r="V789" i="1"/>
  <c r="V788" i="1"/>
  <c r="V787" i="1"/>
  <c r="V786" i="1"/>
  <c r="V785" i="1"/>
  <c r="V784" i="1"/>
  <c r="V783" i="1"/>
  <c r="V782" i="1"/>
  <c r="V781" i="1"/>
  <c r="V780" i="1"/>
  <c r="V779" i="1"/>
  <c r="V778" i="1"/>
  <c r="V777" i="1"/>
  <c r="V776" i="1"/>
  <c r="V775" i="1"/>
  <c r="V774" i="1"/>
  <c r="V773" i="1"/>
  <c r="V772" i="1"/>
  <c r="V771" i="1"/>
  <c r="V770" i="1"/>
  <c r="V769" i="1"/>
  <c r="V768" i="1"/>
  <c r="V767" i="1"/>
  <c r="V766" i="1"/>
  <c r="V765" i="1"/>
  <c r="V764" i="1"/>
  <c r="V763" i="1"/>
  <c r="V762" i="1"/>
  <c r="V761" i="1"/>
  <c r="V760" i="1"/>
  <c r="V759" i="1"/>
  <c r="V758" i="1"/>
  <c r="V757" i="1"/>
  <c r="V756" i="1"/>
  <c r="V755" i="1"/>
  <c r="V754" i="1"/>
  <c r="V753" i="1"/>
  <c r="V752" i="1"/>
  <c r="V751" i="1"/>
  <c r="V750" i="1"/>
  <c r="V749" i="1"/>
  <c r="V748" i="1"/>
  <c r="V747" i="1"/>
  <c r="V746" i="1"/>
  <c r="V745" i="1"/>
  <c r="V744" i="1"/>
  <c r="V743" i="1"/>
  <c r="V742" i="1"/>
  <c r="V741" i="1"/>
  <c r="V740" i="1"/>
  <c r="V739" i="1"/>
  <c r="V738" i="1"/>
  <c r="V737" i="1"/>
  <c r="V736" i="1"/>
  <c r="V735" i="1"/>
  <c r="V734" i="1"/>
  <c r="V733" i="1"/>
  <c r="V732" i="1"/>
  <c r="V731" i="1"/>
  <c r="V730" i="1"/>
  <c r="V729" i="1"/>
  <c r="V728" i="1"/>
  <c r="V727" i="1"/>
  <c r="V726" i="1"/>
  <c r="V725" i="1"/>
  <c r="V724" i="1"/>
  <c r="V723" i="1"/>
  <c r="V722" i="1"/>
  <c r="V721" i="1"/>
  <c r="V720" i="1"/>
  <c r="V719" i="1"/>
  <c r="V718" i="1"/>
  <c r="V717" i="1"/>
  <c r="V716" i="1"/>
  <c r="V715" i="1"/>
  <c r="V714" i="1"/>
  <c r="V713" i="1"/>
  <c r="V712" i="1"/>
  <c r="V711" i="1"/>
  <c r="V710" i="1"/>
  <c r="V709" i="1"/>
  <c r="V708" i="1"/>
  <c r="V707" i="1"/>
  <c r="V706" i="1"/>
  <c r="V705" i="1"/>
  <c r="V704" i="1"/>
  <c r="V703" i="1"/>
  <c r="V702" i="1"/>
  <c r="V701" i="1"/>
  <c r="V700" i="1"/>
  <c r="V699" i="1"/>
  <c r="V698" i="1"/>
  <c r="V697" i="1"/>
  <c r="V696" i="1"/>
  <c r="V695" i="1"/>
  <c r="V694" i="1"/>
  <c r="V693" i="1"/>
  <c r="V692" i="1"/>
  <c r="V691" i="1"/>
  <c r="V690" i="1"/>
  <c r="V689" i="1"/>
  <c r="V688" i="1"/>
  <c r="V687" i="1"/>
  <c r="V686" i="1"/>
  <c r="V685" i="1"/>
  <c r="V684" i="1"/>
  <c r="V683" i="1"/>
  <c r="V682" i="1"/>
  <c r="V681" i="1"/>
  <c r="V680" i="1"/>
  <c r="V679" i="1"/>
  <c r="V678" i="1"/>
  <c r="V677" i="1"/>
  <c r="V676" i="1"/>
  <c r="V675" i="1"/>
  <c r="V674" i="1"/>
  <c r="V673" i="1"/>
  <c r="V672" i="1"/>
  <c r="V671" i="1"/>
  <c r="V670" i="1"/>
  <c r="V669" i="1"/>
  <c r="V668" i="1"/>
  <c r="V667" i="1"/>
  <c r="V666" i="1"/>
  <c r="V665" i="1"/>
  <c r="V664" i="1"/>
  <c r="V663" i="1"/>
  <c r="V662" i="1"/>
  <c r="V661" i="1"/>
  <c r="V660" i="1"/>
  <c r="V659" i="1"/>
  <c r="V658" i="1"/>
  <c r="V657" i="1"/>
  <c r="V656" i="1"/>
  <c r="V655" i="1"/>
  <c r="V654" i="1"/>
  <c r="V653" i="1"/>
  <c r="V652" i="1"/>
  <c r="V651" i="1"/>
  <c r="V650" i="1"/>
  <c r="V649" i="1"/>
  <c r="V648" i="1"/>
  <c r="V647" i="1"/>
  <c r="V646" i="1"/>
  <c r="V645" i="1"/>
  <c r="V644" i="1"/>
  <c r="V643" i="1"/>
  <c r="V642" i="1"/>
  <c r="V641" i="1"/>
  <c r="V640" i="1"/>
  <c r="V639" i="1"/>
  <c r="V638" i="1"/>
  <c r="V637" i="1"/>
  <c r="V636" i="1"/>
  <c r="V635" i="1"/>
  <c r="V634" i="1"/>
  <c r="V633" i="1"/>
  <c r="V632" i="1"/>
  <c r="V631" i="1"/>
  <c r="V630" i="1"/>
  <c r="V629" i="1"/>
  <c r="V628" i="1"/>
  <c r="V627" i="1"/>
  <c r="V626" i="1"/>
  <c r="V625" i="1"/>
  <c r="V624" i="1"/>
  <c r="V623" i="1"/>
  <c r="V622" i="1"/>
  <c r="V621" i="1"/>
  <c r="V620" i="1"/>
  <c r="V619" i="1"/>
  <c r="V618" i="1"/>
  <c r="V617" i="1"/>
  <c r="V616" i="1"/>
  <c r="V615" i="1"/>
  <c r="V614" i="1"/>
  <c r="V613" i="1"/>
  <c r="V612" i="1"/>
  <c r="V611" i="1"/>
  <c r="V610" i="1"/>
  <c r="V609" i="1"/>
  <c r="V608" i="1"/>
  <c r="V607" i="1"/>
  <c r="V606" i="1"/>
  <c r="V605" i="1"/>
  <c r="V604" i="1"/>
  <c r="V603" i="1"/>
  <c r="V602" i="1"/>
  <c r="V601" i="1"/>
  <c r="V600" i="1"/>
  <c r="V599" i="1"/>
  <c r="V598" i="1"/>
  <c r="V597" i="1"/>
  <c r="V596" i="1"/>
  <c r="V595" i="1"/>
  <c r="V594" i="1"/>
  <c r="V593" i="1"/>
  <c r="V592" i="1"/>
  <c r="V591" i="1"/>
  <c r="V590" i="1"/>
  <c r="V589" i="1"/>
  <c r="V588" i="1"/>
  <c r="V587" i="1"/>
  <c r="V586" i="1"/>
  <c r="V585" i="1"/>
  <c r="V584" i="1"/>
  <c r="V583" i="1"/>
  <c r="V582" i="1"/>
  <c r="V581" i="1"/>
  <c r="V580" i="1"/>
  <c r="V579" i="1"/>
  <c r="V578" i="1"/>
  <c r="V577" i="1"/>
  <c r="V576" i="1"/>
  <c r="V575" i="1"/>
  <c r="V574" i="1"/>
  <c r="V573" i="1"/>
  <c r="V572" i="1"/>
  <c r="V571" i="1"/>
  <c r="V570" i="1"/>
  <c r="V569" i="1"/>
  <c r="V568" i="1"/>
  <c r="V567" i="1"/>
  <c r="V566" i="1"/>
  <c r="V565" i="1"/>
  <c r="V564" i="1"/>
  <c r="V563" i="1"/>
  <c r="V562" i="1"/>
  <c r="V561" i="1"/>
  <c r="V560" i="1"/>
  <c r="V559" i="1"/>
  <c r="V558" i="1"/>
  <c r="V557" i="1"/>
  <c r="V556" i="1"/>
  <c r="V555" i="1"/>
  <c r="V554" i="1"/>
  <c r="V553" i="1"/>
  <c r="V552" i="1"/>
  <c r="V551" i="1"/>
  <c r="V550" i="1"/>
  <c r="V549" i="1"/>
  <c r="V548" i="1"/>
  <c r="V547" i="1"/>
  <c r="V546" i="1"/>
  <c r="V545" i="1"/>
  <c r="V544" i="1"/>
  <c r="V543" i="1"/>
  <c r="V542" i="1"/>
  <c r="V541" i="1"/>
  <c r="V540" i="1"/>
  <c r="V539" i="1"/>
  <c r="V538" i="1"/>
  <c r="V537" i="1"/>
  <c r="V536" i="1"/>
  <c r="V535" i="1"/>
  <c r="V534" i="1"/>
  <c r="V533" i="1"/>
  <c r="V532" i="1"/>
  <c r="V531" i="1"/>
  <c r="V530" i="1"/>
  <c r="V529" i="1"/>
  <c r="V528" i="1"/>
  <c r="V527" i="1"/>
  <c r="V526" i="1"/>
  <c r="V525" i="1"/>
  <c r="V524" i="1"/>
  <c r="V523" i="1"/>
  <c r="V522" i="1"/>
  <c r="V521" i="1"/>
  <c r="V520" i="1"/>
  <c r="V519" i="1"/>
  <c r="V518" i="1"/>
  <c r="V517" i="1"/>
  <c r="V516" i="1"/>
  <c r="V515" i="1"/>
  <c r="V514" i="1"/>
  <c r="V513" i="1"/>
  <c r="V512" i="1"/>
  <c r="V511" i="1"/>
  <c r="V510" i="1"/>
  <c r="V509" i="1"/>
  <c r="V508" i="1"/>
  <c r="V507" i="1"/>
  <c r="V506" i="1"/>
  <c r="V505" i="1"/>
  <c r="V504" i="1"/>
  <c r="V503" i="1"/>
  <c r="V502" i="1"/>
  <c r="V501" i="1"/>
  <c r="V500" i="1"/>
  <c r="V499" i="1"/>
  <c r="V498" i="1"/>
  <c r="V497" i="1"/>
  <c r="V496" i="1"/>
  <c r="V495" i="1"/>
  <c r="V494" i="1"/>
  <c r="V493" i="1"/>
  <c r="V492" i="1"/>
  <c r="V491" i="1"/>
  <c r="V490" i="1"/>
  <c r="V489" i="1"/>
  <c r="V488" i="1"/>
  <c r="V487" i="1"/>
  <c r="V486" i="1"/>
  <c r="V485" i="1"/>
  <c r="V484" i="1"/>
  <c r="V483" i="1"/>
  <c r="V482" i="1"/>
  <c r="V481" i="1"/>
  <c r="V480" i="1"/>
  <c r="V479" i="1"/>
  <c r="V478" i="1"/>
  <c r="V477" i="1"/>
  <c r="V476" i="1"/>
  <c r="V475" i="1"/>
  <c r="V474" i="1"/>
  <c r="V473" i="1"/>
  <c r="V472" i="1"/>
  <c r="V471" i="1"/>
  <c r="V470" i="1"/>
  <c r="V469" i="1"/>
  <c r="V468" i="1"/>
  <c r="V467" i="1"/>
  <c r="V466" i="1"/>
  <c r="V465" i="1"/>
  <c r="V464" i="1"/>
  <c r="V463" i="1"/>
  <c r="V462" i="1"/>
  <c r="V461" i="1"/>
  <c r="V460" i="1"/>
  <c r="V459" i="1"/>
  <c r="V458" i="1"/>
  <c r="V457" i="1"/>
  <c r="V456" i="1"/>
  <c r="V455" i="1"/>
  <c r="V454" i="1"/>
  <c r="V453" i="1"/>
  <c r="V452" i="1"/>
  <c r="V451" i="1"/>
  <c r="V450" i="1"/>
  <c r="V449" i="1"/>
  <c r="V448" i="1"/>
  <c r="V447" i="1"/>
  <c r="V446" i="1"/>
  <c r="V445" i="1"/>
  <c r="V444" i="1"/>
  <c r="V443" i="1"/>
  <c r="V442" i="1"/>
  <c r="V441" i="1"/>
  <c r="V440" i="1"/>
  <c r="V439" i="1"/>
  <c r="V438" i="1"/>
  <c r="V437" i="1"/>
  <c r="V436" i="1"/>
  <c r="V435" i="1"/>
  <c r="V434" i="1"/>
  <c r="V433" i="1"/>
  <c r="V432" i="1"/>
  <c r="V431" i="1"/>
  <c r="V430" i="1"/>
  <c r="V429" i="1"/>
  <c r="V428" i="1"/>
  <c r="V427" i="1"/>
  <c r="V426" i="1"/>
  <c r="V425" i="1"/>
  <c r="V424" i="1"/>
  <c r="V423" i="1"/>
  <c r="V422" i="1"/>
  <c r="V421" i="1"/>
  <c r="V420" i="1"/>
  <c r="V419" i="1"/>
  <c r="V418" i="1"/>
  <c r="V417" i="1"/>
  <c r="V416" i="1"/>
  <c r="V415" i="1"/>
  <c r="V414" i="1"/>
  <c r="V413" i="1"/>
  <c r="V412" i="1"/>
  <c r="V411" i="1"/>
  <c r="V410" i="1"/>
  <c r="V409" i="1"/>
  <c r="V408" i="1"/>
  <c r="V407" i="1"/>
  <c r="V406" i="1"/>
  <c r="V405" i="1"/>
  <c r="V404" i="1"/>
  <c r="V403" i="1"/>
  <c r="V402" i="1"/>
  <c r="V401" i="1"/>
  <c r="V400" i="1"/>
  <c r="V399" i="1"/>
  <c r="V398" i="1"/>
  <c r="V397" i="1"/>
  <c r="V396" i="1"/>
  <c r="V395" i="1"/>
  <c r="V394" i="1"/>
  <c r="V393" i="1"/>
  <c r="V392" i="1"/>
  <c r="V391" i="1"/>
  <c r="V390" i="1"/>
  <c r="V389" i="1"/>
  <c r="V388" i="1"/>
  <c r="V387" i="1"/>
  <c r="V386" i="1"/>
  <c r="V385" i="1"/>
  <c r="V384" i="1"/>
  <c r="V383" i="1"/>
  <c r="V382" i="1"/>
  <c r="V381" i="1"/>
  <c r="V380" i="1"/>
  <c r="V379" i="1"/>
  <c r="V378" i="1"/>
  <c r="V377" i="1"/>
  <c r="V376" i="1"/>
  <c r="V375" i="1"/>
  <c r="V374" i="1"/>
  <c r="V373" i="1"/>
  <c r="V372" i="1"/>
  <c r="V371" i="1"/>
  <c r="V370" i="1"/>
  <c r="V369" i="1"/>
  <c r="V368" i="1"/>
  <c r="V367" i="1"/>
  <c r="V366" i="1"/>
  <c r="V365" i="1"/>
  <c r="V364" i="1"/>
  <c r="V363" i="1"/>
  <c r="V362" i="1"/>
  <c r="V361" i="1"/>
  <c r="V360" i="1"/>
  <c r="V359" i="1"/>
  <c r="V358" i="1"/>
  <c r="V357" i="1"/>
  <c r="V356" i="1"/>
  <c r="V355" i="1"/>
  <c r="V354" i="1"/>
  <c r="V353" i="1"/>
  <c r="V352" i="1"/>
  <c r="V351" i="1"/>
  <c r="V350" i="1"/>
  <c r="V349" i="1"/>
  <c r="V348" i="1"/>
  <c r="V347" i="1"/>
  <c r="V346" i="1"/>
  <c r="V345" i="1"/>
  <c r="V344" i="1"/>
  <c r="V343" i="1"/>
  <c r="V342" i="1"/>
  <c r="V341" i="1"/>
  <c r="V340" i="1"/>
  <c r="V339" i="1"/>
  <c r="V338" i="1"/>
  <c r="V337" i="1"/>
  <c r="V336" i="1"/>
  <c r="V335" i="1"/>
  <c r="V334" i="1"/>
  <c r="V333" i="1"/>
  <c r="V332" i="1"/>
  <c r="V331" i="1"/>
  <c r="V330" i="1"/>
  <c r="V329" i="1"/>
  <c r="V328" i="1"/>
  <c r="V327" i="1"/>
  <c r="V326" i="1"/>
  <c r="V325" i="1"/>
  <c r="V324" i="1"/>
  <c r="V323" i="1"/>
  <c r="V322" i="1"/>
  <c r="V321" i="1"/>
  <c r="V320" i="1"/>
  <c r="V319" i="1"/>
  <c r="V318" i="1"/>
  <c r="V317" i="1"/>
  <c r="V316" i="1"/>
  <c r="V315" i="1"/>
  <c r="V314" i="1"/>
  <c r="V313" i="1"/>
  <c r="V312" i="1"/>
  <c r="V311" i="1"/>
  <c r="V310" i="1"/>
  <c r="V309" i="1"/>
  <c r="V308" i="1"/>
  <c r="V307" i="1"/>
  <c r="V306" i="1"/>
  <c r="V305" i="1"/>
  <c r="V304" i="1"/>
  <c r="V303" i="1"/>
  <c r="V302" i="1"/>
  <c r="V301" i="1"/>
  <c r="V300" i="1"/>
  <c r="V299" i="1"/>
  <c r="V298" i="1"/>
  <c r="V297" i="1"/>
  <c r="V296" i="1"/>
  <c r="V295" i="1"/>
  <c r="V294" i="1"/>
  <c r="V293" i="1"/>
  <c r="V292" i="1"/>
  <c r="V291" i="1"/>
  <c r="V290" i="1"/>
  <c r="V289" i="1"/>
  <c r="V288" i="1"/>
  <c r="V287" i="1"/>
  <c r="V286" i="1"/>
  <c r="V285" i="1"/>
  <c r="V284" i="1"/>
  <c r="V283" i="1"/>
  <c r="V282" i="1"/>
  <c r="V281" i="1"/>
  <c r="V280" i="1"/>
  <c r="V279" i="1"/>
  <c r="V278" i="1"/>
  <c r="V277" i="1"/>
  <c r="V276" i="1"/>
  <c r="V275" i="1"/>
  <c r="V274" i="1"/>
  <c r="V273" i="1"/>
  <c r="V272" i="1"/>
  <c r="V271" i="1"/>
  <c r="V270" i="1"/>
  <c r="V269" i="1"/>
  <c r="V268" i="1"/>
  <c r="V267" i="1"/>
  <c r="V266" i="1"/>
  <c r="V265" i="1"/>
  <c r="V264" i="1"/>
  <c r="V263" i="1"/>
  <c r="V262" i="1"/>
  <c r="V261" i="1"/>
  <c r="V260" i="1"/>
  <c r="V259" i="1"/>
  <c r="V258" i="1"/>
  <c r="V257" i="1"/>
  <c r="V256" i="1"/>
  <c r="V255" i="1"/>
  <c r="V254" i="1"/>
  <c r="V253" i="1"/>
  <c r="V252" i="1"/>
  <c r="V251" i="1"/>
  <c r="V250" i="1"/>
  <c r="V249" i="1"/>
  <c r="V248" i="1"/>
  <c r="V247" i="1"/>
  <c r="V246" i="1"/>
  <c r="V245" i="1"/>
  <c r="V244" i="1"/>
  <c r="V243" i="1"/>
  <c r="V242" i="1"/>
  <c r="V241" i="1"/>
  <c r="V240" i="1"/>
  <c r="V239" i="1"/>
  <c r="V238" i="1"/>
  <c r="V237" i="1"/>
  <c r="V236" i="1"/>
  <c r="V235" i="1"/>
  <c r="V234" i="1"/>
  <c r="V233" i="1"/>
  <c r="V232" i="1"/>
  <c r="V231" i="1"/>
  <c r="V230" i="1"/>
  <c r="V229" i="1"/>
  <c r="V228" i="1"/>
  <c r="V227" i="1"/>
  <c r="V226" i="1"/>
  <c r="V225" i="1"/>
  <c r="V224" i="1"/>
  <c r="V223" i="1"/>
  <c r="V222" i="1"/>
  <c r="V221" i="1"/>
  <c r="V220" i="1"/>
  <c r="V219" i="1"/>
  <c r="V218" i="1"/>
  <c r="V217" i="1"/>
  <c r="V216" i="1"/>
  <c r="V215" i="1"/>
  <c r="V214" i="1"/>
  <c r="V213" i="1"/>
  <c r="V212" i="1"/>
  <c r="V211" i="1"/>
  <c r="V210" i="1"/>
  <c r="V209" i="1"/>
  <c r="V208" i="1"/>
  <c r="V207" i="1"/>
  <c r="V206" i="1"/>
  <c r="V205" i="1"/>
  <c r="V204" i="1"/>
  <c r="V203" i="1"/>
  <c r="V202" i="1"/>
  <c r="V201" i="1"/>
  <c r="V200" i="1"/>
  <c r="V199" i="1"/>
  <c r="V198" i="1"/>
  <c r="V197" i="1"/>
  <c r="V196" i="1"/>
  <c r="V195" i="1"/>
  <c r="V194" i="1"/>
  <c r="V193" i="1"/>
  <c r="V192" i="1"/>
  <c r="V191" i="1"/>
  <c r="V190" i="1"/>
  <c r="V189" i="1"/>
  <c r="V188" i="1"/>
  <c r="V187" i="1"/>
  <c r="V186" i="1"/>
  <c r="V185" i="1"/>
  <c r="V184" i="1"/>
  <c r="V183" i="1"/>
  <c r="V182" i="1"/>
  <c r="V181" i="1"/>
  <c r="V180" i="1"/>
  <c r="V179" i="1"/>
  <c r="V178" i="1"/>
  <c r="V177" i="1"/>
  <c r="V176" i="1"/>
  <c r="V175" i="1"/>
  <c r="V174" i="1"/>
  <c r="V173" i="1"/>
  <c r="V172" i="1"/>
  <c r="V171" i="1"/>
  <c r="V170" i="1"/>
  <c r="V169" i="1"/>
  <c r="V168" i="1"/>
  <c r="V167" i="1"/>
  <c r="V166" i="1"/>
  <c r="V165" i="1"/>
  <c r="V164" i="1"/>
  <c r="V163" i="1"/>
  <c r="V162" i="1"/>
  <c r="V161" i="1"/>
  <c r="V160" i="1"/>
  <c r="V159" i="1"/>
  <c r="V158" i="1"/>
  <c r="V157" i="1"/>
  <c r="V156" i="1"/>
  <c r="V155" i="1"/>
  <c r="V154" i="1"/>
  <c r="V153" i="1"/>
  <c r="V152" i="1"/>
  <c r="V151" i="1"/>
  <c r="V150" i="1"/>
  <c r="V149" i="1"/>
  <c r="V148" i="1"/>
  <c r="V147" i="1"/>
  <c r="V146" i="1"/>
  <c r="V145" i="1"/>
  <c r="V144" i="1"/>
  <c r="V143" i="1"/>
  <c r="V142" i="1"/>
  <c r="V141" i="1"/>
  <c r="V140" i="1"/>
  <c r="V139" i="1"/>
  <c r="V138" i="1"/>
  <c r="V137" i="1"/>
  <c r="V136" i="1"/>
  <c r="V135" i="1"/>
  <c r="V134" i="1"/>
  <c r="V133" i="1"/>
  <c r="V132" i="1"/>
  <c r="V131" i="1"/>
  <c r="V130" i="1"/>
  <c r="V129" i="1"/>
  <c r="V128" i="1"/>
  <c r="V127" i="1"/>
  <c r="V126" i="1"/>
  <c r="V125" i="1"/>
  <c r="V124" i="1"/>
  <c r="V123" i="1"/>
  <c r="V122" i="1"/>
  <c r="V121" i="1"/>
  <c r="V120" i="1"/>
  <c r="V119" i="1"/>
  <c r="V118" i="1"/>
  <c r="V117" i="1"/>
  <c r="V116" i="1"/>
  <c r="V115" i="1"/>
  <c r="V114" i="1"/>
  <c r="V113" i="1"/>
  <c r="V112" i="1"/>
  <c r="V111" i="1"/>
  <c r="V110" i="1"/>
  <c r="V109" i="1"/>
  <c r="V108" i="1"/>
  <c r="V107" i="1"/>
  <c r="V106" i="1"/>
  <c r="V105" i="1"/>
  <c r="V104" i="1"/>
  <c r="V103" i="1"/>
  <c r="V102" i="1"/>
  <c r="V101" i="1"/>
  <c r="V100" i="1"/>
  <c r="V99" i="1"/>
  <c r="V98" i="1"/>
  <c r="V97" i="1"/>
  <c r="V96" i="1"/>
  <c r="V95" i="1"/>
  <c r="V94" i="1"/>
  <c r="V93" i="1"/>
  <c r="V92" i="1"/>
  <c r="V91" i="1"/>
  <c r="V90" i="1"/>
  <c r="V89" i="1"/>
  <c r="V88" i="1"/>
  <c r="V87" i="1"/>
  <c r="V86" i="1"/>
  <c r="V85" i="1"/>
  <c r="V84" i="1"/>
  <c r="V83" i="1"/>
  <c r="V82" i="1"/>
  <c r="V81" i="1"/>
  <c r="V80" i="1"/>
  <c r="V79" i="1"/>
  <c r="V78" i="1"/>
  <c r="V77" i="1"/>
  <c r="V76" i="1"/>
  <c r="V75" i="1"/>
  <c r="V74" i="1"/>
  <c r="V73" i="1"/>
  <c r="V72" i="1"/>
  <c r="V71" i="1"/>
  <c r="V70" i="1"/>
  <c r="V69" i="1"/>
  <c r="V68" i="1"/>
  <c r="V67" i="1"/>
  <c r="V66" i="1"/>
  <c r="V65" i="1"/>
  <c r="V64" i="1"/>
  <c r="V63" i="1"/>
  <c r="V62" i="1"/>
  <c r="V61" i="1"/>
  <c r="V60" i="1"/>
  <c r="V59" i="1"/>
  <c r="V58" i="1"/>
  <c r="V57" i="1"/>
  <c r="V56" i="1"/>
  <c r="V55" i="1"/>
  <c r="V54" i="1"/>
  <c r="V53" i="1"/>
  <c r="V52" i="1"/>
  <c r="V51" i="1"/>
  <c r="V50" i="1"/>
  <c r="V49" i="1"/>
  <c r="V48" i="1"/>
  <c r="V47" i="1"/>
  <c r="V46" i="1"/>
  <c r="V45" i="1"/>
  <c r="V44" i="1"/>
  <c r="V43" i="1"/>
  <c r="V42" i="1"/>
  <c r="V41" i="1"/>
  <c r="V40" i="1"/>
  <c r="O40" i="1"/>
  <c r="Q40" i="1"/>
  <c r="V39" i="1"/>
  <c r="O39" i="1"/>
  <c r="V38" i="1"/>
  <c r="O38" i="1"/>
  <c r="V37" i="1"/>
  <c r="O37" i="1"/>
  <c r="V36" i="1"/>
  <c r="O36" i="1"/>
  <c r="V35" i="1"/>
  <c r="O35" i="1"/>
  <c r="V34" i="1"/>
  <c r="O34" i="1"/>
  <c r="V33" i="1"/>
  <c r="V32" i="1"/>
  <c r="V31" i="1"/>
  <c r="X31" i="1"/>
  <c r="V30" i="1"/>
  <c r="V29" i="1"/>
  <c r="V28" i="1"/>
  <c r="V27" i="1"/>
  <c r="O27" i="1"/>
  <c r="V26" i="1"/>
  <c r="O26" i="1"/>
  <c r="Q27" i="1"/>
  <c r="V25" i="1"/>
  <c r="O25" i="1"/>
  <c r="V24" i="1"/>
  <c r="O24" i="1"/>
  <c r="Q24" i="1"/>
  <c r="V23" i="1"/>
  <c r="O23" i="1"/>
  <c r="V22" i="1"/>
  <c r="O22" i="1"/>
  <c r="V21" i="1"/>
  <c r="O21" i="1"/>
  <c r="V20" i="1"/>
  <c r="O20" i="1"/>
  <c r="V19" i="1"/>
  <c r="V18" i="1"/>
  <c r="V17" i="1"/>
  <c r="V16" i="1"/>
  <c r="V15" i="1"/>
  <c r="V14" i="1"/>
  <c r="Y14" i="1"/>
  <c r="V13" i="1"/>
  <c r="V12" i="1"/>
  <c r="V11" i="1"/>
  <c r="V10" i="1"/>
  <c r="Q8" i="1"/>
  <c r="Q35" i="1"/>
  <c r="Q38" i="1"/>
  <c r="X26" i="1"/>
  <c r="X37" i="1"/>
  <c r="X16" i="1"/>
  <c r="X30" i="1"/>
  <c r="Y474" i="1"/>
  <c r="Y8" i="1"/>
  <c r="Y23" i="1"/>
  <c r="Y376" i="1"/>
  <c r="Y380" i="1"/>
  <c r="Y896" i="1"/>
  <c r="Y17" i="1"/>
  <c r="Y689" i="1"/>
  <c r="Y781" i="1"/>
  <c r="X557" i="1"/>
  <c r="X668" i="1"/>
  <c r="Q9" i="1"/>
  <c r="X23" i="1"/>
  <c r="Q23" i="1"/>
  <c r="X18" i="1"/>
  <c r="Q22" i="1"/>
  <c r="X724" i="1"/>
  <c r="X756" i="1"/>
  <c r="X841" i="1"/>
  <c r="X945" i="1"/>
  <c r="X977" i="1"/>
  <c r="X974" i="1"/>
  <c r="X897" i="1"/>
  <c r="X826" i="1"/>
  <c r="X659" i="1"/>
  <c r="X723" i="1"/>
  <c r="X755" i="1"/>
  <c r="X764" i="1"/>
  <c r="X968" i="1"/>
  <c r="X1000" i="1"/>
  <c r="X29" i="1"/>
  <c r="X40" i="1"/>
  <c r="X28" i="1"/>
  <c r="Y28" i="1"/>
  <c r="X35" i="1"/>
  <c r="Y35" i="1"/>
  <c r="X999" i="1"/>
  <c r="X777" i="1"/>
  <c r="X722" i="1"/>
  <c r="X711" i="1"/>
  <c r="X765" i="1"/>
  <c r="X893" i="1"/>
  <c r="X767" i="1"/>
  <c r="Y889" i="1"/>
  <c r="Y665" i="1"/>
  <c r="Y636" i="1"/>
  <c r="X414" i="1"/>
  <c r="X331" i="1"/>
  <c r="Y418" i="1"/>
  <c r="X291" i="1"/>
  <c r="X108" i="1"/>
  <c r="X732" i="1"/>
  <c r="X449" i="1"/>
  <c r="X381" i="1"/>
  <c r="X250" i="1"/>
  <c r="X258" i="1"/>
  <c r="Y258" i="1"/>
  <c r="Y301" i="1"/>
  <c r="X21" i="1"/>
  <c r="X12" i="1"/>
  <c r="Y12" i="1"/>
  <c r="X11" i="1"/>
  <c r="X17" i="1"/>
  <c r="Y20" i="1"/>
  <c r="X20" i="1"/>
  <c r="Y25" i="1"/>
  <c r="X707" i="1"/>
  <c r="Y26" i="1"/>
  <c r="Y33" i="1"/>
  <c r="Y39" i="1"/>
  <c r="Y19" i="1"/>
  <c r="Q37" i="1"/>
  <c r="Q36" i="1"/>
  <c r="X984" i="1"/>
  <c r="Y951" i="1"/>
  <c r="Y919" i="1"/>
  <c r="Y971" i="1"/>
  <c r="X820" i="1"/>
  <c r="X788" i="1"/>
  <c r="X750" i="1"/>
  <c r="X686" i="1"/>
  <c r="Y952" i="1"/>
  <c r="X739" i="1"/>
  <c r="X675" i="1"/>
  <c r="X816" i="1"/>
  <c r="X776" i="1"/>
  <c r="X962" i="1"/>
  <c r="X913" i="1"/>
  <c r="X958" i="1"/>
  <c r="Y811" i="1"/>
  <c r="X961" i="1"/>
  <c r="X894" i="1"/>
  <c r="X914" i="1"/>
  <c r="X865" i="1"/>
  <c r="X833" i="1"/>
  <c r="X697" i="1"/>
  <c r="Y657" i="1"/>
  <c r="Y644" i="1"/>
  <c r="X439" i="1"/>
  <c r="X463" i="1"/>
  <c r="Y358" i="1"/>
  <c r="Y450" i="1"/>
  <c r="Y320" i="1"/>
  <c r="X232" i="1"/>
  <c r="X246" i="1"/>
  <c r="Y304" i="1"/>
  <c r="Y322" i="1"/>
  <c r="Y197" i="1"/>
  <c r="X124" i="1"/>
  <c r="X52" i="1"/>
  <c r="X838" i="1"/>
  <c r="X903" i="1"/>
  <c r="Y274" i="1"/>
  <c r="Y492" i="1"/>
  <c r="Y562" i="1"/>
  <c r="Y55" i="1"/>
  <c r="Q20" i="1"/>
  <c r="Q21" i="1"/>
  <c r="X889" i="1"/>
  <c r="X906" i="1"/>
  <c r="X670" i="1"/>
  <c r="X982" i="1"/>
  <c r="X1001" i="1"/>
  <c r="X905" i="1"/>
  <c r="X922" i="1"/>
  <c r="X954" i="1"/>
  <c r="X986" i="1"/>
  <c r="X1002" i="1"/>
  <c r="X792" i="1"/>
  <c r="X639" i="1"/>
  <c r="X671" i="1"/>
  <c r="X719" i="1"/>
  <c r="X735" i="1"/>
  <c r="X751" i="1"/>
  <c r="X928" i="1"/>
  <c r="X944" i="1"/>
  <c r="X650" i="1"/>
  <c r="X666" i="1"/>
  <c r="X698" i="1"/>
  <c r="X746" i="1"/>
  <c r="X924" i="1"/>
  <c r="X987" i="1"/>
  <c r="X995" i="1"/>
  <c r="X923" i="1"/>
  <c r="X931" i="1"/>
  <c r="X947" i="1"/>
  <c r="X955" i="1"/>
  <c r="X996" i="1"/>
  <c r="X15" i="1"/>
  <c r="X34" i="1"/>
  <c r="X8" i="1"/>
  <c r="X13" i="1"/>
  <c r="Q26" i="1"/>
  <c r="X10" i="1"/>
  <c r="X27" i="1"/>
  <c r="X24" i="1"/>
  <c r="X516" i="1"/>
  <c r="X428" i="1"/>
  <c r="X696" i="1"/>
  <c r="X878" i="1"/>
  <c r="X169" i="1"/>
  <c r="X180" i="1"/>
  <c r="X247" i="1"/>
  <c r="X335" i="1"/>
  <c r="X235" i="1"/>
  <c r="X498" i="1"/>
  <c r="X399" i="1"/>
  <c r="X454" i="1"/>
  <c r="X462" i="1"/>
  <c r="X669" i="1"/>
  <c r="X782" i="1"/>
  <c r="X811" i="1"/>
  <c r="X925" i="1"/>
  <c r="X957" i="1"/>
  <c r="X989" i="1"/>
  <c r="X789" i="1"/>
  <c r="X631" i="1"/>
  <c r="X695" i="1"/>
  <c r="X759" i="1"/>
  <c r="X936" i="1"/>
  <c r="X706" i="1"/>
  <c r="X801" i="1"/>
  <c r="X817" i="1"/>
  <c r="X927" i="1"/>
  <c r="X943" i="1"/>
  <c r="X41" i="1"/>
  <c r="X143" i="1"/>
  <c r="X174" i="1"/>
  <c r="X485" i="1"/>
  <c r="X437" i="1"/>
  <c r="X312" i="1"/>
  <c r="X573" i="1"/>
  <c r="X529" i="1"/>
  <c r="X854" i="1"/>
  <c r="X204" i="1"/>
  <c r="X259" i="1"/>
  <c r="X319" i="1"/>
  <c r="X356" i="1"/>
  <c r="X418" i="1"/>
  <c r="X486" i="1"/>
  <c r="X503" i="1"/>
  <c r="X700" i="1"/>
  <c r="X665" i="1"/>
  <c r="X857" i="1"/>
  <c r="X873" i="1"/>
  <c r="X741" i="1"/>
  <c r="X902" i="1"/>
  <c r="X942" i="1"/>
  <c r="X946" i="1"/>
  <c r="X978" i="1"/>
  <c r="X784" i="1"/>
  <c r="X691" i="1"/>
  <c r="X638" i="1"/>
  <c r="X702" i="1"/>
  <c r="X734" i="1"/>
  <c r="X780" i="1"/>
  <c r="X796" i="1"/>
  <c r="X812" i="1"/>
  <c r="Y31" i="1"/>
  <c r="X991" i="1"/>
  <c r="X932" i="1"/>
  <c r="X658" i="1"/>
  <c r="Y797" i="1"/>
  <c r="Y942" i="1"/>
  <c r="X806" i="1"/>
  <c r="X753" i="1"/>
  <c r="X752" i="1"/>
  <c r="X426" i="1"/>
  <c r="Y388" i="1"/>
  <c r="Y181" i="1"/>
  <c r="X189" i="1"/>
  <c r="Y436" i="1"/>
  <c r="Y234" i="1"/>
  <c r="X234" i="1"/>
  <c r="X298" i="1"/>
  <c r="X39" i="1"/>
  <c r="Y22" i="1"/>
  <c r="X22" i="1"/>
  <c r="Y29" i="1"/>
  <c r="Y32" i="1"/>
  <c r="Y34" i="1"/>
  <c r="Y991" i="1"/>
  <c r="Y935" i="1"/>
  <c r="Y999" i="1"/>
  <c r="Y932" i="1"/>
  <c r="X804" i="1"/>
  <c r="X772" i="1"/>
  <c r="X718" i="1"/>
  <c r="X654" i="1"/>
  <c r="Y920" i="1"/>
  <c r="X643" i="1"/>
  <c r="X797" i="1"/>
  <c r="X994" i="1"/>
  <c r="X930" i="1"/>
  <c r="X993" i="1"/>
  <c r="X926" i="1"/>
  <c r="X733" i="1"/>
  <c r="X929" i="1"/>
  <c r="Y782" i="1"/>
  <c r="X881" i="1"/>
  <c r="X849" i="1"/>
  <c r="X740" i="1"/>
  <c r="X633" i="1"/>
  <c r="X689" i="1"/>
  <c r="X688" i="1"/>
  <c r="X494" i="1"/>
  <c r="X506" i="1"/>
  <c r="X518" i="1"/>
  <c r="Y406" i="1"/>
  <c r="X507" i="1"/>
  <c r="X395" i="1"/>
  <c r="X275" i="1"/>
  <c r="Y370" i="1"/>
  <c r="X380" i="1"/>
  <c r="Y238" i="1"/>
  <c r="Y262" i="1"/>
  <c r="X160" i="1"/>
  <c r="X84" i="1"/>
  <c r="X73" i="1"/>
  <c r="Y622" i="1"/>
  <c r="X593" i="1"/>
  <c r="Y285" i="1"/>
  <c r="Y341" i="1"/>
  <c r="X524" i="1"/>
  <c r="Y798" i="1"/>
  <c r="Y823" i="1"/>
  <c r="Y787" i="1"/>
  <c r="Y813" i="1"/>
  <c r="Y762" i="1"/>
  <c r="Y770" i="1"/>
  <c r="Y778" i="1"/>
  <c r="Y786" i="1"/>
  <c r="Y794" i="1"/>
  <c r="Y802" i="1"/>
  <c r="Y810" i="1"/>
  <c r="Y818" i="1"/>
  <c r="Y18" i="1"/>
  <c r="Y13" i="1"/>
  <c r="Y10" i="1"/>
  <c r="Q34" i="1"/>
  <c r="Y21" i="1"/>
  <c r="Y16" i="1"/>
  <c r="Y36" i="1"/>
  <c r="Y56" i="1"/>
  <c r="Y175" i="1"/>
  <c r="Y895" i="1"/>
  <c r="Y280" i="1"/>
  <c r="Y558" i="1"/>
  <c r="Y105" i="1"/>
  <c r="Y292" i="1"/>
  <c r="Y291" i="1"/>
  <c r="Y275" i="1"/>
  <c r="Y318" i="1"/>
  <c r="Y391" i="1"/>
  <c r="Y350" i="1"/>
  <c r="Y414" i="1"/>
  <c r="Y752" i="1"/>
  <c r="Y668" i="1"/>
  <c r="Y633" i="1"/>
  <c r="Y697" i="1"/>
  <c r="Y833" i="1"/>
  <c r="Y849" i="1"/>
  <c r="Y865" i="1"/>
  <c r="Y881" i="1"/>
  <c r="Y914" i="1"/>
  <c r="Y894" i="1"/>
  <c r="Y929" i="1"/>
  <c r="Y961" i="1"/>
  <c r="Y733" i="1"/>
  <c r="Y926" i="1"/>
  <c r="Y958" i="1"/>
  <c r="Y773" i="1"/>
  <c r="Y829" i="1"/>
  <c r="Y40" i="1"/>
  <c r="Y37" i="1"/>
  <c r="Q33" i="1"/>
  <c r="Y64" i="1"/>
  <c r="Y131" i="1"/>
  <c r="Y629" i="1"/>
  <c r="Y661" i="1"/>
  <c r="Y53" i="1"/>
  <c r="Y125" i="1"/>
  <c r="Y165" i="1"/>
  <c r="Y330" i="1"/>
  <c r="Y299" i="1"/>
  <c r="Y307" i="1"/>
  <c r="Y482" i="1"/>
  <c r="Y334" i="1"/>
  <c r="Y438" i="1"/>
  <c r="Y442" i="1"/>
  <c r="Y446" i="1"/>
  <c r="Y692" i="1"/>
  <c r="Y806" i="1"/>
  <c r="Y767" i="1"/>
  <c r="Y814" i="1"/>
  <c r="Y765" i="1"/>
  <c r="Y805" i="1"/>
  <c r="Y936" i="1"/>
  <c r="Y825" i="1"/>
  <c r="Y948" i="1"/>
  <c r="Y967" i="1"/>
  <c r="Y979" i="1"/>
  <c r="Y927" i="1"/>
  <c r="Y943" i="1"/>
  <c r="Y959" i="1"/>
  <c r="Y24" i="1"/>
  <c r="X935" i="1"/>
  <c r="X809" i="1"/>
  <c r="X920" i="1"/>
  <c r="X647" i="1"/>
  <c r="X941" i="1"/>
  <c r="Y945" i="1"/>
  <c r="Y857" i="1"/>
  <c r="Y628" i="1"/>
  <c r="X422" i="1"/>
  <c r="Y288" i="1"/>
  <c r="Y296" i="1"/>
  <c r="Y615" i="1"/>
  <c r="X233" i="1"/>
  <c r="X175" i="1"/>
  <c r="X242" i="1"/>
  <c r="Y242" i="1"/>
  <c r="Y254" i="1"/>
  <c r="X254" i="1"/>
  <c r="X266" i="1"/>
  <c r="Y266" i="1"/>
  <c r="X14" i="1"/>
  <c r="Y38" i="1"/>
  <c r="Y11" i="1"/>
  <c r="Y41" i="1"/>
  <c r="Y27" i="1"/>
  <c r="X612" i="1"/>
  <c r="X988" i="1"/>
  <c r="X951" i="1"/>
  <c r="X919" i="1"/>
  <c r="X971" i="1"/>
  <c r="Y828" i="1"/>
  <c r="X793" i="1"/>
  <c r="X754" i="1"/>
  <c r="X690" i="1"/>
  <c r="X952" i="1"/>
  <c r="X743" i="1"/>
  <c r="X679" i="1"/>
  <c r="X821" i="1"/>
  <c r="X973" i="1"/>
  <c r="Y799" i="1"/>
  <c r="Y974" i="1"/>
  <c r="Y902" i="1"/>
  <c r="Y977" i="1"/>
  <c r="Y906" i="1"/>
  <c r="Y741" i="1"/>
  <c r="Y873" i="1"/>
  <c r="Y841" i="1"/>
  <c r="X721" i="1"/>
  <c r="Y700" i="1"/>
  <c r="X672" i="1"/>
  <c r="Y478" i="1"/>
  <c r="X474" i="1"/>
  <c r="Y486" i="1"/>
  <c r="Y374" i="1"/>
  <c r="X466" i="1"/>
  <c r="X348" i="1"/>
  <c r="Y250" i="1"/>
  <c r="X278" i="1"/>
  <c r="X351" i="1"/>
  <c r="X372" i="1"/>
  <c r="Y251" i="1"/>
  <c r="X148" i="1"/>
  <c r="X72" i="1"/>
  <c r="Y576" i="1"/>
  <c r="Y632" i="1"/>
  <c r="Y551" i="1"/>
  <c r="X599" i="1"/>
  <c r="X618" i="1"/>
  <c r="Y95" i="1"/>
  <c r="X9" i="1"/>
  <c r="X19" i="1"/>
  <c r="Y30" i="1"/>
  <c r="X33" i="1"/>
  <c r="X38" i="1"/>
  <c r="X636" i="1"/>
  <c r="X657" i="1"/>
  <c r="X653" i="1"/>
  <c r="X522" i="1"/>
  <c r="X379" i="1"/>
  <c r="X208" i="1"/>
  <c r="X268" i="1"/>
  <c r="X92" i="1"/>
  <c r="X109" i="1"/>
  <c r="X353" i="1"/>
  <c r="X567" i="1"/>
  <c r="Y9" i="1"/>
  <c r="Y15" i="1"/>
  <c r="X966" i="1"/>
  <c r="X938" i="1"/>
  <c r="X970" i="1"/>
  <c r="X773" i="1"/>
  <c r="X805" i="1"/>
  <c r="X824" i="1"/>
  <c r="X655" i="1"/>
  <c r="X687" i="1"/>
  <c r="X703" i="1"/>
  <c r="X830" i="1"/>
  <c r="X634" i="1"/>
  <c r="X682" i="1"/>
  <c r="X714" i="1"/>
  <c r="X730" i="1"/>
  <c r="X832" i="1"/>
  <c r="X940" i="1"/>
  <c r="X956" i="1"/>
  <c r="X983" i="1"/>
  <c r="X963" i="1"/>
  <c r="X939" i="1"/>
  <c r="X975" i="1"/>
  <c r="X964" i="1"/>
  <c r="X980" i="1"/>
  <c r="X36" i="1"/>
  <c r="Q25" i="1"/>
  <c r="X25" i="1"/>
  <c r="Q39" i="1"/>
  <c r="Y42" i="1"/>
  <c r="X42" i="1"/>
  <c r="X972" i="1"/>
  <c r="X959" i="1"/>
  <c r="X979" i="1"/>
  <c r="X967" i="1"/>
  <c r="X948" i="1"/>
  <c r="X785" i="1"/>
  <c r="X769" i="1"/>
  <c r="X738" i="1"/>
  <c r="X674" i="1"/>
  <c r="X642" i="1"/>
  <c r="X727" i="1"/>
  <c r="X663" i="1"/>
  <c r="X808" i="1"/>
  <c r="X909" i="1"/>
  <c r="X990" i="1"/>
  <c r="X737" i="1"/>
  <c r="X526" i="1"/>
  <c r="X511" i="1"/>
  <c r="X443" i="1"/>
  <c r="X224" i="1"/>
  <c r="X370" i="1"/>
  <c r="X367" i="1"/>
  <c r="X140" i="1"/>
  <c r="X68" i="1"/>
  <c r="X544" i="1"/>
  <c r="X620" i="1"/>
  <c r="X245" i="1"/>
  <c r="X484" i="1"/>
  <c r="X704" i="1"/>
  <c r="X32" i="1"/>
  <c r="X908" i="1"/>
  <c r="X814" i="1"/>
  <c r="X868" i="1"/>
  <c r="X836" i="1"/>
  <c r="X774" i="1"/>
  <c r="X624" i="1"/>
  <c r="X619" i="1"/>
  <c r="X596" i="1"/>
  <c r="X580" i="1"/>
  <c r="X563" i="1"/>
  <c r="X560" i="1"/>
  <c r="X552" i="1"/>
  <c r="X535" i="1"/>
  <c r="X912" i="1"/>
  <c r="X600" i="1"/>
  <c r="X582" i="1"/>
  <c r="X504" i="1"/>
  <c r="X481" i="1"/>
  <c r="X464" i="1"/>
  <c r="X872" i="1"/>
  <c r="X786" i="1"/>
  <c r="X783" i="1"/>
  <c r="X543" i="1"/>
  <c r="X540" i="1"/>
  <c r="X456" i="1"/>
  <c r="X436" i="1"/>
  <c r="X397" i="1"/>
  <c r="X374" i="1"/>
  <c r="X350" i="1"/>
  <c r="X328" i="1"/>
  <c r="X326" i="1"/>
  <c r="X314" i="1"/>
  <c r="X306" i="1"/>
  <c r="X304" i="1"/>
  <c r="X260" i="1"/>
  <c r="X244" i="1"/>
  <c r="X231" i="1"/>
  <c r="X229" i="1"/>
  <c r="X227" i="1"/>
  <c r="X211" i="1"/>
  <c r="X178" i="1"/>
  <c r="X166" i="1"/>
  <c r="X146" i="1"/>
  <c r="X134" i="1"/>
  <c r="X86" i="1"/>
  <c r="X880" i="1"/>
  <c r="X840" i="1"/>
  <c r="X815" i="1"/>
  <c r="X607" i="1"/>
  <c r="X604" i="1"/>
  <c r="X452" i="1"/>
  <c r="X382" i="1"/>
  <c r="X376" i="1"/>
  <c r="X361" i="1"/>
  <c r="X338" i="1"/>
  <c r="X330" i="1"/>
  <c r="X90" i="1"/>
  <c r="X138" i="1"/>
  <c r="X528" i="1"/>
  <c r="X82" i="1"/>
  <c r="X170" i="1"/>
  <c r="X701" i="1"/>
  <c r="X66" i="1"/>
  <c r="X396" i="1"/>
  <c r="X517" i="1"/>
  <c r="X62" i="1"/>
  <c r="X94" i="1"/>
  <c r="X114" i="1"/>
  <c r="X130" i="1"/>
  <c r="X182" i="1"/>
  <c r="X389" i="1"/>
  <c r="X476" i="1"/>
  <c r="X520" i="1"/>
  <c r="X549" i="1"/>
  <c r="X601" i="1"/>
  <c r="X851" i="1"/>
  <c r="X433" i="1"/>
  <c r="X461" i="1"/>
  <c r="X538" i="1"/>
  <c r="X550" i="1"/>
  <c r="X589" i="1"/>
  <c r="X602" i="1"/>
  <c r="X835" i="1"/>
  <c r="X566" i="1"/>
  <c r="X344" i="1"/>
  <c r="X568" i="1"/>
  <c r="X616" i="1"/>
  <c r="X892" i="1"/>
  <c r="X440" i="1"/>
  <c r="X879" i="1"/>
  <c r="X345" i="1"/>
  <c r="X472" i="1"/>
  <c r="X497" i="1"/>
  <c r="X613" i="1"/>
  <c r="X778" i="1"/>
  <c r="X775" i="1"/>
  <c r="X357" i="1"/>
  <c r="X58" i="1"/>
  <c r="X202" i="1"/>
  <c r="X843" i="1"/>
  <c r="X717" i="1"/>
  <c r="X265" i="1"/>
  <c r="X680" i="1"/>
  <c r="X74" i="1"/>
  <c r="X158" i="1"/>
  <c r="X533" i="1"/>
  <c r="X645" i="1"/>
  <c r="X745" i="1"/>
  <c r="X417" i="1"/>
  <c r="X98" i="1"/>
  <c r="X46" i="1"/>
  <c r="X78" i="1"/>
  <c r="X106" i="1"/>
  <c r="X122" i="1"/>
  <c r="X365" i="1"/>
  <c r="X467" i="1"/>
  <c r="X537" i="1"/>
  <c r="X570" i="1"/>
  <c r="X883" i="1"/>
  <c r="X190" i="1"/>
  <c r="X337" i="1"/>
  <c r="X408" i="1"/>
  <c r="X453" i="1"/>
  <c r="X468" i="1"/>
  <c r="X521" i="1"/>
  <c r="X545" i="1"/>
  <c r="X597" i="1"/>
  <c r="X562" i="1"/>
  <c r="X614" i="1"/>
  <c r="X584" i="1"/>
  <c r="X405" i="1"/>
  <c r="X282" i="1"/>
  <c r="X230" i="1"/>
  <c r="X203" i="1"/>
  <c r="X195" i="1"/>
  <c r="X187" i="1"/>
  <c r="X179" i="1"/>
  <c r="X171" i="1"/>
  <c r="X163" i="1"/>
  <c r="X155" i="1"/>
  <c r="X147" i="1"/>
  <c r="X139" i="1"/>
  <c r="X131" i="1"/>
  <c r="X123" i="1"/>
  <c r="X115" i="1"/>
  <c r="X107" i="1"/>
  <c r="X99" i="1"/>
  <c r="X91" i="1"/>
  <c r="X83" i="1"/>
  <c r="X81" i="1"/>
  <c r="X79" i="1"/>
  <c r="X77" i="1"/>
  <c r="X75" i="1"/>
  <c r="X71" i="1"/>
  <c r="X69" i="1"/>
  <c r="X67" i="1"/>
  <c r="X63" i="1"/>
  <c r="X61" i="1"/>
  <c r="X59" i="1"/>
  <c r="X55" i="1"/>
  <c r="X53" i="1"/>
  <c r="X51" i="1"/>
  <c r="X47" i="1"/>
  <c r="X45" i="1"/>
  <c r="X43" i="1"/>
  <c r="X590" i="1"/>
  <c r="X393" i="1"/>
  <c r="X390" i="1"/>
  <c r="X384" i="1"/>
  <c r="X320" i="1"/>
  <c r="X292" i="1"/>
  <c r="X205" i="1"/>
  <c r="X197" i="1"/>
  <c r="X181" i="1"/>
  <c r="X173" i="1"/>
  <c r="X165" i="1"/>
  <c r="X157" i="1"/>
  <c r="X149" i="1"/>
  <c r="X141" i="1"/>
  <c r="X133" i="1"/>
  <c r="X125" i="1"/>
  <c r="X126" i="1"/>
  <c r="X301" i="1"/>
  <c r="X907" i="1"/>
  <c r="X891" i="1"/>
  <c r="X269" i="1"/>
  <c r="X579" i="1"/>
  <c r="X748" i="1"/>
  <c r="X194" i="1"/>
  <c r="X499" i="1"/>
  <c r="X185" i="1"/>
  <c r="X121" i="1"/>
  <c r="X113" i="1"/>
  <c r="X105" i="1"/>
  <c r="X97" i="1"/>
  <c r="X89" i="1"/>
  <c r="X720" i="1"/>
  <c r="X611" i="1"/>
  <c r="X349" i="1"/>
  <c r="X425" i="1"/>
  <c r="X648" i="1"/>
  <c r="X867" i="1"/>
  <c r="X162" i="1"/>
  <c r="X325" i="1"/>
  <c r="X457" i="1"/>
  <c r="X508" i="1"/>
  <c r="X102" i="1"/>
  <c r="X206" i="1"/>
  <c r="X419" i="1"/>
  <c r="X477" i="1"/>
  <c r="X496" i="1"/>
  <c r="X803" i="1"/>
  <c r="X404" i="1"/>
  <c r="X844" i="1"/>
  <c r="X860" i="1"/>
  <c r="X280" i="1"/>
  <c r="X352" i="1"/>
  <c r="X509" i="1"/>
  <c r="X847" i="1"/>
  <c r="X333" i="1"/>
  <c r="X483" i="1"/>
  <c r="X523" i="1"/>
  <c r="X609" i="1"/>
  <c r="X252" i="1"/>
  <c r="X321" i="1"/>
  <c r="X420" i="1"/>
  <c r="X445" i="1"/>
  <c r="X488" i="1"/>
  <c r="X559" i="1"/>
  <c r="X581" i="1"/>
  <c r="X228" i="1"/>
  <c r="X255" i="1"/>
  <c r="X274" i="1"/>
  <c r="X532" i="1"/>
  <c r="X368" i="1"/>
  <c r="X608" i="1"/>
  <c r="X766" i="1"/>
  <c r="X623" i="1"/>
  <c r="X615" i="1"/>
  <c r="X515" i="1"/>
  <c r="X541" i="1"/>
  <c r="X576" i="1"/>
  <c r="X598" i="1"/>
  <c r="X622" i="1"/>
  <c r="X661" i="1"/>
  <c r="X712" i="1"/>
  <c r="X834" i="1"/>
  <c r="X850" i="1"/>
  <c r="X866" i="1"/>
  <c r="X882" i="1"/>
  <c r="X899" i="1"/>
  <c r="X57" i="1"/>
  <c r="X93" i="1"/>
  <c r="X129" i="1"/>
  <c r="X161" i="1"/>
  <c r="X193" i="1"/>
  <c r="X48" i="1"/>
  <c r="X60" i="1"/>
  <c r="X80" i="1"/>
  <c r="X100" i="1"/>
  <c r="X112" i="1"/>
  <c r="X132" i="1"/>
  <c r="X152" i="1"/>
  <c r="X164" i="1"/>
  <c r="X184" i="1"/>
  <c r="X196" i="1"/>
  <c r="X236" i="1"/>
  <c r="X283" i="1"/>
  <c r="X386" i="1"/>
  <c r="X346" i="1"/>
  <c r="X199" i="1"/>
  <c r="X167" i="1"/>
  <c r="X135" i="1"/>
  <c r="X103" i="1"/>
  <c r="X154" i="1"/>
  <c r="X316" i="1"/>
  <c r="X226" i="1"/>
  <c r="X409" i="1"/>
  <c r="X257" i="1"/>
  <c r="X435" i="1"/>
  <c r="X574" i="1"/>
  <c r="X895" i="1"/>
  <c r="X429" i="1"/>
  <c r="X553" i="1"/>
  <c r="X212" i="1"/>
  <c r="X412" i="1"/>
  <c r="X617" i="1"/>
  <c r="X263" i="1"/>
  <c r="X542" i="1"/>
  <c r="X210" i="1"/>
  <c r="X293" i="1"/>
  <c r="X341" i="1"/>
  <c r="X571" i="1"/>
  <c r="X218" i="1"/>
  <c r="X336" i="1"/>
  <c r="X373" i="1"/>
  <c r="X285" i="1"/>
  <c r="X561" i="1"/>
  <c r="X595" i="1"/>
  <c r="X763" i="1"/>
  <c r="X664" i="1"/>
  <c r="X709" i="1"/>
  <c r="X842" i="1"/>
  <c r="X862" i="1"/>
  <c r="X886" i="1"/>
  <c r="X915" i="1"/>
  <c r="X85" i="1"/>
  <c r="X137" i="1"/>
  <c r="X177" i="1"/>
  <c r="X76" i="1"/>
  <c r="X88" i="1"/>
  <c r="X104" i="1"/>
  <c r="X116" i="1"/>
  <c r="X128" i="1"/>
  <c r="X144" i="1"/>
  <c r="X172" i="1"/>
  <c r="X200" i="1"/>
  <c r="X279" i="1"/>
  <c r="X294" i="1"/>
  <c r="X315" i="1"/>
  <c r="X287" i="1"/>
  <c r="X302" i="1"/>
  <c r="X343" i="1"/>
  <c r="X375" i="1"/>
  <c r="X394" i="1"/>
  <c r="X383" i="1"/>
  <c r="X243" i="1"/>
  <c r="X303" i="1"/>
  <c r="X318" i="1"/>
  <c r="X332" i="1"/>
  <c r="X364" i="1"/>
  <c r="X391" i="1"/>
  <c r="X411" i="1"/>
  <c r="X450" i="1"/>
  <c r="X475" i="1"/>
  <c r="X514" i="1"/>
  <c r="X339" i="1"/>
  <c r="X355" i="1"/>
  <c r="X371" i="1"/>
  <c r="X387" i="1"/>
  <c r="X406" i="1"/>
  <c r="X431" i="1"/>
  <c r="X470" i="1"/>
  <c r="X495" i="1"/>
  <c r="X407" i="1"/>
  <c r="X446" i="1"/>
  <c r="X471" i="1"/>
  <c r="X510" i="1"/>
  <c r="X628" i="1"/>
  <c r="X644" i="1"/>
  <c r="X660" i="1"/>
  <c r="X676" i="1"/>
  <c r="X692" i="1"/>
  <c r="X191" i="1"/>
  <c r="X159" i="1"/>
  <c r="X127" i="1"/>
  <c r="X95" i="1"/>
  <c r="X317" i="1"/>
  <c r="X677" i="1"/>
  <c r="X527" i="1"/>
  <c r="X50" i="1"/>
  <c r="X277" i="1"/>
  <c r="X465" i="1"/>
  <c r="X539" i="1"/>
  <c r="X603" i="1"/>
  <c r="X110" i="1"/>
  <c r="X377" i="1"/>
  <c r="X575" i="1"/>
  <c r="X473" i="1"/>
  <c r="X606" i="1"/>
  <c r="X329" i="1"/>
  <c r="X480" i="1"/>
  <c r="X564" i="1"/>
  <c r="X215" i="1"/>
  <c r="X297" i="1"/>
  <c r="X421" i="1"/>
  <c r="X525" i="1"/>
  <c r="X621" i="1"/>
  <c r="X432" i="1"/>
  <c r="X588" i="1"/>
  <c r="X220" i="1"/>
  <c r="X305" i="1"/>
  <c r="X534" i="1"/>
  <c r="X261" i="1"/>
  <c r="X424" i="1"/>
  <c r="X551" i="1"/>
  <c r="X209" i="1"/>
  <c r="X295" i="1"/>
  <c r="X441" i="1"/>
  <c r="X530" i="1"/>
  <c r="X625" i="1"/>
  <c r="X605" i="1"/>
  <c r="X916" i="1"/>
  <c r="X578" i="1"/>
  <c r="X827" i="1"/>
  <c r="X554" i="1"/>
  <c r="X627" i="1"/>
  <c r="X900" i="1"/>
  <c r="X729" i="1"/>
  <c r="X846" i="1"/>
  <c r="X870" i="1"/>
  <c r="X890" i="1"/>
  <c r="X49" i="1"/>
  <c r="X101" i="1"/>
  <c r="X145" i="1"/>
  <c r="X501" i="1"/>
  <c r="X183" i="1"/>
  <c r="X151" i="1"/>
  <c r="X119" i="1"/>
  <c r="X87" i="1"/>
  <c r="X70" i="1"/>
  <c r="X54" i="1"/>
  <c r="X859" i="1"/>
  <c r="X500" i="1"/>
  <c r="X142" i="1"/>
  <c r="X626" i="1"/>
  <c r="X400" i="1"/>
  <c r="X150" i="1"/>
  <c r="X469" i="1"/>
  <c r="X555" i="1"/>
  <c r="X118" i="1"/>
  <c r="X519" i="1"/>
  <c r="X585" i="1"/>
  <c r="X392" i="1"/>
  <c r="X876" i="1"/>
  <c r="X253" i="1"/>
  <c r="X493" i="1"/>
  <c r="X863" i="1"/>
  <c r="X448" i="1"/>
  <c r="X240" i="1"/>
  <c r="X512" i="1"/>
  <c r="X531" i="1"/>
  <c r="X489" i="1"/>
  <c r="X565" i="1"/>
  <c r="X225" i="1"/>
  <c r="X451" i="1"/>
  <c r="Y993" i="1"/>
  <c r="Y890" i="1"/>
  <c r="Y858" i="1"/>
  <c r="Y816" i="1"/>
  <c r="Y796" i="1"/>
  <c r="Y747" i="1"/>
  <c r="Y745" i="1"/>
  <c r="Y703" i="1"/>
  <c r="Y701" i="1"/>
  <c r="Y671" i="1"/>
  <c r="Y669" i="1"/>
  <c r="Y978" i="1"/>
  <c r="Y962" i="1"/>
  <c r="Y930" i="1"/>
  <c r="Y866" i="1"/>
  <c r="Y834" i="1"/>
  <c r="Y776" i="1"/>
  <c r="Y756" i="1"/>
  <c r="Y754" i="1"/>
  <c r="Y724" i="1"/>
  <c r="Y722" i="1"/>
  <c r="Y720" i="1"/>
  <c r="Y718" i="1"/>
  <c r="Y716" i="1"/>
  <c r="Y714" i="1"/>
  <c r="Y712" i="1"/>
  <c r="Y710" i="1"/>
  <c r="Y695" i="1"/>
  <c r="Y693" i="1"/>
  <c r="Y680" i="1"/>
  <c r="Y678" i="1"/>
  <c r="Y656" i="1"/>
  <c r="Y654" i="1"/>
  <c r="Y642" i="1"/>
  <c r="Y635" i="1"/>
  <c r="Y630" i="1"/>
  <c r="Y613" i="1"/>
  <c r="Y598" i="1"/>
  <c r="Y591" i="1"/>
  <c r="Y589" i="1"/>
  <c r="Y539" i="1"/>
  <c r="Y537" i="1"/>
  <c r="Y521" i="1"/>
  <c r="Y519" i="1"/>
  <c r="Y1000" i="1"/>
  <c r="Y997" i="1"/>
  <c r="Y994" i="1"/>
  <c r="Y970" i="1"/>
  <c r="Y915" i="1"/>
  <c r="Y909" i="1"/>
  <c r="Y870" i="1"/>
  <c r="Y761" i="1"/>
  <c r="Y758" i="1"/>
  <c r="Y755" i="1"/>
  <c r="Y740" i="1"/>
  <c r="Y719" i="1"/>
  <c r="Y711" i="1"/>
  <c r="Y696" i="1"/>
  <c r="Y675" i="1"/>
  <c r="Y672" i="1"/>
  <c r="Y658" i="1"/>
  <c r="Y655" i="1"/>
  <c r="Y523" i="1"/>
  <c r="Y507" i="1"/>
  <c r="Y497" i="1"/>
  <c r="Y489" i="1"/>
  <c r="Y476" i="1"/>
  <c r="Y471" i="1"/>
  <c r="Y457" i="1"/>
  <c r="Y455" i="1"/>
  <c r="Y423" i="1"/>
  <c r="Y403" i="1"/>
  <c r="Y396" i="1"/>
  <c r="Y377" i="1"/>
  <c r="Y992" i="1"/>
  <c r="Y964" i="1"/>
  <c r="Y907" i="1"/>
  <c r="Y851" i="1"/>
  <c r="Y820" i="1"/>
  <c r="Y788" i="1"/>
  <c r="Y738" i="1"/>
  <c r="Y731" i="1"/>
  <c r="Y694" i="1"/>
  <c r="Y687" i="1"/>
  <c r="Y670" i="1"/>
  <c r="Y626" i="1"/>
  <c r="Y549" i="1"/>
  <c r="Y1002" i="1"/>
  <c r="Y980" i="1"/>
  <c r="Y917" i="1"/>
  <c r="Y891" i="1"/>
  <c r="Y878" i="1"/>
  <c r="Y875" i="1"/>
  <c r="Y838" i="1"/>
  <c r="Y835" i="1"/>
  <c r="Y780" i="1"/>
  <c r="Y751" i="1"/>
  <c r="Y748" i="1"/>
  <c r="Y721" i="1"/>
  <c r="Y702" i="1"/>
  <c r="Y651" i="1"/>
  <c r="Y648" i="1"/>
  <c r="Y639" i="1"/>
  <c r="Y602" i="1"/>
  <c r="Y565" i="1"/>
  <c r="Y554" i="1"/>
  <c r="Y483" i="1"/>
  <c r="Y459" i="1"/>
  <c r="Y439" i="1"/>
  <c r="Y433" i="1"/>
  <c r="Y427" i="1"/>
  <c r="Y415" i="1"/>
  <c r="Y412" i="1"/>
  <c r="Y409" i="1"/>
  <c r="Y400" i="1"/>
  <c r="Y371" i="1"/>
  <c r="Y359" i="1"/>
  <c r="Y324" i="1"/>
  <c r="Y319" i="1"/>
  <c r="Y311" i="1"/>
  <c r="Y268" i="1"/>
  <c r="Y247" i="1"/>
  <c r="Y239" i="1"/>
  <c r="Y236" i="1"/>
  <c r="Y216" i="1"/>
  <c r="Y206" i="1"/>
  <c r="Y204" i="1"/>
  <c r="Y202" i="1"/>
  <c r="Y200" i="1"/>
  <c r="Y198" i="1"/>
  <c r="Y196" i="1"/>
  <c r="Y194" i="1"/>
  <c r="Y192" i="1"/>
  <c r="Y190" i="1"/>
  <c r="Y188" i="1"/>
  <c r="Y186" i="1"/>
  <c r="Y184" i="1"/>
  <c r="Y182" i="1"/>
  <c r="Y180" i="1"/>
  <c r="Y176" i="1"/>
  <c r="Y174" i="1"/>
  <c r="Y172" i="1"/>
  <c r="Y170" i="1"/>
  <c r="Y168" i="1"/>
  <c r="Y164" i="1"/>
  <c r="Y162" i="1"/>
  <c r="Y160" i="1"/>
  <c r="Y158" i="1"/>
  <c r="Y156" i="1"/>
  <c r="Y154" i="1"/>
  <c r="Y152" i="1"/>
  <c r="Y150" i="1"/>
  <c r="Y148" i="1"/>
  <c r="Y144" i="1"/>
  <c r="Y142" i="1"/>
  <c r="Y140" i="1"/>
  <c r="Y138" i="1"/>
  <c r="Y136" i="1"/>
  <c r="Y132" i="1"/>
  <c r="Y130" i="1"/>
  <c r="Y128" i="1"/>
  <c r="Y126" i="1"/>
  <c r="Y124" i="1"/>
  <c r="Y122" i="1"/>
  <c r="Y120" i="1"/>
  <c r="Y118" i="1"/>
  <c r="Y116" i="1"/>
  <c r="Y114" i="1"/>
  <c r="Y112" i="1"/>
  <c r="Y110" i="1"/>
  <c r="Y108" i="1"/>
  <c r="Y106" i="1"/>
  <c r="Y104" i="1"/>
  <c r="Y102" i="1"/>
  <c r="Y100" i="1"/>
  <c r="Y98" i="1"/>
  <c r="Y96" i="1"/>
  <c r="Y94" i="1"/>
  <c r="Y92" i="1"/>
  <c r="Y90" i="1"/>
  <c r="Y88" i="1"/>
  <c r="Y84" i="1"/>
  <c r="Y986" i="1"/>
  <c r="Y897" i="1"/>
  <c r="Y883" i="1"/>
  <c r="Y846" i="1"/>
  <c r="Y843" i="1"/>
  <c r="Y800" i="1"/>
  <c r="Y729" i="1"/>
  <c r="Y726" i="1"/>
  <c r="Y723" i="1"/>
  <c r="Y707" i="1"/>
  <c r="Y704" i="1"/>
  <c r="Y677" i="1"/>
  <c r="Y570" i="1"/>
  <c r="Y567" i="1"/>
  <c r="Y511" i="1"/>
  <c r="Y508" i="1"/>
  <c r="Y499" i="1"/>
  <c r="Y485" i="1"/>
  <c r="Y461" i="1"/>
  <c r="Y417" i="1"/>
  <c r="Y379" i="1"/>
  <c r="Y70" i="1"/>
  <c r="Y308" i="1"/>
  <c r="Y871" i="1"/>
  <c r="Y146" i="1"/>
  <c r="Y872" i="1"/>
  <c r="Y79" i="1"/>
  <c r="Y54" i="1"/>
  <c r="Y134" i="1"/>
  <c r="Y444" i="1"/>
  <c r="Y619" i="1"/>
  <c r="Y839" i="1"/>
  <c r="Y47" i="1"/>
  <c r="Y397" i="1"/>
  <c r="Y244" i="1"/>
  <c r="Y357" i="1"/>
  <c r="Y584" i="1"/>
  <c r="Y67" i="1"/>
  <c r="Y107" i="1"/>
  <c r="Y143" i="1"/>
  <c r="Y230" i="1"/>
  <c r="Y384" i="1"/>
  <c r="Y504" i="1"/>
  <c r="Y496" i="1"/>
  <c r="Y803" i="1"/>
  <c r="Y147" i="1"/>
  <c r="Y195" i="1"/>
  <c r="Y369" i="1"/>
  <c r="Y435" i="1"/>
  <c r="Y493" i="1"/>
  <c r="Y574" i="1"/>
  <c r="Y863" i="1"/>
  <c r="Y618" i="1"/>
  <c r="Y313" i="1"/>
  <c r="Y429" i="1"/>
  <c r="Y512" i="1"/>
  <c r="Y553" i="1"/>
  <c r="Y155" i="1"/>
  <c r="Y199" i="1"/>
  <c r="Y215" i="1"/>
  <c r="Y352" i="1"/>
  <c r="Y563" i="1"/>
  <c r="Y771" i="1"/>
  <c r="Y868" i="1"/>
  <c r="Y862" i="1"/>
  <c r="Y859" i="1"/>
  <c r="Y746" i="1"/>
  <c r="Y646" i="1"/>
  <c r="Y643" i="1"/>
  <c r="Y637" i="1"/>
  <c r="Y634" i="1"/>
  <c r="Y631" i="1"/>
  <c r="Y586" i="1"/>
  <c r="Y538" i="1"/>
  <c r="Y468" i="1"/>
  <c r="Y443" i="1"/>
  <c r="Y431" i="1"/>
  <c r="Y425" i="1"/>
  <c r="Y365" i="1"/>
  <c r="Y348" i="1"/>
  <c r="Y339" i="1"/>
  <c r="Y337" i="1"/>
  <c r="Y166" i="1"/>
  <c r="Y580" i="1"/>
  <c r="Y904" i="1"/>
  <c r="Y543" i="1"/>
  <c r="Y888" i="1"/>
  <c r="Y361" i="1"/>
  <c r="Y864" i="1"/>
  <c r="Y151" i="1"/>
  <c r="Y159" i="1"/>
  <c r="Y231" i="1"/>
  <c r="Y452" i="1"/>
  <c r="Y505" i="1"/>
  <c r="Y590" i="1"/>
  <c r="Y807" i="1"/>
  <c r="Y99" i="1"/>
  <c r="Y115" i="1"/>
  <c r="Y583" i="1"/>
  <c r="Y607" i="1"/>
  <c r="Y392" i="1"/>
  <c r="Y876" i="1"/>
  <c r="Y179" i="1"/>
  <c r="Y253" i="1"/>
  <c r="Y404" i="1"/>
  <c r="Y473" i="1"/>
  <c r="Y463" i="1"/>
  <c r="Y355" i="1"/>
  <c r="Y327" i="1"/>
  <c r="Y303" i="1"/>
  <c r="Y279" i="1"/>
  <c r="Y73" i="1"/>
  <c r="Y65" i="1"/>
  <c r="Y57" i="1"/>
  <c r="Y49" i="1"/>
  <c r="Y713" i="1"/>
  <c r="Y621" i="1"/>
  <c r="Y528" i="1"/>
  <c r="Y525" i="1"/>
  <c r="Y491" i="1"/>
  <c r="Y419" i="1"/>
  <c r="Y387" i="1"/>
  <c r="Y305" i="1"/>
  <c r="Y232" i="1"/>
  <c r="Y189" i="1"/>
  <c r="Y117" i="1"/>
  <c r="Y109" i="1"/>
  <c r="Y101" i="1"/>
  <c r="Y93" i="1"/>
  <c r="Y85" i="1"/>
  <c r="Y587" i="1"/>
  <c r="Y887" i="1"/>
  <c r="Y86" i="1"/>
  <c r="Y178" i="1"/>
  <c r="Y91" i="1"/>
  <c r="Y127" i="1"/>
  <c r="Y363" i="1"/>
  <c r="Y325" i="1"/>
  <c r="Y269" i="1"/>
  <c r="Y228" i="1"/>
  <c r="Y210" i="1"/>
  <c r="Y201" i="1"/>
  <c r="Y193" i="1"/>
  <c r="Y177" i="1"/>
  <c r="Y169" i="1"/>
  <c r="Y161" i="1"/>
  <c r="Y153" i="1"/>
  <c r="Y145" i="1"/>
  <c r="Y137" i="1"/>
  <c r="Y129" i="1"/>
  <c r="Y87" i="1"/>
  <c r="Y135" i="1"/>
  <c r="Y481" i="1"/>
  <c r="Y167" i="1"/>
  <c r="Y63" i="1"/>
  <c r="Y393" i="1"/>
  <c r="Y59" i="1"/>
  <c r="Y111" i="1"/>
  <c r="Y582" i="1"/>
  <c r="Y848" i="1"/>
  <c r="Y548" i="1"/>
  <c r="Y600" i="1"/>
  <c r="Y187" i="1"/>
  <c r="Y547" i="1"/>
  <c r="Y606" i="1"/>
  <c r="Y344" i="1"/>
  <c r="Y480" i="1"/>
  <c r="Y524" i="1"/>
  <c r="Y568" i="1"/>
  <c r="Y139" i="1"/>
  <c r="Y774" i="1"/>
  <c r="Y908" i="1"/>
  <c r="Y432" i="1"/>
  <c r="Y542" i="1"/>
  <c r="Y599" i="1"/>
  <c r="Y225" i="1"/>
  <c r="Y293" i="1"/>
  <c r="Y353" i="1"/>
  <c r="Y424" i="1"/>
  <c r="Y569" i="1"/>
  <c r="Y237" i="1"/>
  <c r="Y428" i="1"/>
  <c r="Y449" i="1"/>
  <c r="Y530" i="1"/>
  <c r="Y561" i="1"/>
  <c r="Y577" i="1"/>
  <c r="Y625" i="1"/>
  <c r="Y593" i="1"/>
  <c r="Y763" i="1"/>
  <c r="Y544" i="1"/>
  <c r="Y827" i="1"/>
  <c r="Y556" i="1"/>
  <c r="Y900" i="1"/>
  <c r="Y775" i="1"/>
  <c r="Y69" i="1"/>
  <c r="Y89" i="1"/>
  <c r="Y121" i="1"/>
  <c r="Y141" i="1"/>
  <c r="Y173" i="1"/>
  <c r="Y205" i="1"/>
  <c r="Y264" i="1"/>
  <c r="Y294" i="1"/>
  <c r="Y338" i="1"/>
  <c r="Y367" i="1"/>
  <c r="Y343" i="1"/>
  <c r="Y332" i="1"/>
  <c r="Y226" i="1"/>
  <c r="Y82" i="1"/>
  <c r="Y74" i="1"/>
  <c r="Y66" i="1"/>
  <c r="Y58" i="1"/>
  <c r="Y50" i="1"/>
  <c r="Y840" i="1"/>
  <c r="Y855" i="1"/>
  <c r="Y103" i="1"/>
  <c r="Y535" i="1"/>
  <c r="Y592" i="1"/>
  <c r="Y83" i="1"/>
  <c r="Y456" i="1"/>
  <c r="Y540" i="1"/>
  <c r="Y604" i="1"/>
  <c r="Y566" i="1"/>
  <c r="Y163" i="1"/>
  <c r="Y844" i="1"/>
  <c r="Y329" i="1"/>
  <c r="Y612" i="1"/>
  <c r="Y123" i="1"/>
  <c r="Y297" i="1"/>
  <c r="Y440" i="1"/>
  <c r="Y879" i="1"/>
  <c r="Y501" i="1"/>
  <c r="Y852" i="1"/>
  <c r="Y252" i="1"/>
  <c r="Y445" i="1"/>
  <c r="Y534" i="1"/>
  <c r="Y261" i="1"/>
  <c r="Y532" i="1"/>
  <c r="Y209" i="1"/>
  <c r="Y368" i="1"/>
  <c r="Y441" i="1"/>
  <c r="Y513" i="1"/>
  <c r="Y620" i="1"/>
  <c r="Y766" i="1"/>
  <c r="Y605" i="1"/>
  <c r="Y578" i="1"/>
  <c r="Y515" i="1"/>
  <c r="Y552" i="1"/>
  <c r="Y560" i="1"/>
  <c r="Y596" i="1"/>
  <c r="Y627" i="1"/>
  <c r="Y795" i="1"/>
  <c r="Y790" i="1"/>
  <c r="Y45" i="1"/>
  <c r="Y61" i="1"/>
  <c r="Y157" i="1"/>
  <c r="Y185" i="1"/>
  <c r="Y229" i="1"/>
  <c r="Y260" i="1"/>
  <c r="Y354" i="1"/>
  <c r="Y372" i="1"/>
  <c r="Y259" i="1"/>
  <c r="Y323" i="1"/>
  <c r="Y246" i="1"/>
  <c r="Y278" i="1"/>
  <c r="Y310" i="1"/>
  <c r="Y211" i="1"/>
  <c r="Y227" i="1"/>
  <c r="Y256" i="1"/>
  <c r="Y282" i="1"/>
  <c r="Y434" i="1"/>
  <c r="Y498" i="1"/>
  <c r="Y454" i="1"/>
  <c r="Y518" i="1"/>
  <c r="Y426" i="1"/>
  <c r="Y458" i="1"/>
  <c r="Y490" i="1"/>
  <c r="Y522" i="1"/>
  <c r="Y430" i="1"/>
  <c r="Y494" i="1"/>
  <c r="Y475" i="1"/>
  <c r="Y472" i="1"/>
  <c r="Y76" i="1"/>
  <c r="Y68" i="1"/>
  <c r="Y60" i="1"/>
  <c r="Y52" i="1"/>
  <c r="Y44" i="1"/>
  <c r="Y71" i="1"/>
  <c r="Y401" i="1"/>
  <c r="Y119" i="1"/>
  <c r="Y464" i="1"/>
  <c r="Y779" i="1"/>
  <c r="Y614" i="1"/>
  <c r="Y203" i="1"/>
  <c r="Y448" i="1"/>
  <c r="Y616" i="1"/>
  <c r="Y171" i="1"/>
  <c r="Y509" i="1"/>
  <c r="Y306" i="1"/>
  <c r="Y884" i="1"/>
  <c r="Y276" i="1"/>
  <c r="Y420" i="1"/>
  <c r="Y451" i="1"/>
  <c r="Y581" i="1"/>
  <c r="Y233" i="1"/>
  <c r="Y336" i="1"/>
  <c r="Y385" i="1"/>
  <c r="Y573" i="1"/>
  <c r="Y595" i="1"/>
  <c r="Y546" i="1"/>
  <c r="Y529" i="1"/>
  <c r="Y572" i="1"/>
  <c r="Y610" i="1"/>
  <c r="Y815" i="1"/>
  <c r="Y78" i="1"/>
  <c r="Y62" i="1"/>
  <c r="Y46" i="1"/>
  <c r="Y43" i="1"/>
  <c r="Y360" i="1"/>
  <c r="Y880" i="1"/>
  <c r="Y405" i="1"/>
  <c r="Y413" i="1"/>
  <c r="Y564" i="1"/>
  <c r="Y860" i="1"/>
  <c r="Y183" i="1"/>
  <c r="Y222" i="1"/>
  <c r="Y381" i="1"/>
  <c r="Y328" i="1"/>
  <c r="Y624" i="1"/>
  <c r="Y217" i="1"/>
  <c r="Y484" i="1"/>
  <c r="Y588" i="1"/>
  <c r="Y281" i="1"/>
  <c r="Y321" i="1"/>
  <c r="Y437" i="1"/>
  <c r="Y559" i="1"/>
  <c r="Y245" i="1"/>
  <c r="X992" i="1"/>
  <c r="X976" i="1"/>
  <c r="X960" i="1"/>
  <c r="Y975" i="1"/>
  <c r="Y955" i="1"/>
  <c r="Y947" i="1"/>
  <c r="Y939" i="1"/>
  <c r="Y931" i="1"/>
  <c r="Y923" i="1"/>
  <c r="Y995" i="1"/>
  <c r="Y963" i="1"/>
  <c r="Y983" i="1"/>
  <c r="Y987" i="1"/>
  <c r="Y956" i="1"/>
  <c r="Y940" i="1"/>
  <c r="Y924" i="1"/>
  <c r="Y830" i="1"/>
  <c r="Y817" i="1"/>
  <c r="Y809" i="1"/>
  <c r="Y801" i="1"/>
  <c r="Y793" i="1"/>
  <c r="Y785" i="1"/>
  <c r="Y777" i="1"/>
  <c r="Y769" i="1"/>
  <c r="X758" i="1"/>
  <c r="X742" i="1"/>
  <c r="X726" i="1"/>
  <c r="X710" i="1"/>
  <c r="X694" i="1"/>
  <c r="X678" i="1"/>
  <c r="X662" i="1"/>
  <c r="X646" i="1"/>
  <c r="X630" i="1"/>
  <c r="Y944" i="1"/>
  <c r="Y928" i="1"/>
  <c r="X828" i="1"/>
  <c r="X747" i="1"/>
  <c r="X731" i="1"/>
  <c r="X715" i="1"/>
  <c r="X699" i="1"/>
  <c r="X683" i="1"/>
  <c r="X667" i="1"/>
  <c r="X651" i="1"/>
  <c r="X635" i="1"/>
  <c r="Y821" i="1"/>
  <c r="X813" i="1"/>
  <c r="X800" i="1"/>
  <c r="Y789" i="1"/>
  <c r="X781" i="1"/>
  <c r="X768" i="1"/>
  <c r="X997" i="1"/>
  <c r="X981" i="1"/>
  <c r="X965" i="1"/>
  <c r="X949" i="1"/>
  <c r="X933" i="1"/>
  <c r="Y819" i="1"/>
  <c r="X917" i="1"/>
  <c r="X901" i="1"/>
  <c r="X998" i="1"/>
  <c r="Y982" i="1"/>
  <c r="Y966" i="1"/>
  <c r="Y950" i="1"/>
  <c r="Y934" i="1"/>
  <c r="Y918" i="1"/>
  <c r="X823" i="1"/>
  <c r="Y783" i="1"/>
  <c r="Y749" i="1"/>
  <c r="Y985" i="1"/>
  <c r="Y969" i="1"/>
  <c r="Y953" i="1"/>
  <c r="Y937" i="1"/>
  <c r="Y921" i="1"/>
  <c r="Y910" i="1"/>
  <c r="X831" i="1"/>
  <c r="X791" i="1"/>
  <c r="Y757" i="1"/>
  <c r="Y725" i="1"/>
  <c r="Y898" i="1"/>
  <c r="Y885" i="1"/>
  <c r="Y877" i="1"/>
  <c r="Y869" i="1"/>
  <c r="Y861" i="1"/>
  <c r="Y853" i="1"/>
  <c r="Y845" i="1"/>
  <c r="Y837" i="1"/>
  <c r="Y760" i="1"/>
  <c r="Y744" i="1"/>
  <c r="Y728" i="1"/>
  <c r="X713" i="1"/>
  <c r="Y681" i="1"/>
  <c r="Y649" i="1"/>
  <c r="Y736" i="1"/>
  <c r="Y684" i="1"/>
  <c r="Y652" i="1"/>
  <c r="Y705" i="1"/>
  <c r="Y673" i="1"/>
  <c r="Y641" i="1"/>
  <c r="Y708" i="1"/>
  <c r="Y676" i="1"/>
  <c r="X656" i="1"/>
  <c r="X637" i="1"/>
  <c r="Y510" i="1"/>
  <c r="X478" i="1"/>
  <c r="X455" i="1"/>
  <c r="X423" i="1"/>
  <c r="Y398" i="1"/>
  <c r="X490" i="1"/>
  <c r="X442" i="1"/>
  <c r="Y410" i="1"/>
  <c r="Y502" i="1"/>
  <c r="Y470" i="1"/>
  <c r="X438" i="1"/>
  <c r="X415" i="1"/>
  <c r="Y382" i="1"/>
  <c r="X363" i="1"/>
  <c r="Y342" i="1"/>
  <c r="Y514" i="1"/>
  <c r="X482" i="1"/>
  <c r="X459" i="1"/>
  <c r="X427" i="1"/>
  <c r="Y402" i="1"/>
  <c r="X378" i="1"/>
  <c r="X324" i="1"/>
  <c r="X307" i="1"/>
  <c r="X286" i="1"/>
  <c r="X239" i="1"/>
  <c r="X216" i="1"/>
  <c r="Y383" i="1"/>
  <c r="X299" i="1"/>
  <c r="Y267" i="1"/>
  <c r="Y394" i="1"/>
  <c r="X359" i="1"/>
  <c r="X323" i="1"/>
  <c r="Y298" i="1"/>
  <c r="X270" i="1"/>
  <c r="Y386" i="1"/>
  <c r="Y346" i="1"/>
  <c r="X300" i="1"/>
  <c r="Y283" i="1"/>
  <c r="X251" i="1"/>
  <c r="Y213" i="1"/>
  <c r="X188" i="1"/>
  <c r="X168" i="1"/>
  <c r="Y149" i="1"/>
  <c r="Y133" i="1"/>
  <c r="Y113" i="1"/>
  <c r="X96" i="1"/>
  <c r="Y77" i="1"/>
  <c r="X56" i="1"/>
  <c r="X201" i="1"/>
  <c r="X117" i="1"/>
  <c r="Y912" i="1"/>
  <c r="X858" i="1"/>
  <c r="X761" i="1"/>
  <c r="X795" i="1"/>
  <c r="X594" i="1"/>
  <c r="Y541" i="1"/>
  <c r="Y664" i="1"/>
  <c r="X629" i="1"/>
  <c r="X632" i="1"/>
  <c r="X577" i="1"/>
  <c r="X513" i="1"/>
  <c r="Y312" i="1"/>
  <c r="X569" i="1"/>
  <c r="Y373" i="1"/>
  <c r="X249" i="1"/>
  <c r="Y488" i="1"/>
  <c r="X241" i="1"/>
  <c r="Y836" i="1"/>
  <c r="Y847" i="1"/>
  <c r="Y892" i="1"/>
  <c r="X313" i="1"/>
  <c r="X369" i="1"/>
  <c r="Y536" i="1"/>
  <c r="X586" i="1"/>
  <c r="Y75" i="1"/>
  <c r="X875" i="1"/>
  <c r="Y48" i="1"/>
  <c r="Y80" i="1"/>
  <c r="X111" i="1"/>
  <c r="Y679" i="1"/>
  <c r="Y682" i="1"/>
  <c r="Y685" i="1"/>
  <c r="Y688" i="1"/>
  <c r="X950" i="1"/>
  <c r="X934" i="1"/>
  <c r="X918" i="1"/>
  <c r="X749" i="1"/>
  <c r="X985" i="1"/>
  <c r="X969" i="1"/>
  <c r="X953" i="1"/>
  <c r="X937" i="1"/>
  <c r="X921" i="1"/>
  <c r="X910" i="1"/>
  <c r="Y831" i="1"/>
  <c r="Y791" i="1"/>
  <c r="X757" i="1"/>
  <c r="X725" i="1"/>
  <c r="X898" i="1"/>
  <c r="X885" i="1"/>
  <c r="X877" i="1"/>
  <c r="X869" i="1"/>
  <c r="X861" i="1"/>
  <c r="X853" i="1"/>
  <c r="X845" i="1"/>
  <c r="X837" i="1"/>
  <c r="X760" i="1"/>
  <c r="X744" i="1"/>
  <c r="X728" i="1"/>
  <c r="X716" i="1"/>
  <c r="X681" i="1"/>
  <c r="X649" i="1"/>
  <c r="X736" i="1"/>
  <c r="X684" i="1"/>
  <c r="X652" i="1"/>
  <c r="X705" i="1"/>
  <c r="X673" i="1"/>
  <c r="X641" i="1"/>
  <c r="X708" i="1"/>
  <c r="X685" i="1"/>
  <c r="Y660" i="1"/>
  <c r="X640" i="1"/>
  <c r="Y526" i="1"/>
  <c r="X487" i="1"/>
  <c r="Y462" i="1"/>
  <c r="X430" i="1"/>
  <c r="X398" i="1"/>
  <c r="Y506" i="1"/>
  <c r="X458" i="1"/>
  <c r="X410" i="1"/>
  <c r="X502" i="1"/>
  <c r="X479" i="1"/>
  <c r="X447" i="1"/>
  <c r="Y422" i="1"/>
  <c r="Y390" i="1"/>
  <c r="Y366" i="1"/>
  <c r="X347" i="1"/>
  <c r="Y326" i="1"/>
  <c r="X491" i="1"/>
  <c r="Y466" i="1"/>
  <c r="X434" i="1"/>
  <c r="X402" i="1"/>
  <c r="Y378" i="1"/>
  <c r="X340" i="1"/>
  <c r="Y314" i="1"/>
  <c r="Y286" i="1"/>
  <c r="X271" i="1"/>
  <c r="Y243" i="1"/>
  <c r="Y219" i="1"/>
  <c r="X388" i="1"/>
  <c r="X310" i="1"/>
  <c r="X267" i="1"/>
  <c r="Y235" i="1"/>
  <c r="Y375" i="1"/>
  <c r="X327" i="1"/>
  <c r="Y302" i="1"/>
  <c r="Y270" i="1"/>
  <c r="X238" i="1"/>
  <c r="Y362" i="1"/>
  <c r="X311" i="1"/>
  <c r="Y290" i="1"/>
  <c r="X262" i="1"/>
  <c r="Y221" i="1"/>
  <c r="X192" i="1"/>
  <c r="X176" i="1"/>
  <c r="X156" i="1"/>
  <c r="X136" i="1"/>
  <c r="X120" i="1"/>
  <c r="Y97" i="1"/>
  <c r="Y81" i="1"/>
  <c r="X64" i="1"/>
  <c r="X44" i="1"/>
  <c r="X153" i="1"/>
  <c r="X65" i="1"/>
  <c r="X874" i="1"/>
  <c r="Y822" i="1"/>
  <c r="X693" i="1"/>
  <c r="X610" i="1"/>
  <c r="X556" i="1"/>
  <c r="Y903" i="1"/>
  <c r="Y916" i="1"/>
  <c r="X546" i="1"/>
  <c r="Y608" i="1"/>
  <c r="Y557" i="1"/>
  <c r="X385" i="1"/>
  <c r="X237" i="1"/>
  <c r="Y516" i="1"/>
  <c r="Y272" i="1"/>
  <c r="Y571" i="1"/>
  <c r="X281" i="1"/>
  <c r="Y263" i="1"/>
  <c r="X403" i="1"/>
  <c r="Y191" i="1"/>
  <c r="X413" i="1"/>
  <c r="X547" i="1"/>
  <c r="X591" i="1"/>
  <c r="Y51" i="1"/>
  <c r="X198" i="1"/>
  <c r="X186" i="1"/>
  <c r="Y72" i="1"/>
  <c r="X207" i="1"/>
  <c r="Y207" i="1"/>
  <c r="Y212" i="1"/>
  <c r="Y287" i="1"/>
  <c r="Y295" i="1"/>
  <c r="X322" i="1"/>
  <c r="Y395" i="1"/>
  <c r="X592" i="1"/>
  <c r="Y240" i="1"/>
  <c r="Y248" i="1"/>
  <c r="Y315" i="1"/>
  <c r="X360" i="1"/>
  <c r="Y214" i="1"/>
  <c r="X214" i="1"/>
  <c r="Y218" i="1"/>
  <c r="X222" i="1"/>
  <c r="X273" i="1"/>
  <c r="Y273" i="1"/>
  <c r="Y277" i="1"/>
  <c r="Y715" i="1"/>
  <c r="Y735" i="1"/>
  <c r="Y739" i="1"/>
  <c r="X911" i="1"/>
  <c r="Y911" i="1"/>
  <c r="X213" i="1"/>
  <c r="X217" i="1"/>
  <c r="X221" i="1"/>
  <c r="Y241" i="1"/>
  <c r="Y249" i="1"/>
  <c r="Y257" i="1"/>
  <c r="Y265" i="1"/>
  <c r="X272" i="1"/>
  <c r="X276" i="1"/>
  <c r="X290" i="1"/>
  <c r="Y300" i="1"/>
  <c r="X334" i="1"/>
  <c r="X460" i="1"/>
  <c r="Y460" i="1"/>
  <c r="Y477" i="1"/>
  <c r="Y503" i="1"/>
  <c r="X802" i="1"/>
  <c r="X810" i="1"/>
  <c r="Y946" i="1"/>
  <c r="Y208" i="1"/>
  <c r="X219" i="1"/>
  <c r="Y223" i="1"/>
  <c r="X223" i="1"/>
  <c r="Y255" i="1"/>
  <c r="Y284" i="1"/>
  <c r="X284" i="1"/>
  <c r="X288" i="1"/>
  <c r="X308" i="1"/>
  <c r="Y316" i="1"/>
  <c r="Y407" i="1"/>
  <c r="Y465" i="1"/>
  <c r="Y487" i="1"/>
  <c r="Y531" i="1"/>
  <c r="Y609" i="1"/>
  <c r="Y617" i="1"/>
  <c r="Y709" i="1"/>
  <c r="X848" i="1"/>
  <c r="X852" i="1"/>
  <c r="X856" i="1"/>
  <c r="Y856" i="1"/>
  <c r="Y996" i="1"/>
  <c r="Y220" i="1"/>
  <c r="Y224" i="1"/>
  <c r="X248" i="1"/>
  <c r="X256" i="1"/>
  <c r="X264" i="1"/>
  <c r="Y271" i="1"/>
  <c r="Y289" i="1"/>
  <c r="X289" i="1"/>
  <c r="X296" i="1"/>
  <c r="X309" i="1"/>
  <c r="Y309" i="1"/>
  <c r="Y317" i="1"/>
  <c r="Y351" i="1"/>
  <c r="X401" i="1"/>
  <c r="Y416" i="1"/>
  <c r="X416" i="1"/>
  <c r="Y447" i="1"/>
  <c r="X825" i="1"/>
  <c r="Y331" i="1"/>
  <c r="X342" i="1"/>
  <c r="Y345" i="1"/>
  <c r="X354" i="1"/>
  <c r="X362" i="1"/>
  <c r="Y389" i="1"/>
  <c r="Y421" i="1"/>
  <c r="Y453" i="1"/>
  <c r="Y500" i="1"/>
  <c r="Y520" i="1"/>
  <c r="Y527" i="1"/>
  <c r="Y579" i="1"/>
  <c r="X583" i="1"/>
  <c r="Y623" i="1"/>
  <c r="Y663" i="1"/>
  <c r="Y667" i="1"/>
  <c r="Y691" i="1"/>
  <c r="Y742" i="1"/>
  <c r="X771" i="1"/>
  <c r="X855" i="1"/>
  <c r="Y949" i="1"/>
  <c r="Y957" i="1"/>
  <c r="Y335" i="1"/>
  <c r="Y340" i="1"/>
  <c r="Y349" i="1"/>
  <c r="X358" i="1"/>
  <c r="X366" i="1"/>
  <c r="Y399" i="1"/>
  <c r="Y408" i="1"/>
  <c r="Y411" i="1"/>
  <c r="X444" i="1"/>
  <c r="Y469" i="1"/>
  <c r="Y495" i="1"/>
  <c r="X536" i="1"/>
  <c r="Y597" i="1"/>
  <c r="Y601" i="1"/>
  <c r="Y653" i="1"/>
  <c r="Y732" i="1"/>
  <c r="Y753" i="1"/>
  <c r="Y792" i="1"/>
  <c r="X818" i="1"/>
  <c r="X822" i="1"/>
  <c r="Y867" i="1"/>
  <c r="Y874" i="1"/>
  <c r="Y893" i="1"/>
  <c r="X904" i="1"/>
  <c r="Y989" i="1"/>
  <c r="Y1001" i="1"/>
  <c r="Y333" i="1"/>
  <c r="Y347" i="1"/>
  <c r="Y356" i="1"/>
  <c r="Y364" i="1"/>
  <c r="Y467" i="1"/>
  <c r="Y479" i="1"/>
  <c r="X492" i="1"/>
  <c r="X505" i="1"/>
  <c r="Y550" i="1"/>
  <c r="Y645" i="1"/>
  <c r="Y674" i="1"/>
  <c r="Y698" i="1"/>
  <c r="Y717" i="1"/>
  <c r="X762" i="1"/>
  <c r="X770" i="1"/>
  <c r="X887" i="1"/>
  <c r="Y905" i="1"/>
  <c r="Y972" i="1"/>
  <c r="Y976" i="1"/>
  <c r="Y990" i="1"/>
  <c r="Y517" i="1"/>
  <c r="Y533" i="1"/>
  <c r="Y545" i="1"/>
  <c r="Y555" i="1"/>
  <c r="X572" i="1"/>
  <c r="Y585" i="1"/>
  <c r="Y594" i="1"/>
  <c r="Y603" i="1"/>
  <c r="Y638" i="1"/>
  <c r="Y647" i="1"/>
  <c r="Y650" i="1"/>
  <c r="Y666" i="1"/>
  <c r="Y706" i="1"/>
  <c r="Y750" i="1"/>
  <c r="X799" i="1"/>
  <c r="X829" i="1"/>
  <c r="Y842" i="1"/>
  <c r="X864" i="1"/>
  <c r="Y882" i="1"/>
  <c r="Y899" i="1"/>
  <c r="Y938" i="1"/>
  <c r="Y960" i="1"/>
  <c r="Y988" i="1"/>
  <c r="X548" i="1"/>
  <c r="X558" i="1"/>
  <c r="Y575" i="1"/>
  <c r="X587" i="1"/>
  <c r="Y611" i="1"/>
  <c r="Y640" i="1"/>
  <c r="Y686" i="1"/>
  <c r="Y699" i="1"/>
  <c r="Y730" i="1"/>
  <c r="Y737" i="1"/>
  <c r="Y743" i="1"/>
  <c r="Y768" i="1"/>
  <c r="Y772" i="1"/>
  <c r="X787" i="1"/>
  <c r="X790" i="1"/>
  <c r="X794" i="1"/>
  <c r="X798" i="1"/>
  <c r="Y808" i="1"/>
  <c r="Y812" i="1"/>
  <c r="X819" i="1"/>
  <c r="Y832" i="1"/>
  <c r="Y850" i="1"/>
  <c r="X884" i="1"/>
  <c r="X888" i="1"/>
  <c r="Y925" i="1"/>
  <c r="Y933" i="1"/>
  <c r="Y973" i="1"/>
  <c r="Y662" i="1"/>
  <c r="Y690" i="1"/>
  <c r="Y734" i="1"/>
  <c r="Y764" i="1"/>
  <c r="Y784" i="1"/>
  <c r="X807" i="1"/>
  <c r="Y826" i="1"/>
  <c r="Y854" i="1"/>
  <c r="Y886" i="1"/>
  <c r="Y901" i="1"/>
  <c r="Y922" i="1"/>
  <c r="Y954" i="1"/>
  <c r="Y968" i="1"/>
  <c r="Y984" i="1"/>
  <c r="Y659" i="1"/>
  <c r="Y683" i="1"/>
  <c r="Y727" i="1"/>
  <c r="Y759" i="1"/>
  <c r="X779" i="1"/>
  <c r="Y804" i="1"/>
  <c r="Y824" i="1"/>
  <c r="X839" i="1"/>
  <c r="X871" i="1"/>
  <c r="X896" i="1"/>
  <c r="Y913" i="1"/>
  <c r="Y941" i="1"/>
  <c r="Y965" i="1"/>
  <c r="Y981" i="1"/>
  <c r="Y998" i="1"/>
  <c r="R27" i="1"/>
  <c r="S27" i="1"/>
  <c r="T27" i="1"/>
  <c r="R21" i="1"/>
  <c r="S21" i="1"/>
  <c r="T21" i="1"/>
  <c r="R22" i="1"/>
  <c r="S22" i="1"/>
  <c r="T22" i="1"/>
  <c r="R26" i="1"/>
  <c r="S26" i="1"/>
  <c r="T26" i="1"/>
  <c r="R20" i="1"/>
  <c r="S20" i="1"/>
  <c r="T20" i="1"/>
  <c r="R25" i="1"/>
  <c r="S25" i="1"/>
  <c r="T25" i="1"/>
  <c r="R24" i="1"/>
  <c r="S24" i="1"/>
  <c r="T24" i="1"/>
  <c r="X3" i="1"/>
  <c r="R23" i="1"/>
  <c r="S23" i="1"/>
  <c r="T23" i="1"/>
  <c r="R34" i="1"/>
  <c r="S34" i="1"/>
  <c r="T34" i="1"/>
  <c r="R36" i="1"/>
  <c r="S36" i="1"/>
  <c r="T36" i="1"/>
  <c r="R39" i="1"/>
  <c r="S39" i="1"/>
  <c r="T39" i="1"/>
  <c r="R40" i="1"/>
  <c r="S40" i="1"/>
  <c r="T40" i="1"/>
  <c r="R38" i="1"/>
  <c r="S38" i="1"/>
  <c r="T38" i="1"/>
  <c r="R37" i="1"/>
  <c r="S37" i="1"/>
  <c r="T37" i="1"/>
  <c r="Y3" i="1"/>
  <c r="R35" i="1"/>
  <c r="S35" i="1"/>
  <c r="T35" i="1"/>
  <c r="R33" i="1"/>
  <c r="S33" i="1"/>
  <c r="T33" i="1"/>
  <c r="Q11" i="1"/>
  <c r="Q10" i="1"/>
  <c r="T30" i="1"/>
  <c r="T17" i="1"/>
  <c r="Q12" i="1"/>
  <c r="Q13" i="1"/>
  <c r="Q14" i="1"/>
  <c r="W388" i="1"/>
  <c r="W616" i="1"/>
  <c r="W903" i="1"/>
  <c r="W16" i="1"/>
  <c r="W875" i="1"/>
  <c r="W204" i="1"/>
  <c r="W72" i="1"/>
  <c r="W301" i="1"/>
  <c r="W854" i="1"/>
  <c r="W164" i="1"/>
  <c r="W126" i="1"/>
  <c r="W83" i="1"/>
  <c r="W245" i="1"/>
  <c r="W102" i="1"/>
  <c r="W35" i="1"/>
  <c r="W447" i="1"/>
  <c r="W205" i="1"/>
  <c r="W302" i="1"/>
  <c r="W327" i="1"/>
  <c r="W624" i="1"/>
  <c r="W387" i="1"/>
  <c r="W39" i="1"/>
  <c r="W473" i="1"/>
  <c r="W606" i="1"/>
  <c r="W457" i="1"/>
  <c r="W662" i="1"/>
  <c r="W809" i="1"/>
  <c r="W400" i="1"/>
  <c r="W960" i="1"/>
  <c r="W499" i="1"/>
  <c r="W159" i="1"/>
  <c r="W683" i="1"/>
  <c r="W10" i="1"/>
  <c r="W1000" i="1"/>
  <c r="W268" i="1"/>
  <c r="W591" i="1"/>
  <c r="W379" i="1"/>
  <c r="W538" i="1"/>
  <c r="W971" i="1"/>
  <c r="W149" i="1"/>
  <c r="W152" i="1"/>
  <c r="W826" i="1"/>
  <c r="W157" i="1"/>
  <c r="W528" i="1"/>
  <c r="W173" i="1"/>
  <c r="W109" i="1"/>
  <c r="W493" i="1"/>
  <c r="W311" i="1"/>
  <c r="W880" i="1"/>
  <c r="W948" i="1"/>
  <c r="W87" i="1"/>
  <c r="W673" i="1"/>
  <c r="W190" i="1"/>
  <c r="W626" i="1"/>
  <c r="W486" i="1"/>
  <c r="W416" i="1"/>
  <c r="W284" i="1"/>
  <c r="W45" i="1"/>
  <c r="W219" i="1"/>
  <c r="W873" i="1"/>
  <c r="W13" i="1"/>
  <c r="W668" i="1"/>
  <c r="W513" i="1"/>
  <c r="W923" i="1"/>
  <c r="W830" i="1"/>
  <c r="W318" i="1"/>
  <c r="W620" i="1"/>
  <c r="W278" i="1"/>
  <c r="W296" i="1"/>
  <c r="W365" i="1"/>
  <c r="W418" i="1"/>
  <c r="W516" i="1"/>
  <c r="W833" i="1"/>
  <c r="W677" i="1"/>
  <c r="W78" i="1"/>
  <c r="W836" i="1"/>
  <c r="W546" i="1"/>
  <c r="W354" i="1"/>
  <c r="W166" i="1"/>
  <c r="W751" i="1"/>
  <c r="W857" i="1"/>
  <c r="W270" i="1"/>
  <c r="W206" i="1"/>
  <c r="W135" i="1"/>
  <c r="W386" i="1"/>
  <c r="W470" i="1"/>
  <c r="W926" i="1"/>
  <c r="W366" i="1"/>
  <c r="W413" i="1"/>
  <c r="W33" i="1"/>
  <c r="W325" i="1"/>
  <c r="W756" i="1"/>
  <c r="W794" i="1"/>
  <c r="W292" i="1"/>
  <c r="W568" i="1"/>
  <c r="W23" i="1"/>
  <c r="W477" i="1"/>
  <c r="W335" i="1"/>
  <c r="W872" i="1"/>
  <c r="W412" i="1"/>
  <c r="W818" i="1"/>
  <c r="W424" i="1"/>
  <c r="W41" i="1"/>
  <c r="W300" i="1"/>
  <c r="W566" i="1"/>
  <c r="W481" i="1"/>
  <c r="W987" i="1"/>
  <c r="W630" i="1"/>
  <c r="W81" i="1"/>
  <c r="W367" i="1"/>
  <c r="W825" i="1"/>
  <c r="W884" i="1"/>
  <c r="W783" i="1"/>
  <c r="W230" i="1"/>
  <c r="W26" i="1"/>
  <c r="W663" i="1"/>
  <c r="W763" i="1"/>
  <c r="W681" i="1"/>
  <c r="W498" i="1"/>
  <c r="W661" i="1"/>
  <c r="W766" i="1"/>
  <c r="W147" i="1"/>
  <c r="W889" i="1"/>
  <c r="W514" i="1"/>
  <c r="W735" i="1"/>
  <c r="W28" i="1"/>
  <c r="W61" i="1"/>
  <c r="W508" i="1"/>
  <c r="W874" i="1"/>
  <c r="W360" i="1"/>
  <c r="W40" i="1"/>
  <c r="W462" i="1"/>
  <c r="W730" i="1"/>
  <c r="W571" i="1"/>
  <c r="W30" i="1"/>
  <c r="W252" i="1"/>
  <c r="W468" i="1"/>
  <c r="W202" i="1"/>
  <c r="W44" i="1"/>
  <c r="W895" i="1"/>
  <c r="W402" i="1"/>
  <c r="W355" i="1"/>
  <c r="W819" i="1"/>
  <c r="W145" i="1"/>
  <c r="W723" i="1"/>
  <c r="W492" i="1"/>
  <c r="W827" i="1"/>
  <c r="W915" i="1"/>
  <c r="W69" i="1"/>
  <c r="W73" i="1"/>
  <c r="W598" i="1"/>
  <c r="W527" i="1"/>
  <c r="W361" i="1"/>
  <c r="W114" i="1"/>
  <c r="W635" i="1"/>
  <c r="W894" i="1"/>
  <c r="W326" i="1"/>
  <c r="W174" i="1"/>
  <c r="W369" i="1"/>
  <c r="W234" i="1"/>
  <c r="W474" i="1"/>
  <c r="W686" i="1"/>
  <c r="W838" i="1"/>
  <c r="W688" i="1"/>
  <c r="W200" i="1"/>
  <c r="W168" i="1"/>
  <c r="W797" i="1"/>
  <c r="W693" i="1"/>
  <c r="W882" i="1"/>
  <c r="W341" i="1"/>
  <c r="W491" i="1"/>
  <c r="W322" i="1"/>
  <c r="W236" i="1"/>
  <c r="W905" i="1"/>
  <c r="W785" i="1"/>
  <c r="W279" i="1"/>
  <c r="W564" i="1"/>
  <c r="W172" i="1"/>
  <c r="W941" i="1"/>
  <c r="W850" i="1"/>
  <c r="W96" i="1"/>
  <c r="W691" i="1"/>
  <c r="W537" i="1"/>
  <c r="W22" i="1"/>
  <c r="W548" i="1"/>
  <c r="W450" i="1"/>
  <c r="W209" i="1"/>
  <c r="W180" i="1"/>
  <c r="W542" i="1"/>
  <c r="W502" i="1"/>
  <c r="W465" i="1"/>
  <c r="W899" i="1"/>
  <c r="W979" i="1"/>
  <c r="W621" i="1"/>
  <c r="W536" i="1"/>
  <c r="W622" i="1"/>
  <c r="W436" i="1"/>
  <c r="W732" i="1"/>
  <c r="W377" i="1"/>
  <c r="W368" i="1"/>
  <c r="W702" i="1"/>
  <c r="W392" i="1"/>
  <c r="W15" i="1"/>
  <c r="W490" i="1"/>
  <c r="W201" i="1"/>
  <c r="W357" i="1"/>
  <c r="W555" i="1"/>
  <c r="W870" i="1"/>
  <c r="W984" i="1"/>
  <c r="W293" i="1"/>
  <c r="W902" i="1"/>
  <c r="W488" i="1"/>
  <c r="W746" i="1"/>
  <c r="W613" i="1"/>
  <c r="W841" i="1"/>
  <c r="W255" i="1"/>
  <c r="W407" i="1"/>
  <c r="W790" i="1"/>
  <c r="W692" i="1"/>
  <c r="W646" i="1"/>
  <c r="W699" i="1"/>
  <c r="W879" i="1"/>
  <c r="W583" i="1"/>
  <c r="W248" i="1"/>
  <c r="W507" i="1"/>
  <c r="W658" i="1"/>
  <c r="W265" i="1"/>
  <c r="W765" i="1"/>
  <c r="W807" i="1"/>
  <c r="W741" i="1"/>
  <c r="W828" i="1"/>
  <c r="W518" i="1"/>
  <c r="W62" i="1"/>
  <c r="W671" i="1"/>
  <c r="W767" i="1"/>
  <c r="W602" i="1"/>
  <c r="W12" i="1"/>
  <c r="W531" i="1"/>
  <c r="W996" i="1"/>
  <c r="W876" i="1"/>
  <c r="W523" i="1"/>
  <c r="W861" i="1"/>
  <c r="W962" i="1"/>
  <c r="W75" i="1"/>
  <c r="W426" i="1"/>
  <c r="W795" i="1"/>
  <c r="W184" i="1"/>
  <c r="W701" i="1"/>
  <c r="W150" i="1"/>
  <c r="W240" i="1"/>
  <c r="W823" i="1"/>
  <c r="W338" i="1"/>
  <c r="W913" i="1"/>
  <c r="W629" i="1"/>
  <c r="W729" i="1"/>
  <c r="W559" i="1"/>
  <c r="W942" i="1"/>
  <c r="W816" i="1"/>
  <c r="W912" i="1"/>
  <c r="W305" i="1"/>
  <c r="W495" i="1"/>
  <c r="W258" i="1"/>
  <c r="W855" i="1"/>
  <c r="W787" i="1"/>
  <c r="W438" i="1"/>
  <c r="W806" i="1"/>
  <c r="W484" i="1"/>
  <c r="W67" i="1"/>
  <c r="W198" i="1"/>
  <c r="W781" i="1"/>
  <c r="W549" i="1"/>
  <c r="W177" i="1"/>
  <c r="W333" i="1"/>
  <c r="W676" i="1"/>
  <c r="W719" i="1"/>
  <c r="W988" i="1"/>
  <c r="W415" i="1"/>
  <c r="W294" i="1"/>
  <c r="W517" i="1"/>
  <c r="W847" i="1"/>
  <c r="W530" i="1"/>
  <c r="W129" i="1"/>
  <c r="W654" i="1"/>
  <c r="W578" i="1"/>
  <c r="W463" i="1"/>
  <c r="W584" i="1"/>
  <c r="W822" i="1"/>
  <c r="W250" i="1"/>
  <c r="W640" i="1"/>
  <c r="W708" i="1"/>
  <c r="W512" i="1"/>
  <c r="W272" i="1"/>
  <c r="W955" i="1"/>
  <c r="W140" i="1"/>
  <c r="W362" i="1"/>
  <c r="W947" i="1"/>
  <c r="W550" i="1"/>
  <c r="W89" i="1"/>
  <c r="W307" i="1"/>
  <c r="W759" i="1"/>
  <c r="W324" i="1"/>
  <c r="W257" i="1"/>
  <c r="W533" i="1"/>
  <c r="W666" i="1"/>
  <c r="W183" i="1"/>
  <c r="W769" i="1"/>
  <c r="W775" i="1"/>
  <c r="W437" i="1"/>
  <c r="W396" i="1"/>
  <c r="W698" i="1"/>
  <c r="W888" i="1"/>
  <c r="W218" i="1"/>
  <c r="W965" i="1"/>
  <c r="W586" i="1"/>
  <c r="W317" i="1"/>
  <c r="W346" i="1"/>
  <c r="W382" i="1"/>
  <c r="W743" i="1"/>
  <c r="W351" i="1"/>
  <c r="W675" i="1"/>
  <c r="W660" i="1"/>
  <c r="W385" i="1"/>
  <c r="W275" i="1"/>
  <c r="W179" i="1"/>
  <c r="W928" i="1"/>
  <c r="W851" i="1"/>
  <c r="W721" i="1"/>
  <c r="W281" i="1"/>
  <c r="W253" i="1"/>
  <c r="W323" i="1"/>
  <c r="W203" i="1"/>
  <c r="W241" i="1"/>
  <c r="W29" i="1"/>
  <c r="W744" i="1"/>
  <c r="W414" i="1"/>
  <c r="W981" i="1"/>
  <c r="W92" i="1"/>
  <c r="W288" i="1"/>
  <c r="W953" i="1"/>
  <c r="W11" i="1"/>
  <c r="W112" i="1"/>
  <c r="W526" i="1"/>
  <c r="W182" i="1"/>
  <c r="W106" i="1"/>
  <c r="W994" i="1"/>
  <c r="W576" i="1"/>
  <c r="W141" i="1"/>
  <c r="W263" i="1"/>
  <c r="W914" i="1"/>
  <c r="W339" i="1"/>
  <c r="W945" i="1"/>
  <c r="W25" i="1"/>
  <c r="W607" i="1"/>
  <c r="W685" i="1"/>
  <c r="W558" i="1"/>
  <c r="W892" i="1"/>
  <c r="W733" i="1"/>
  <c r="W992" i="1"/>
  <c r="W118" i="1"/>
  <c r="W585" i="1"/>
  <c r="W727" i="1"/>
  <c r="W469" i="1"/>
  <c r="W934" i="1"/>
  <c r="W958" i="1"/>
  <c r="W651" i="1"/>
  <c r="W853" i="1"/>
  <c r="W553" i="1"/>
  <c r="W755" i="1"/>
  <c r="W617" i="1"/>
  <c r="W229" i="1"/>
  <c r="W20" i="1"/>
  <c r="W216" i="1"/>
  <c r="W137" i="1"/>
  <c r="W742" i="1"/>
  <c r="W160" i="1"/>
  <c r="W618" i="1"/>
  <c r="W99" i="1"/>
  <c r="W865" i="1"/>
  <c r="W131" i="1"/>
  <c r="W589" i="1"/>
  <c r="W980" i="1"/>
  <c r="W433" i="1"/>
  <c r="W374" i="1"/>
  <c r="W57" i="1"/>
  <c r="W312" i="1"/>
  <c r="W429" i="1"/>
  <c r="W161" i="1"/>
  <c r="W886" i="1"/>
  <c r="W103" i="1"/>
  <c r="W76" i="1"/>
  <c r="W800" i="1"/>
  <c r="W605" i="1"/>
  <c r="W898" i="1"/>
  <c r="W799" i="1"/>
  <c r="W453" i="1"/>
  <c r="W128" i="1"/>
  <c r="W519" i="1"/>
  <c r="W283" i="1"/>
  <c r="W599" i="1"/>
  <c r="W539" i="1"/>
  <c r="W123" i="1"/>
  <c r="W717" i="1"/>
  <c r="W581" i="1"/>
  <c r="W306" i="1"/>
  <c r="W919" i="1"/>
  <c r="W664" i="1"/>
  <c r="W435" i="1"/>
  <c r="W792" i="1"/>
  <c r="W420" i="1"/>
  <c r="W648" i="1"/>
  <c r="W228" i="1"/>
  <c r="W768" i="1"/>
  <c r="W143" i="1"/>
  <c r="W409" i="1"/>
  <c r="W1002" i="1"/>
  <c r="W98" i="1"/>
  <c r="W506" i="1"/>
  <c r="W977" i="1"/>
  <c r="W927" i="1"/>
  <c r="W561" i="1"/>
  <c r="W380" i="1"/>
  <c r="W845" i="1"/>
  <c r="W178" i="1"/>
  <c r="W909" i="1"/>
  <c r="W251" i="1"/>
  <c r="W665" i="1"/>
  <c r="W754" i="1"/>
  <c r="W320" i="1"/>
  <c r="W972" i="1"/>
  <c r="W220" i="1"/>
  <c r="W393" i="1"/>
  <c r="W690" i="1"/>
  <c r="W14" i="1"/>
  <c r="W196" i="1"/>
  <c r="W908" i="1"/>
  <c r="W957" i="1"/>
  <c r="W163" i="1"/>
  <c r="W893" i="1"/>
  <c r="W696" i="1"/>
  <c r="W434" i="1"/>
  <c r="W968" i="1"/>
  <c r="W310" i="1"/>
  <c r="W210" i="1"/>
  <c r="W309" i="1"/>
  <c r="W831" i="1"/>
  <c r="W592" i="1"/>
  <c r="W244" i="1"/>
  <c r="W611" i="1"/>
  <c r="W805" i="1"/>
  <c r="W271" i="1"/>
  <c r="W778" i="1"/>
  <c r="W352" i="1"/>
  <c r="W191" i="1"/>
  <c r="W286" i="1"/>
  <c r="W737" i="1"/>
  <c r="W105" i="1"/>
  <c r="W185" i="1"/>
  <c r="W608" i="1"/>
  <c r="W55" i="1"/>
  <c r="W442" i="1"/>
  <c r="W545" i="1"/>
  <c r="W373" i="1"/>
  <c r="W187" i="1"/>
  <c r="W846" i="1"/>
  <c r="W299" i="1"/>
  <c r="W866" i="1"/>
  <c r="W918" i="1"/>
  <c r="W295" i="1"/>
  <c r="W891" i="1"/>
  <c r="W304" i="1"/>
  <c r="W195" i="1"/>
  <c r="W762" i="1"/>
  <c r="W246" i="1"/>
  <c r="W770" i="1"/>
  <c r="W653" i="1"/>
  <c r="W280" i="1"/>
  <c r="W261" i="1"/>
  <c r="W812" i="1"/>
  <c r="W478" i="1"/>
  <c r="W151" i="1"/>
  <c r="W397" i="1"/>
  <c r="W802" i="1"/>
  <c r="W238" i="1"/>
  <c r="W628" i="1"/>
  <c r="W384" i="1"/>
  <c r="W224" i="1"/>
  <c r="W684" i="1"/>
  <c r="W801" i="1"/>
  <c r="W509" i="1"/>
  <c r="W186" i="1"/>
  <c r="W706" i="1"/>
  <c r="W574" i="1"/>
  <c r="W736" i="1"/>
  <c r="W573" i="1"/>
  <c r="W77" i="1"/>
  <c r="W784" i="1"/>
  <c r="W520" i="1"/>
  <c r="W521" i="1"/>
  <c r="W353" i="1"/>
  <c r="W139" i="1"/>
  <c r="W976" i="1"/>
  <c r="W752" i="1"/>
  <c r="W734" i="1"/>
  <c r="W127" i="1"/>
  <c r="W56" i="1"/>
  <c r="W321" i="1"/>
  <c r="W720" i="1"/>
  <c r="W789" i="1"/>
  <c r="W399" i="1"/>
  <c r="W459" i="1"/>
  <c r="W298" i="1"/>
  <c r="W543" i="1"/>
  <c r="W510" i="1"/>
  <c r="W774" i="1"/>
  <c r="W667" i="1"/>
  <c r="W259" i="1"/>
  <c r="W276" i="1"/>
  <c r="W347" i="1"/>
  <c r="W943" i="1"/>
  <c r="W176" i="1"/>
  <c r="W94" i="1"/>
  <c r="W117" i="1"/>
  <c r="W739" i="1"/>
  <c r="W192" i="1"/>
  <c r="W446" i="1"/>
  <c r="W175" i="1"/>
  <c r="W171" i="1"/>
  <c r="W560" i="1"/>
  <c r="W567" i="1"/>
  <c r="W221" i="1"/>
  <c r="W331" i="1"/>
  <c r="W938" i="1"/>
  <c r="W330" i="1"/>
  <c r="W212" i="1"/>
  <c r="W125" i="1"/>
  <c r="W808" i="1"/>
  <c r="W579" i="1"/>
  <c r="W612" i="1"/>
  <c r="W504" i="1"/>
  <c r="W290" i="1"/>
  <c r="W680" i="1"/>
  <c r="W604" i="1"/>
  <c r="W93" i="1"/>
  <c r="W116" i="1"/>
  <c r="W231" i="1"/>
  <c r="W46" i="1"/>
  <c r="W582" i="1"/>
  <c r="W232" i="1"/>
  <c r="W391" i="1"/>
  <c r="W398" i="1"/>
  <c r="W249" i="1"/>
  <c r="W85" i="1"/>
  <c r="W79" i="1"/>
  <c r="W956" i="1"/>
  <c r="W133" i="1"/>
  <c r="W303" i="1"/>
  <c r="W881" i="1"/>
  <c r="W425" i="1"/>
  <c r="W460" i="1"/>
  <c r="W848" i="1"/>
  <c r="W80" i="1"/>
  <c r="W132" i="1"/>
  <c r="W337" i="1"/>
  <c r="W623" i="1"/>
  <c r="W522" i="1"/>
  <c r="W52" i="1"/>
  <c r="W439" i="1"/>
  <c r="W777" i="1"/>
  <c r="W753" i="1"/>
  <c r="W982" i="1"/>
  <c r="W401" i="1"/>
  <c r="W505" i="1"/>
  <c r="W74" i="1"/>
  <c r="W740" i="1"/>
  <c r="W610" i="1"/>
  <c r="W19" i="1"/>
  <c r="W27" i="1"/>
  <c r="W745" i="1"/>
  <c r="W217" i="1"/>
  <c r="W445" i="1"/>
  <c r="W444" i="1"/>
  <c r="W815" i="1"/>
  <c r="W501" i="1"/>
  <c r="W427" i="1"/>
  <c r="W750" i="1"/>
  <c r="W615" i="1"/>
  <c r="W329" i="1"/>
  <c r="W84" i="1"/>
  <c r="W636" i="1"/>
  <c r="W432" i="1"/>
  <c r="W197" i="1"/>
  <c r="W287" i="1"/>
  <c r="W50" i="1"/>
  <c r="W38" i="1"/>
  <c r="W189" i="1"/>
  <c r="W695" i="1"/>
  <c r="W273" i="1"/>
  <c r="W811" i="1"/>
  <c r="W24" i="1"/>
  <c r="W868" i="1"/>
  <c r="W378" i="1"/>
  <c r="W277" i="1"/>
  <c r="W940" i="1"/>
  <c r="W48" i="1"/>
  <c r="W47" i="1"/>
  <c r="W645" i="1"/>
  <c r="W146" i="1"/>
  <c r="W713" i="1"/>
  <c r="W788" i="1"/>
  <c r="W487" i="1"/>
  <c r="W111" i="1"/>
  <c r="W900" i="1"/>
  <c r="W949" i="1"/>
  <c r="W758" i="1"/>
  <c r="W194" i="1"/>
  <c r="W964" i="1"/>
  <c r="W724" i="1"/>
  <c r="W404" i="1"/>
  <c r="W18" i="1"/>
  <c r="W707" i="1"/>
  <c r="W243" i="1"/>
  <c r="W728" i="1"/>
  <c r="W225" i="1"/>
  <c r="W674" i="1"/>
  <c r="W669" i="1"/>
  <c r="W130" i="1"/>
  <c r="W726" i="1"/>
  <c r="W993" i="1"/>
  <c r="W260" i="1"/>
  <c r="W575" i="1"/>
  <c r="W454" i="1"/>
  <c r="W515" i="1"/>
  <c r="W408" i="1"/>
  <c r="W316" i="1"/>
  <c r="W950" i="1"/>
  <c r="W423" i="1"/>
  <c r="W896" i="1"/>
  <c r="W641" i="1"/>
  <c r="W703" i="1"/>
  <c r="W199" i="1"/>
  <c r="W65" i="1"/>
  <c r="W986" i="1"/>
  <c r="W803" i="1"/>
  <c r="W832" i="1"/>
  <c r="W650" i="1"/>
  <c r="W58" i="1"/>
  <c r="W222" i="1"/>
  <c r="W154" i="1"/>
  <c r="W959" i="1"/>
  <c r="W619" i="1"/>
  <c r="W376" i="1"/>
  <c r="W917" i="1"/>
  <c r="W332" i="1"/>
  <c r="W657" i="1"/>
  <c r="W17" i="1"/>
  <c r="W715" i="1"/>
  <c r="W572" i="1"/>
  <c r="W334" i="1"/>
  <c r="W389" i="1"/>
  <c r="W358" i="1"/>
  <c r="W88" i="1"/>
  <c r="W924" i="1"/>
  <c r="W108" i="1"/>
  <c r="W718" i="1"/>
  <c r="W497" i="1"/>
  <c r="W837" i="1"/>
  <c r="W31" i="1"/>
  <c r="W411" i="1"/>
  <c r="W372" i="1"/>
  <c r="W451" i="1"/>
  <c r="W500" i="1"/>
  <c r="W158" i="1"/>
  <c r="W448" i="1"/>
  <c r="W134" i="1"/>
  <c r="W710" i="1"/>
  <c r="W170" i="1"/>
  <c r="W747" i="1"/>
  <c r="W907" i="1"/>
  <c r="W266" i="1"/>
  <c r="W910" i="1"/>
  <c r="W843" i="1"/>
  <c r="W223" i="1"/>
  <c r="W21" i="1"/>
  <c r="W308" i="1"/>
  <c r="W786" i="1"/>
  <c r="W714" i="1"/>
  <c r="W556" i="1"/>
  <c r="W124" i="1"/>
  <c r="W562" i="1"/>
  <c r="W148" i="1"/>
  <c r="W390" i="1"/>
  <c r="W603" i="1"/>
  <c r="W842" i="1"/>
  <c r="W95" i="1"/>
  <c r="W952" i="1"/>
  <c r="W844" i="1"/>
  <c r="W405" i="1"/>
  <c r="W256" i="1"/>
  <c r="W921" i="1"/>
  <c r="W771" i="1"/>
  <c r="W920" i="1"/>
  <c r="W916" i="1"/>
  <c r="W791" i="1"/>
  <c r="W319" i="1"/>
  <c r="W969" i="1"/>
  <c r="W107" i="1"/>
  <c r="W813" i="1"/>
  <c r="W859" i="1"/>
  <c r="W652" i="1"/>
  <c r="W631" i="1"/>
  <c r="W274" i="1"/>
  <c r="W557" i="1"/>
  <c r="W989" i="1"/>
  <c r="W694" i="1"/>
  <c r="W449" i="1"/>
  <c r="W897" i="1"/>
  <c r="W716" i="1"/>
  <c r="W532" i="1"/>
  <c r="W66" i="1"/>
  <c r="W315" i="1"/>
  <c r="W839" i="1"/>
  <c r="W638" i="1"/>
  <c r="W115" i="1"/>
  <c r="W342" i="1"/>
  <c r="W588" i="1"/>
  <c r="W489" i="1"/>
  <c r="W697" i="1"/>
  <c r="W467" i="1"/>
  <c r="W155" i="1"/>
  <c r="W165" i="1"/>
  <c r="W443" i="1"/>
  <c r="W466" i="1"/>
  <c r="W672" i="1"/>
  <c r="Q15" i="1"/>
  <c r="W82" i="1"/>
  <c r="W406" i="1"/>
  <c r="W793" i="1"/>
  <c r="W544" i="1"/>
  <c r="W242" i="1"/>
  <c r="W647" i="1"/>
  <c r="W90" i="1"/>
  <c r="W944" i="1"/>
  <c r="W849" i="1"/>
  <c r="W780" i="1"/>
  <c r="W153" i="1"/>
  <c r="W36" i="1"/>
  <c r="W480" i="1"/>
  <c r="W237" i="1"/>
  <c r="W403" i="1"/>
  <c r="W51" i="1"/>
  <c r="W63" i="1"/>
  <c r="W227" i="1"/>
  <c r="W551" i="1"/>
  <c r="W70" i="1"/>
  <c r="W471" i="1"/>
  <c r="W267" i="1"/>
  <c r="W100" i="1"/>
  <c r="W254" i="1"/>
  <c r="W655" i="1"/>
  <c r="W475" i="1"/>
  <c r="W452" i="1"/>
  <c r="W569" i="1"/>
  <c r="W213" i="1"/>
  <c r="W659" i="1"/>
  <c r="W167" i="1"/>
  <c r="W441" i="1"/>
  <c r="W565" i="1"/>
  <c r="W863" i="1"/>
  <c r="W262" i="1"/>
  <c r="W364" i="1"/>
  <c r="W289" i="1"/>
  <c r="W472" i="1"/>
  <c r="W455" i="1"/>
  <c r="W883" i="1"/>
  <c r="W456" i="1"/>
  <c r="W821" i="1"/>
  <c r="W464" i="1"/>
  <c r="W961" i="1"/>
  <c r="W97" i="1"/>
  <c r="W71" i="1"/>
  <c r="W634" i="1"/>
  <c r="W120" i="1"/>
  <c r="W856" i="1"/>
  <c r="W966" i="1"/>
  <c r="W834" i="1"/>
  <c r="W211" i="1"/>
  <c r="W712" i="1"/>
  <c r="W705" i="1"/>
  <c r="W371" i="1"/>
  <c r="W535" i="1"/>
  <c r="W343" i="1"/>
  <c r="W590" i="1"/>
  <c r="W68" i="1"/>
  <c r="W932" i="1"/>
  <c r="W600" i="1"/>
  <c r="W156" i="1"/>
  <c r="W731" i="1"/>
  <c r="W824" i="1"/>
  <c r="W890" i="1"/>
  <c r="W978" i="1"/>
  <c r="W496" i="1"/>
  <c r="W247" i="1"/>
  <c r="W933" i="1"/>
  <c r="W226" i="1"/>
  <c r="W936" i="1"/>
  <c r="W375" i="1"/>
  <c r="W627" i="1"/>
  <c r="W929" i="1"/>
  <c r="W285" i="1"/>
  <c r="W779" i="1"/>
  <c r="W142" i="1"/>
  <c r="W983" i="1"/>
  <c r="W999" i="1"/>
  <c r="W356" i="1"/>
  <c r="W991" i="1"/>
  <c r="W678" i="1"/>
  <c r="W864" i="1"/>
  <c r="W461" i="1"/>
  <c r="W878" i="1"/>
  <c r="W776" i="1"/>
  <c r="W700" i="1"/>
  <c r="W239" i="1"/>
  <c r="W860" i="1"/>
  <c r="W336" i="1"/>
  <c r="W643" i="1"/>
  <c r="W725" i="1"/>
  <c r="W871" i="1"/>
  <c r="W136" i="1"/>
  <c r="W547" i="1"/>
  <c r="W687" i="1"/>
  <c r="W54" i="1"/>
  <c r="W91" i="1"/>
  <c r="W313" i="1"/>
  <c r="W596" i="1"/>
  <c r="W363" i="1"/>
  <c r="W644" i="1"/>
  <c r="W49" i="1"/>
  <c r="W975" i="1"/>
  <c r="W967" i="1"/>
  <c r="W395" i="1"/>
  <c r="W350" i="1"/>
  <c r="W440" i="1"/>
  <c r="W214" i="1"/>
  <c r="W417" i="1"/>
  <c r="W32" i="1"/>
  <c r="W601" i="1"/>
  <c r="W503" i="1"/>
  <c r="W885" i="1"/>
  <c r="W570" i="1"/>
  <c r="W682" i="1"/>
  <c r="W314" i="1"/>
  <c r="W760" i="1"/>
  <c r="W749" i="1"/>
  <c r="W483" i="1"/>
  <c r="W431" i="1"/>
  <c r="W476" i="1"/>
  <c r="W639" i="1"/>
  <c r="W428" i="1"/>
  <c r="W59" i="1"/>
  <c r="W990" i="1"/>
  <c r="W37" i="1"/>
  <c r="W858" i="1"/>
  <c r="W798" i="1"/>
  <c r="W207" i="1"/>
  <c r="W738" i="1"/>
  <c r="W529" i="1"/>
  <c r="W935" i="1"/>
  <c r="W835" i="1"/>
  <c r="W782" i="1"/>
  <c r="W370" i="1"/>
  <c r="W869" i="1"/>
  <c r="W773" i="1"/>
  <c r="W709" i="1"/>
  <c r="W394" i="1"/>
  <c r="W757" i="1"/>
  <c r="W269" i="1"/>
  <c r="W554" i="1"/>
  <c r="W689" i="1"/>
  <c r="W670" i="1"/>
  <c r="W208" i="1"/>
  <c r="W344" i="1"/>
  <c r="W282" i="1"/>
  <c r="W963" i="1"/>
  <c r="W930" i="1"/>
  <c r="W761" i="1"/>
  <c r="W939" i="1"/>
  <c r="W951" i="1"/>
  <c r="W862" i="1"/>
  <c r="W829" i="1"/>
  <c r="W421" i="1"/>
  <c r="W633" i="1"/>
  <c r="W233" i="1"/>
  <c r="W593" i="1"/>
  <c r="W138" i="1"/>
  <c r="W458" i="1"/>
  <c r="W804" i="1"/>
  <c r="W541" i="1"/>
  <c r="W422" i="1"/>
  <c r="W995" i="1"/>
  <c r="W193" i="1"/>
  <c r="W649" i="1"/>
  <c r="W814" i="1"/>
  <c r="W162" i="1"/>
  <c r="W704" i="1"/>
  <c r="W540" i="1"/>
  <c r="W64" i="1"/>
  <c r="W359" i="1"/>
  <c r="W43" i="1"/>
  <c r="W494" i="1"/>
  <c r="W973" i="1"/>
  <c r="W906" i="1"/>
  <c r="W614" i="1"/>
  <c r="W637" i="1"/>
  <c r="W235" i="1"/>
  <c r="W946" i="1"/>
  <c r="W711" i="1"/>
  <c r="W119" i="1"/>
  <c r="W110" i="1"/>
  <c r="W121" i="1"/>
  <c r="W328" i="1"/>
  <c r="W820" i="1"/>
  <c r="W642" i="1"/>
  <c r="W911" i="1"/>
  <c r="W679" i="1"/>
  <c r="W419" i="1"/>
  <c r="W840" i="1"/>
  <c r="W970" i="1"/>
  <c r="W345" i="1"/>
  <c r="W86" i="1"/>
  <c r="W901" i="1"/>
  <c r="W587" i="1"/>
  <c r="W563" i="1"/>
  <c r="W772" i="1"/>
  <c r="W215" i="1"/>
  <c r="W381" i="1"/>
  <c r="W597" i="1"/>
  <c r="W852" i="1"/>
  <c r="W580" i="1"/>
  <c r="W349" i="1"/>
  <c r="W722" i="1"/>
  <c r="W144" i="1"/>
  <c r="W42" i="1"/>
  <c r="W53" i="1"/>
  <c r="W904" i="1"/>
  <c r="W291" i="1"/>
  <c r="W625" i="1"/>
  <c r="W931" i="1"/>
  <c r="W101" i="1"/>
  <c r="W188" i="1"/>
  <c r="W796" i="1"/>
  <c r="W410" i="1"/>
  <c r="W525" i="1"/>
  <c r="W922" i="1"/>
  <c r="W998" i="1"/>
  <c r="W632" i="1"/>
  <c r="W748" i="1"/>
  <c r="W348" i="1"/>
  <c r="W925" i="1"/>
  <c r="W877" i="1"/>
  <c r="W122" i="1"/>
  <c r="W595" i="1"/>
  <c r="W1001" i="1"/>
  <c r="W482" i="1"/>
  <c r="W479" i="1"/>
  <c r="W113" i="1"/>
  <c r="W867" i="1"/>
  <c r="W609" i="1"/>
  <c r="W552" i="1"/>
  <c r="W34" i="1"/>
  <c r="W169" i="1"/>
  <c r="W485" i="1"/>
  <c r="W954" i="1"/>
  <c r="W60" i="1"/>
  <c r="W577" i="1"/>
  <c r="W656" i="1"/>
  <c r="W181" i="1"/>
  <c r="W817" i="1"/>
  <c r="W887" i="1"/>
  <c r="W104" i="1"/>
  <c r="W974" i="1"/>
  <c r="W511" i="1"/>
  <c r="W937" i="1"/>
  <c r="W430" i="1"/>
  <c r="W810" i="1"/>
  <c r="W764" i="1"/>
  <c r="W297" i="1"/>
  <c r="W985" i="1"/>
  <c r="W997" i="1"/>
  <c r="W264" i="1"/>
  <c r="W524" i="1"/>
  <c r="W383" i="1"/>
  <c r="W594" i="1"/>
  <c r="W534" i="1"/>
  <c r="W340" i="1"/>
  <c r="R8" i="1"/>
  <c r="S8" i="1"/>
  <c r="T8" i="1"/>
  <c r="R12" i="1"/>
  <c r="S12" i="1"/>
  <c r="T12" i="1"/>
  <c r="W3" i="1"/>
  <c r="R13" i="1"/>
  <c r="S13" i="1"/>
  <c r="T13" i="1"/>
  <c r="R10" i="1"/>
  <c r="S10" i="1"/>
  <c r="T10" i="1"/>
  <c r="R11" i="1"/>
  <c r="S11" i="1"/>
  <c r="T11" i="1"/>
  <c r="R9" i="1"/>
  <c r="S9" i="1"/>
  <c r="T9" i="1"/>
  <c r="R14" i="1"/>
  <c r="S14" i="1"/>
  <c r="T14" i="1"/>
  <c r="R15" i="1"/>
  <c r="S15" i="1"/>
  <c r="T15" i="1"/>
  <c r="T5" i="1"/>
</calcChain>
</file>

<file path=xl/sharedStrings.xml><?xml version="1.0" encoding="utf-8"?>
<sst xmlns="http://schemas.openxmlformats.org/spreadsheetml/2006/main" count="1462" uniqueCount="1256">
  <si>
    <t>Score</t>
  </si>
  <si>
    <t>New</t>
  </si>
  <si>
    <t>Distribution Type</t>
  </si>
  <si>
    <t>Formula</t>
  </si>
  <si>
    <t>Fair</t>
  </si>
  <si>
    <t>Normal</t>
  </si>
  <si>
    <t>Goal:</t>
  </si>
  <si>
    <t>match the nearest value in the table that is still less than the random value</t>
  </si>
  <si>
    <t>Fair Example</t>
  </si>
  <si>
    <t>Result</t>
  </si>
  <si>
    <t>Weight</t>
  </si>
  <si>
    <t>Test Count</t>
  </si>
  <si>
    <t>Actual Weight</t>
  </si>
  <si>
    <t>Delta</t>
  </si>
  <si>
    <t>Rand</t>
  </si>
  <si>
    <t>Normal A</t>
  </si>
  <si>
    <t>Normal B</t>
  </si>
  <si>
    <t>Bill</t>
  </si>
  <si>
    <t>Frank</t>
  </si>
  <si>
    <t>Luke</t>
  </si>
  <si>
    <t>Riley</t>
  </si>
  <si>
    <t>William</t>
  </si>
  <si>
    <t>Eric</t>
  </si>
  <si>
    <t>Chuck</t>
  </si>
  <si>
    <t>Todd</t>
  </si>
  <si>
    <t>Normal vLookup Example</t>
  </si>
  <si>
    <t>vL Test Count</t>
  </si>
  <si>
    <t>vL Actual Weight</t>
  </si>
  <si>
    <t>vL Delta</t>
  </si>
  <si>
    <t>Normal IndexMatch Example</t>
  </si>
  <si>
    <t>IM Test Count</t>
  </si>
  <si>
    <t>IM Actual Weights</t>
  </si>
  <si>
    <t>IM Delta</t>
  </si>
  <si>
    <t>Character Dimension</t>
  </si>
  <si>
    <t>tblLookupA</t>
  </si>
  <si>
    <t>tblLookupB</t>
  </si>
  <si>
    <t>Mod</t>
  </si>
  <si>
    <t>Rand Score</t>
  </si>
  <si>
    <t>Locked Score</t>
  </si>
  <si>
    <t>Detail</t>
  </si>
  <si>
    <t>Lock</t>
  </si>
  <si>
    <t>Gender</t>
  </si>
  <si>
    <t>Race</t>
  </si>
  <si>
    <t>Current Age</t>
  </si>
  <si>
    <t>Appearance</t>
  </si>
  <si>
    <t>High Ability</t>
  </si>
  <si>
    <t>Low Ability</t>
  </si>
  <si>
    <t>Class</t>
  </si>
  <si>
    <t>Alignment</t>
  </si>
  <si>
    <t>Diety</t>
  </si>
  <si>
    <t>Personality Trait</t>
  </si>
  <si>
    <t>Ideal</t>
  </si>
  <si>
    <t>Bond</t>
  </si>
  <si>
    <t>Flaw</t>
  </si>
  <si>
    <t>Talents</t>
  </si>
  <si>
    <t>Mannerisms</t>
  </si>
  <si>
    <t>Interaction Traits</t>
  </si>
  <si>
    <t>Background</t>
  </si>
  <si>
    <t>Status</t>
  </si>
  <si>
    <t>Lifestyle</t>
  </si>
  <si>
    <t>Childhood Home</t>
  </si>
  <si>
    <t>Family</t>
  </si>
  <si>
    <t>Birthplace</t>
  </si>
  <si>
    <t>Absent Parent</t>
  </si>
  <si>
    <t>Cause of Death</t>
  </si>
  <si>
    <t>Parents Known</t>
  </si>
  <si>
    <t>Number of Siblings</t>
  </si>
  <si>
    <t>Childhood Memory</t>
  </si>
  <si>
    <t>Base Stat Block</t>
  </si>
  <si>
    <t>Image URL</t>
  </si>
  <si>
    <t>NameMale</t>
  </si>
  <si>
    <t>NameFemale</t>
  </si>
  <si>
    <t>LastName</t>
  </si>
  <si>
    <t>Sally</t>
  </si>
  <si>
    <t>Smith</t>
  </si>
  <si>
    <t>Chelsea</t>
  </si>
  <si>
    <t>Jackson</t>
  </si>
  <si>
    <t>Lisa</t>
  </si>
  <si>
    <t>Atkins</t>
  </si>
  <si>
    <t>Emily</t>
  </si>
  <si>
    <t>Reid</t>
  </si>
  <si>
    <t>Donna</t>
  </si>
  <si>
    <t>Nancy</t>
  </si>
  <si>
    <t>Kimberly</t>
  </si>
  <si>
    <t>Adelaide</t>
  </si>
  <si>
    <t>Adam</t>
  </si>
  <si>
    <t>Agatha</t>
  </si>
  <si>
    <t>Adelard</t>
  </si>
  <si>
    <t>Agnes</t>
  </si>
  <si>
    <t>Aldous</t>
  </si>
  <si>
    <t>Alice</t>
  </si>
  <si>
    <t>Anselm</t>
  </si>
  <si>
    <t>Aline</t>
  </si>
  <si>
    <t>Arnold</t>
  </si>
  <si>
    <t>Anne</t>
  </si>
  <si>
    <t>Bernard</t>
  </si>
  <si>
    <t>Avelina</t>
  </si>
  <si>
    <t>Bertram</t>
  </si>
  <si>
    <t>Avice</t>
  </si>
  <si>
    <t>Charles</t>
  </si>
  <si>
    <t>Beatrice</t>
  </si>
  <si>
    <t>Clerebold</t>
  </si>
  <si>
    <t>Cecily</t>
  </si>
  <si>
    <t>Conrad</t>
  </si>
  <si>
    <t>Egelina</t>
  </si>
  <si>
    <t>Diggory</t>
  </si>
  <si>
    <t>Eleanor</t>
  </si>
  <si>
    <t>Drogo</t>
  </si>
  <si>
    <t>Elizabeth</t>
  </si>
  <si>
    <t>Everard</t>
  </si>
  <si>
    <t>Ella</t>
  </si>
  <si>
    <t>Frederick</t>
  </si>
  <si>
    <t>Eloise</t>
  </si>
  <si>
    <t>Geoffrey</t>
  </si>
  <si>
    <t>Elysande</t>
  </si>
  <si>
    <t>Gerald</t>
  </si>
  <si>
    <t>Emeny</t>
  </si>
  <si>
    <t>Gilbert</t>
  </si>
  <si>
    <t>Emma</t>
  </si>
  <si>
    <t>Godfrey</t>
  </si>
  <si>
    <t>Emmeline</t>
  </si>
  <si>
    <t>Gunter</t>
  </si>
  <si>
    <t>Ermina</t>
  </si>
  <si>
    <t>Guy</t>
  </si>
  <si>
    <t>Eva</t>
  </si>
  <si>
    <t>Henry</t>
  </si>
  <si>
    <t>Galiena</t>
  </si>
  <si>
    <t>Heward</t>
  </si>
  <si>
    <t>Geva</t>
  </si>
  <si>
    <t>Hubert</t>
  </si>
  <si>
    <t>Giselle</t>
  </si>
  <si>
    <t>Hugh</t>
  </si>
  <si>
    <t>Griselda</t>
  </si>
  <si>
    <t>Jocelyn</t>
  </si>
  <si>
    <t>Hadwisa</t>
  </si>
  <si>
    <t>John</t>
  </si>
  <si>
    <t>Helen</t>
  </si>
  <si>
    <t>Lance</t>
  </si>
  <si>
    <t>Herleva</t>
  </si>
  <si>
    <t>Manfred</t>
  </si>
  <si>
    <t>Hugolina</t>
  </si>
  <si>
    <t>Miles</t>
  </si>
  <si>
    <t>Ida</t>
  </si>
  <si>
    <t>Nicholas</t>
  </si>
  <si>
    <t>Isabella</t>
  </si>
  <si>
    <t>Norman</t>
  </si>
  <si>
    <t>Jacoba</t>
  </si>
  <si>
    <t>Odo</t>
  </si>
  <si>
    <t>Jane</t>
  </si>
  <si>
    <t>Percival</t>
  </si>
  <si>
    <t>Joan</t>
  </si>
  <si>
    <t>Peter</t>
  </si>
  <si>
    <t>Juliana</t>
  </si>
  <si>
    <t>Ralf</t>
  </si>
  <si>
    <t>Katherine</t>
  </si>
  <si>
    <t>Randal</t>
  </si>
  <si>
    <t>Margery</t>
  </si>
  <si>
    <t>Raymond</t>
  </si>
  <si>
    <t>Mary</t>
  </si>
  <si>
    <t>Reynard</t>
  </si>
  <si>
    <t>Matilda</t>
  </si>
  <si>
    <t>Richard</t>
  </si>
  <si>
    <t>Maynild</t>
  </si>
  <si>
    <t>Robert</t>
  </si>
  <si>
    <t>Millicent</t>
  </si>
  <si>
    <t>Roger</t>
  </si>
  <si>
    <t>Oriel</t>
  </si>
  <si>
    <t>Roland</t>
  </si>
  <si>
    <t>Rohesia</t>
  </si>
  <si>
    <t>Rolf</t>
  </si>
  <si>
    <t>Rosalind</t>
  </si>
  <si>
    <t>Simon</t>
  </si>
  <si>
    <t>Rosamund</t>
  </si>
  <si>
    <t>Theobald</t>
  </si>
  <si>
    <t>Sarah</t>
  </si>
  <si>
    <t>Theodoric</t>
  </si>
  <si>
    <t>Susannah</t>
  </si>
  <si>
    <t>Thomas</t>
  </si>
  <si>
    <t>Sybil</t>
  </si>
  <si>
    <t>Timm</t>
  </si>
  <si>
    <t>Williamina</t>
  </si>
  <si>
    <t>Yvonne</t>
  </si>
  <si>
    <t>Wymar</t>
  </si>
  <si>
    <t>Life Events</t>
  </si>
  <si>
    <t>Male</t>
  </si>
  <si>
    <t>Half-orc</t>
  </si>
  <si>
    <t>Distinctive jewelry: earrings, necklace, circlet, bracelets</t>
  </si>
  <si>
    <t>Strength - powerful, brawny, strong as an ox</t>
  </si>
  <si>
    <t>Gnome</t>
  </si>
  <si>
    <t>Piercings </t>
  </si>
  <si>
    <t>Dexterity - lithe, agile, graceful</t>
  </si>
  <si>
    <t>Female</t>
  </si>
  <si>
    <t>Dragonborn</t>
  </si>
  <si>
    <t>Flamboyant or outlandish clothes</t>
  </si>
  <si>
    <t>Constitution - hardy, hale, healthy</t>
  </si>
  <si>
    <t>Halfling</t>
  </si>
  <si>
    <t>Formal, clean clothes</t>
  </si>
  <si>
    <t>Intelligence - studious, learned, inquisitive</t>
  </si>
  <si>
    <t>Human</t>
  </si>
  <si>
    <t>Ragged, dirty clothes</t>
  </si>
  <si>
    <t>Wisdom - perceptive, spiritual, insightful</t>
  </si>
  <si>
    <t>Elf</t>
  </si>
  <si>
    <t>Pronounced scar </t>
  </si>
  <si>
    <t>Charisma - persuasive, forceful, born leader</t>
  </si>
  <si>
    <t>Dwarf</t>
  </si>
  <si>
    <t>Missing teeth</t>
  </si>
  <si>
    <t>Half-elf</t>
  </si>
  <si>
    <t>Missing fingers </t>
  </si>
  <si>
    <t>Tiefling</t>
  </si>
  <si>
    <t>Unusual eye color (or two different colors) </t>
  </si>
  <si>
    <t>Strength - feeble, scrawny</t>
  </si>
  <si>
    <t>Tattoos</t>
  </si>
  <si>
    <t>Dexterity - clumsy, fumbling</t>
  </si>
  <si>
    <t>Birthmark</t>
  </si>
  <si>
    <t>Constitution - sickly, pale</t>
  </si>
  <si>
    <t>Unusual skin color </t>
  </si>
  <si>
    <t>Intelligence - dim-witted, slow</t>
  </si>
  <si>
    <t>Bald</t>
  </si>
  <si>
    <t>Wisdom - oblivious, absent-minded</t>
  </si>
  <si>
    <t>Braided beard or hair</t>
  </si>
  <si>
    <t>Charisma - dull, boring</t>
  </si>
  <si>
    <t>Unusual hair color</t>
  </si>
  <si>
    <t>Distinctive nose</t>
  </si>
  <si>
    <t>Distinctive posture (crooked or rigid)</t>
  </si>
  <si>
    <t>Exceptionally ugly </t>
  </si>
  <si>
    <t>Exceptionally beautiful</t>
  </si>
  <si>
    <t>Barbarian</t>
  </si>
  <si>
    <t>Bard</t>
  </si>
  <si>
    <t>Cleric</t>
  </si>
  <si>
    <t>Druid</t>
  </si>
  <si>
    <t>Fighter</t>
  </si>
  <si>
    <t>Monk</t>
  </si>
  <si>
    <t>Paladin</t>
  </si>
  <si>
    <t>Ranger</t>
  </si>
  <si>
    <t>Rogue</t>
  </si>
  <si>
    <t>Sorcerer</t>
  </si>
  <si>
    <t>Warlock</t>
  </si>
  <si>
    <t>Wizard</t>
  </si>
  <si>
    <t>Lawful evil</t>
  </si>
  <si>
    <t>Neutral evil</t>
  </si>
  <si>
    <t>Neutral</t>
  </si>
  <si>
    <t>Neutral good</t>
  </si>
  <si>
    <t>PersonalityTrait</t>
  </si>
  <si>
    <t>InteractionTraits</t>
  </si>
  <si>
    <t>I idolize a particular hero of my faith and constantly refer to that person's deeds and example.</t>
  </si>
  <si>
    <t>Faith. I trust that my deity will guide my actions. I have faith that if I work hard, things will go well. (Lawful)</t>
  </si>
  <si>
    <t>I would die to recover an ancient artifact of my faith that was lost long ago.</t>
  </si>
  <si>
    <t>I judge others harshly, and myself even more severely.</t>
  </si>
  <si>
    <t xml:space="preserve">Draws beautifully </t>
  </si>
  <si>
    <t>Prone to singing, whistling, or humming quietly</t>
  </si>
  <si>
    <t>I can find common ground between the fiercest enemies, empathizing with them and always working toward peace.</t>
  </si>
  <si>
    <t>Tradition. The ancient traditions of worship and sacrifice must be preserved and upheld. (Lawful)</t>
  </si>
  <si>
    <t>I will someday get revenge on the corrupt temple hierarchy who branded me a heretic.</t>
  </si>
  <si>
    <t>I put too much trust in those who wield power within my temple's hierarchy.</t>
  </si>
  <si>
    <t xml:space="preserve">Sings beautifully </t>
  </si>
  <si>
    <t>Slurs words, lisps, or stutters</t>
  </si>
  <si>
    <t>Arrogant</t>
  </si>
  <si>
    <t>I see omens in every event and action. The gods try to speak to us, we just need to listen.</t>
  </si>
  <si>
    <t>Charity. I always try to help those in need, no matter what the personal cost. (Good)</t>
  </si>
  <si>
    <t>I owe me life to the priest who took me in when my parents died.</t>
  </si>
  <si>
    <t>My piety sometimes leads me to blindly trust those that profess faith in my god.</t>
  </si>
  <si>
    <t xml:space="preserve">Drinks everyone under the table </t>
  </si>
  <si>
    <t>Enunciates overly clearly</t>
  </si>
  <si>
    <t>Blustering</t>
  </si>
  <si>
    <t>Nothing can shake my optimistic attitude.</t>
  </si>
  <si>
    <t>Change. We must help bring about the changes the gods are constantly working in the world. (Chaotic)</t>
  </si>
  <si>
    <t>Everything I do is for the common people.</t>
  </si>
  <si>
    <t>I am inflexible in my thinking.</t>
  </si>
  <si>
    <t xml:space="preserve">Expert carpenter </t>
  </si>
  <si>
    <t>Speaks loudly</t>
  </si>
  <si>
    <t>Rude</t>
  </si>
  <si>
    <t>I quote (or misquote) the sacred texts and proverbs in almost every situation.</t>
  </si>
  <si>
    <t>Power. I hope to one day rise to the top of my faith's religious hierarchy. (Lawful)</t>
  </si>
  <si>
    <t>I will do anything to protect the temple where I served.</t>
  </si>
  <si>
    <t>I am suspicious of strangers and suspect the worst of them.</t>
  </si>
  <si>
    <t xml:space="preserve">Expert cook </t>
  </si>
  <si>
    <t>Whispers</t>
  </si>
  <si>
    <t>Curious</t>
  </si>
  <si>
    <t>I am tolerant (or intolerant) of other faiths and respect (or condemn) the worship of other gods.</t>
  </si>
  <si>
    <t>Aspiration. I seek to prove my self worthy of my god's favor by matching my actions against his or her teachings. (Any)</t>
  </si>
  <si>
    <t>I seek to preserve a sacred text that my enemies consider heretical and seek to destroy.</t>
  </si>
  <si>
    <t>Once I pick a goal, I become obsessed with it to the detriment of everything else in my life.</t>
  </si>
  <si>
    <t xml:space="preserve">Expert dart thrower and rock skipper </t>
  </si>
  <si>
    <t>Uses flowery speech or long words</t>
  </si>
  <si>
    <t>Friendly</t>
  </si>
  <si>
    <t>I've enjoyed fine food, drink, and high society among my temple's elite. Rough living grates on me.</t>
  </si>
  <si>
    <t>Independence. I am a free spirit--no one tells me what to do. (Chaotic)</t>
  </si>
  <si>
    <t>I fleeced the wrong person and must work to ensure that this individual never crosses paths with me or those I care about.</t>
  </si>
  <si>
    <t>I can't resist a pretty face.</t>
  </si>
  <si>
    <t xml:space="preserve">Expert juggler </t>
  </si>
  <si>
    <t>Uses colorful oaths and exclamations</t>
  </si>
  <si>
    <t>Honest</t>
  </si>
  <si>
    <t>I've spent so long in the temple that I have little practical experience dealing with people in the outside world.</t>
  </si>
  <si>
    <t>Fairness. I never target people who can't afford to lose a few coins. (Lawful)</t>
  </si>
  <si>
    <t>I owe everything to my mentor--a horrible person who's probably rotting in jail somewhere.</t>
  </si>
  <si>
    <t>I'm always in debt. I spend my ill-gotten gains on decadent luxuries faster than I bring them in.</t>
  </si>
  <si>
    <t xml:space="preserve">Skilled actor and master of disguise </t>
  </si>
  <si>
    <t>Prone to predictions of doom Fidgets</t>
  </si>
  <si>
    <t>Hot tempered</t>
  </si>
  <si>
    <t>I fall in and out of love easily, and am always pursuing someone.</t>
  </si>
  <si>
    <t>Charity. I distribute money I acquire to the people who really need it. (Good)</t>
  </si>
  <si>
    <t>Somewhere out there I have a child who doesn't know me. I'm making the world better for him or her.</t>
  </si>
  <si>
    <t>I'm convinced that no one could ever fool me in the way I fool others.</t>
  </si>
  <si>
    <t xml:space="preserve">Skilled dancer </t>
  </si>
  <si>
    <t>Squints</t>
  </si>
  <si>
    <t>Irritable</t>
  </si>
  <si>
    <t>I have a joke for every occasion, especially occasions where humor is inappropriate.</t>
  </si>
  <si>
    <t>Creativity. I never run the same con twice. (Chaotic)</t>
  </si>
  <si>
    <t>I come from a noble family, and one day I'll reclaim my lands and title from those who stole them from me.</t>
  </si>
  <si>
    <t>I'm too greedy for my own good. I can't resist taking a risk if there's money involved.</t>
  </si>
  <si>
    <t xml:space="preserve">Speaks several languages fluently </t>
  </si>
  <si>
    <t>Stares into the distance</t>
  </si>
  <si>
    <t>Ponderous</t>
  </si>
  <si>
    <t>Flattery is my preferred trick for getting what I want.</t>
  </si>
  <si>
    <t>Friendship. Material goods come and go. Bonds of friendship last forever. (Good)</t>
  </si>
  <si>
    <t>A powerful person killed someone I love. Some day soon, I'll have my revenge.</t>
  </si>
  <si>
    <t>I can't resist swindling people who are more powerful than me.</t>
  </si>
  <si>
    <t>Knows thieves' cant </t>
  </si>
  <si>
    <t>Paces</t>
  </si>
  <si>
    <t>Quiet</t>
  </si>
  <si>
    <t>I'm a born gambler who can't resist taking a risk for a potential payoff.</t>
  </si>
  <si>
    <t>Aspiration. I'm determined to make something of myself. (Any)</t>
  </si>
  <si>
    <t>I swindled and ruined a person who didn't deserve it. I seek to atone for my misdeeds but might never be able to forgive myself.</t>
  </si>
  <si>
    <t>I hate to admit it and will hate myself for it, but I'll run and preserve my own hide if the going gets tough.</t>
  </si>
  <si>
    <t xml:space="preserve">Unbelievably lucky </t>
  </si>
  <si>
    <t>Taps fingers</t>
  </si>
  <si>
    <t>Suspicious</t>
  </si>
  <si>
    <t>I lie about almost everything, even when there's no good reason to.</t>
  </si>
  <si>
    <t>Honor. I don't steal from others in the trade. (Lawful)</t>
  </si>
  <si>
    <t>I'm trying to pay off an old debt I owe to a generous benefactor.</t>
  </si>
  <si>
    <t>When I see something valuable, I can't think about anything but how to steal it.</t>
  </si>
  <si>
    <t xml:space="preserve">Perfect memory </t>
  </si>
  <si>
    <t>Bites fingernails</t>
  </si>
  <si>
    <t>Sarcasm and insults are my weapons of choice.</t>
  </si>
  <si>
    <t>Freedom. Chains are meant to be broken, as are those who would forge them. (Chaotic)</t>
  </si>
  <si>
    <t>My ill-gotten gains go to support my family.</t>
  </si>
  <si>
    <t>When faced with a choice between money and my friends, I usually choose the money.</t>
  </si>
  <si>
    <t xml:space="preserve">Great with animals </t>
  </si>
  <si>
    <t>Twirls hair or tugs beard</t>
  </si>
  <si>
    <t>I keep multiple holy symbols on me and invoke whatever deity might come in useful at any given moment.</t>
  </si>
  <si>
    <t>Charity. I steal from the wealthy so that I can help people in need. (Good)</t>
  </si>
  <si>
    <t>Something important was taken from me, and I aim to steal it back.</t>
  </si>
  <si>
    <t>If there's a plan, I'll forget it. If I don't forget it, I'll ignore it.</t>
  </si>
  <si>
    <t xml:space="preserve">Great with children </t>
  </si>
  <si>
    <t>Speaks in rhyme or some other peculiar way</t>
  </si>
  <si>
    <t>I pocket anything I see that might have some value.</t>
  </si>
  <si>
    <t>Greed. I will do whatever it takes to become wealthy. (Evil)</t>
  </si>
  <si>
    <t>I will become the greatest thief that ever lived.</t>
  </si>
  <si>
    <t>I have a 'tell' that reveals when I'm lying.</t>
  </si>
  <si>
    <t xml:space="preserve">Great at solving puzzles </t>
  </si>
  <si>
    <t>Particularly low or high voice</t>
  </si>
  <si>
    <t>I always have plan for what to do when things go wrong.</t>
  </si>
  <si>
    <t>People. I'm loyal to my friends, not to any ideals, and everyone else can take a trip down the Styx for all I care. (Neutral)</t>
  </si>
  <si>
    <t>I'm guilty of a terrible crime. I hope I can redeem myself for it.</t>
  </si>
  <si>
    <t>I turn tail and run when things go bad.</t>
  </si>
  <si>
    <t xml:space="preserve">Great at one game </t>
  </si>
  <si>
    <t>Frequently uses the wrong word</t>
  </si>
  <si>
    <t>I am always calm, no matter what the situation. I never raise my voice or let my emotions control me.</t>
  </si>
  <si>
    <t>Redemption. There's a spark of good in everyone. (Good)</t>
  </si>
  <si>
    <t>Someone I loved died because of a mistake I made. That will never happen again.</t>
  </si>
  <si>
    <t>An innocent person is in prison for a crime that I committed. I'm okay with that.</t>
  </si>
  <si>
    <t xml:space="preserve">Great at impersonations </t>
  </si>
  <si>
    <t>Makes constant jokes or puns</t>
  </si>
  <si>
    <t>The first thing I do in a new place is note the locations of everything valuable--or where such things could be hidden.</t>
  </si>
  <si>
    <t>Beauty. When I perform, I make the world better than it was. (Good)</t>
  </si>
  <si>
    <t>My instrument is my most treasured possession, and it reminds me of someone I love.</t>
  </si>
  <si>
    <t>I'll do anything to win fame and renown.</t>
  </si>
  <si>
    <t>Paints beautifully </t>
  </si>
  <si>
    <t>Chews something</t>
  </si>
  <si>
    <t>I would rather make a new friend than a new enemy.</t>
  </si>
  <si>
    <t>Tradition. The stories, legends, and songs of the past must never be forgotten. (Lawful)</t>
  </si>
  <si>
    <t>Someone stole my precious instrument, and someday I'll get it back.</t>
  </si>
  <si>
    <t>I'm a sucker for a pretty face.</t>
  </si>
  <si>
    <t>Plays a musical instrument </t>
  </si>
  <si>
    <t>Other</t>
  </si>
  <si>
    <t>I am incredibly slow to trust. Those who seem the fairest often have the most to hide.</t>
  </si>
  <si>
    <t>Creativity. The world is in need of new ideas and bold action. (Chaotic)</t>
  </si>
  <si>
    <t>I want to be famous, whatever it takes.</t>
  </si>
  <si>
    <t>A scandal prevents me from ever going home again. That kind of trouble seems to follow me around.</t>
  </si>
  <si>
    <t>More</t>
  </si>
  <si>
    <t>I don't pay attention to the risks in a situation. Never tell me the odds.</t>
  </si>
  <si>
    <t>Greed. I'm only in it for the money and fame. (Evil)</t>
  </si>
  <si>
    <t>I idolize a hero of the old tales and measure my deeds against that person's.</t>
  </si>
  <si>
    <t>I once satirized a noble who still wants my head. It was a mistake that I will likely repeat.</t>
  </si>
  <si>
    <t>The best way to get me to do something is to tell me I can't do it.</t>
  </si>
  <si>
    <t>People. I like seeing the smiles on people's faces when I perform. That's all that matters. (Neutral)</t>
  </si>
  <si>
    <t>I will do anything to prove myself superior to me hated rival.</t>
  </si>
  <si>
    <t>I have trouble keeping my true feelings hidden. My sharp tongue lands me in trouble.</t>
  </si>
  <si>
    <t>I blow up at the slightest insult.</t>
  </si>
  <si>
    <t>Honesty. Art should reflect the soul; it should come from within and reveal who we really are. (Any)</t>
  </si>
  <si>
    <t>I would do anything for the other members of my old troupe.</t>
  </si>
  <si>
    <t>Despite my best efforts, I am unreliable to my friends.</t>
  </si>
  <si>
    <t>I know a story relevant to almost every situation.</t>
  </si>
  <si>
    <t>Respect. People deserve to be treated with dignity and respect. (Good)</t>
  </si>
  <si>
    <t>I have a family, but I have no idea where they are. One day, I hope to see them again.</t>
  </si>
  <si>
    <t>The tyrant who rules my land will stop at nothing to see me killed.</t>
  </si>
  <si>
    <t>Whenever I come to a new place, I collect local rumors and spread gossip.</t>
  </si>
  <si>
    <t>Fairness. No one should get preferential treatment before the law, and no one is above the law. (Lawful)</t>
  </si>
  <si>
    <t>I worked the land, I love the land, and I will protect the land.</t>
  </si>
  <si>
    <t>I'm convinced of the significance of my destiny, and blind to my shortcomings and the risk of failure.</t>
  </si>
  <si>
    <t>I'm a hopeless romantic, always searching for that 'special someone'.</t>
  </si>
  <si>
    <t>Freedom. Tyrants must not be allowed to oppress the people. (Chaotic)</t>
  </si>
  <si>
    <t>A proud noble once gave me a horrible beating, and I will take my revenge on any bully I encounter.</t>
  </si>
  <si>
    <t>The people who knew me when I was young know my shameful secret, so I can never go home again.</t>
  </si>
  <si>
    <t>Nobody stays angry at me or around me for long, since I can defuse any amount of tension.</t>
  </si>
  <si>
    <t>Might. If I become strong, I can take what I want--what I deserve. (Evil)</t>
  </si>
  <si>
    <t>My tools are symbols of my past life, and I carry them so that I will never forget my roots.</t>
  </si>
  <si>
    <t>I have a weakness for the vices of the city, especially hard drink.</t>
  </si>
  <si>
    <t>I love a good insult, even one directed at me.</t>
  </si>
  <si>
    <t>Sincerity. There's no good pretending to be something I'm not. (Neutral)</t>
  </si>
  <si>
    <t>I protect those who cannot protect themselves.</t>
  </si>
  <si>
    <t>Secretly, I believe that things would be better if I were a tyrant lording over the land.</t>
  </si>
  <si>
    <t>I get bitter if I'm not the center of attention.</t>
  </si>
  <si>
    <t>Destiny. Nothing and no one can steer me away from my higher calling. (Any)</t>
  </si>
  <si>
    <t>I wish my childhood sweetheart had come with me to pursue my destiny.</t>
  </si>
  <si>
    <t>I have trouble trusting in my allies.</t>
  </si>
  <si>
    <t>I'll settle for nothing less than perfection.</t>
  </si>
  <si>
    <t>Community. It is the duty of all civilized people to strengthen the bonds of community and the security of civilization. (Lawful)</t>
  </si>
  <si>
    <t>The workshop where I learned my trade is the most important place in the world to me.</t>
  </si>
  <si>
    <t>I'll do anything to get my hands on something rare or priceless.</t>
  </si>
  <si>
    <t>I change my mood or my mind as quickly as I change key in a song.</t>
  </si>
  <si>
    <t>Generosity. My talents were given to me so that I could use them to benefit the world. (Good)</t>
  </si>
  <si>
    <t>I created a great work for someone, and then found them unworthy to receive it. I'm still looking for someone worthy.</t>
  </si>
  <si>
    <t>I'm quick to assume that someone is trying to cheat me.</t>
  </si>
  <si>
    <t>I judge people by their actions, not their words.</t>
  </si>
  <si>
    <t>Freedom. Everyone should be free to pursue his or her livelihood. (Chaotic)</t>
  </si>
  <si>
    <t>I owe my guild a great debt for forging me into the person I am today.</t>
  </si>
  <si>
    <t>No one must ever learn that I once stole money from guild coffers.</t>
  </si>
  <si>
    <t>If someone is in trouble, I'm always willing to lend help.</t>
  </si>
  <si>
    <t>Greed. I'm only in it for the money. (Evil)</t>
  </si>
  <si>
    <t>I pursue wealth to secure someone's love.</t>
  </si>
  <si>
    <t>I'm never satisfied with what I have--I always want more.</t>
  </si>
  <si>
    <t>When I set my mind to something, I follow through no matter what gets in my way.</t>
  </si>
  <si>
    <t>People. I'm committed to the people I care about, not to ideals. (Neutral)</t>
  </si>
  <si>
    <t>One day I will return to my guild and prove that I am the greatest artisan of them all.</t>
  </si>
  <si>
    <t>I would kill to acquire a noble title.</t>
  </si>
  <si>
    <t>I have a strong sense of fair play and always try to find the most equitable solution to arguments.</t>
  </si>
  <si>
    <t>Aspiration. I work hard to be the best there is at my craft. (Any)</t>
  </si>
  <si>
    <t>I will get revenge on the evil forces that destroyed my place of business and ruined my livelihood.</t>
  </si>
  <si>
    <t>I'm horribly jealous of anyone who outshines my handiwork. Everywhere I go, I'm surrounded by rivals.</t>
  </si>
  <si>
    <t>I'm confident in my own abilities and do what I can to instill confidence in others.</t>
  </si>
  <si>
    <t>Greater Good. My gifts are meant to be shared with all, not used for my own benefit. (Good)</t>
  </si>
  <si>
    <t>Nothing is more important than the other members of my hermitage, order, or association.</t>
  </si>
  <si>
    <t>Now that I've returned to the world, I enjoy its delights a little too much.</t>
  </si>
  <si>
    <t>Thinking is for other people. I prefer action.</t>
  </si>
  <si>
    <t>Logic. Emotions must not cloud our sense of what is right and true, or our logical thinking. (Lawful)</t>
  </si>
  <si>
    <t>I entered seclusion to hide from the ones who might still be hunting me. I must someday confront them.</t>
  </si>
  <si>
    <t>I harbor dark bloodthirsty thoughts that my isolation failed to quell.</t>
  </si>
  <si>
    <t>I misuse long words in an attempt to sound smarter.</t>
  </si>
  <si>
    <t>Free Thinking. Inquiry and curiosity are the pillars of progress. (Chaotic)</t>
  </si>
  <si>
    <t>I'm still seeking the enlightenment I pursued in my seclusion, and it still eludes me.</t>
  </si>
  <si>
    <t>I am dogmatic in my thoughts and philosophy.</t>
  </si>
  <si>
    <t>I get bored easily. When am I going to get on with my destiny.</t>
  </si>
  <si>
    <t>Power. Solitude and contemplation are paths toward mystical or magical power. (Evil)</t>
  </si>
  <si>
    <t>I entered seclusion because I loved someone I could not have.</t>
  </si>
  <si>
    <t>I let my need to win arguments overshadow friendships and harmony.</t>
  </si>
  <si>
    <t>I believe that everything worth doing is worth doing right. I can't help it--I'm a perfectionist.</t>
  </si>
  <si>
    <t>Live and Let Live. Meddling in the affairs of others only causes trouble. (Neutral)</t>
  </si>
  <si>
    <t>Should my discovery come to light, it could bring ruin to the world.</t>
  </si>
  <si>
    <t>I'd risk too much to uncover a lost bit of knowledge.</t>
  </si>
  <si>
    <t>I'm a snob who looks down on those who can't appreciate fine art.</t>
  </si>
  <si>
    <t>Self-Knowledge. If you know yourself, there're nothing left to know. (Any)</t>
  </si>
  <si>
    <t>My isolation gave me great insight into a great evil that only I can destroy.</t>
  </si>
  <si>
    <t>I like keeping secrets and won't share them with anyone.</t>
  </si>
  <si>
    <t>I always want to know how things work and what makes people tick.</t>
  </si>
  <si>
    <t>Respect. Respect is due to me because of my position, but all people regardless of station deserve to be treated with dignity. (Good)</t>
  </si>
  <si>
    <t>I will face any challenge to win the approval of my family.</t>
  </si>
  <si>
    <t>I secretly believe that everyone is beneath me.</t>
  </si>
  <si>
    <t>I'm full of witty aphorisms and have a proverb for every occasion.</t>
  </si>
  <si>
    <t>Responsibility. It is my duty to respect the authority of those above me, just as those below me must respect mine. (Lawful)</t>
  </si>
  <si>
    <t>My house's alliance with another noble family must be sustained at all costs.</t>
  </si>
  <si>
    <t>I hide a truly scandalous secret that could ruin my family forever.</t>
  </si>
  <si>
    <t>I'm rude to people who lack my commitment to hard work and fair play.</t>
  </si>
  <si>
    <t>Independence. I must prove that I can handle myself without the coddling of my family. (Chaotic)</t>
  </si>
  <si>
    <t>Nothing is more important that the other members of my family.</t>
  </si>
  <si>
    <t>I too often hear veiled insults and threats in every word addressed to me, and I'm quick to anger.</t>
  </si>
  <si>
    <t>I like to talk at length about my profession.</t>
  </si>
  <si>
    <t>Power. If I can attain more power, no one will tell me what to do. (Evil)</t>
  </si>
  <si>
    <t>I am in love with the heir of a family that my family despises.</t>
  </si>
  <si>
    <t>I have an insatiable desire for carnal pleasures.</t>
  </si>
  <si>
    <t>I don't part with my money easily and will haggle tirelessly to get the best deal possible.</t>
  </si>
  <si>
    <t>Family. Blood runs thicker than water. (Any)</t>
  </si>
  <si>
    <t>My loyalty to my sovereign is unwavering.</t>
  </si>
  <si>
    <t>In fact, the world does revolve around me.</t>
  </si>
  <si>
    <t>I'm well known for my work, and I want to make sure everyone appreciates it. I'm always taken aback when people haven't heard of me.</t>
  </si>
  <si>
    <t>Noble Obligation. It is my duty to protect and care for the people beneath me. (Good)</t>
  </si>
  <si>
    <t>The common folk must see me as a hero of the people.</t>
  </si>
  <si>
    <t>By my words and actions, I often bring shame to my family.</t>
  </si>
  <si>
    <t>I've been isolated for so long that I rarely speak, preferring gestures and the occasional grunt.</t>
  </si>
  <si>
    <t>Change. Life is like the seasons, in constant change, and we must change with it. (Chaotic)</t>
  </si>
  <si>
    <t>My family, clan, or tribe is the most important thing in my life, even when they are far from me.</t>
  </si>
  <si>
    <t>I am too enamored of ale, wine, and other intoxicants.</t>
  </si>
  <si>
    <t>I am utterly serene, even in the face of disaster.</t>
  </si>
  <si>
    <t>Greater Good. It is each person's responsibility to make the most happiness for the whole tribe. (Good)</t>
  </si>
  <si>
    <t>An injury to the unspoiled wilderness of my home is an injury to me.</t>
  </si>
  <si>
    <t>There's no room for caution in a life lived to the fullest.</t>
  </si>
  <si>
    <t>The leader of my community has something wise to say on every topic, and I am eager to share that wisdom.</t>
  </si>
  <si>
    <t>Honor. If I dishonor myself, I dishonor my whole clan. (Lawful)</t>
  </si>
  <si>
    <t>I will bring terrible wrath down on the evildoers who destroyed my homeland.</t>
  </si>
  <si>
    <t>I remember every insult I've received and nurse a silent resentment toward anyone who's ever wronged me.</t>
  </si>
  <si>
    <t>I feel tremendous empathy for all who suffer.</t>
  </si>
  <si>
    <t>Might. The strongest are meant to rule. (Evil)</t>
  </si>
  <si>
    <t>I am the last of my tribe, and it is up to me to ensure their names enter legend.</t>
  </si>
  <si>
    <t>I am slow to trust members of other races</t>
  </si>
  <si>
    <t>I'm oblivious to etiquette and social expectations.</t>
  </si>
  <si>
    <t>Nature. The natural world is more important than all the constructs of civilization. (Neutral)</t>
  </si>
  <si>
    <t>I suffer awful visions of a coming disaster and will do anything to prevent it.</t>
  </si>
  <si>
    <t>Violence is my answer to almost any challenge.</t>
  </si>
  <si>
    <t>I connect everything that happens to me to a grand cosmic plan.</t>
  </si>
  <si>
    <t>Glory. I must earn glory in battle, for myself and my clan. (Any)</t>
  </si>
  <si>
    <t>It is my duty to provide children to sustain my tribe.</t>
  </si>
  <si>
    <t>Don't expect me to save those who can't save themselves. It is nature's way that the strong thrive and the weak perish.</t>
  </si>
  <si>
    <t>I often get lost in my own thoughts and contemplations, becoming oblivious to my surroundings.</t>
  </si>
  <si>
    <t>Knowledge. The path to power and self-improvement is through knowledge. (Neutral)</t>
  </si>
  <si>
    <t>It is my duty to protect my students.</t>
  </si>
  <si>
    <t>I am easily distracted by the promise of information.</t>
  </si>
  <si>
    <t>I am working on a grand philosophical theory and love sharing my ideas.</t>
  </si>
  <si>
    <t>Beauty. What is beautiful points us beyond itself toward what is true. (Good)</t>
  </si>
  <si>
    <t>I have an ancient text that holds terrible secrets that must not fall into the wrong hands.</t>
  </si>
  <si>
    <t>Most people scream and run when they see a demon. I stop and take notes on its anatomy.</t>
  </si>
  <si>
    <t>My eloquent flattery makes everyone I talk to feel like the most wonderful and important person in the world.</t>
  </si>
  <si>
    <t>Logic. Emotions must not cloud our logical thinking. (Lawful)</t>
  </si>
  <si>
    <t>I work to preserve a library, university, scriptorium, or monastery.</t>
  </si>
  <si>
    <t>Unlocking an ancient mystery is worth the price of a civilization.</t>
  </si>
  <si>
    <t>The common folk love me for my kindness and generosity.</t>
  </si>
  <si>
    <t>No Limits. Nothing should fetter the infinite possibility inherent in all existence. (Chaotic)</t>
  </si>
  <si>
    <t>My life's work is a series of tomes related to a specific field of lore.</t>
  </si>
  <si>
    <t>I overlook obvious solutions in favor of complicated ones.</t>
  </si>
  <si>
    <t>No one could doubt by looking at my regal bearing that I am a cut above the unwashed masses.</t>
  </si>
  <si>
    <t>Power. Knowledge is the path to power and domination. (Evil)</t>
  </si>
  <si>
    <t>I've been searching my whole life for the answer to a certain question.</t>
  </si>
  <si>
    <t>I speak without really thinking through my words, invariably insulting others.</t>
  </si>
  <si>
    <t>I take great pains to always look my best and follow the latest fashions.</t>
  </si>
  <si>
    <t>Self-improvement. The goal of a life of study is the betterment of oneself.</t>
  </si>
  <si>
    <t>I sold my soul for knowledge. I hope to do great deeds and win it back.</t>
  </si>
  <si>
    <t>I can't keep a secret to save my life, or anyone else's.</t>
  </si>
  <si>
    <t>I don't like to get my hands dirty, and I won't be caught dead in unsuitable accommodations.</t>
  </si>
  <si>
    <t>Respect. The thing that keeps a ship together is mutual respect between captain and crew. (Good)</t>
  </si>
  <si>
    <t>I'm loyal to my captain first, everything else second.</t>
  </si>
  <si>
    <t>I follow orders, even if I think they're wrong.</t>
  </si>
  <si>
    <t>Despite my birth, I do not place myself above other folk. We all have the same blood.</t>
  </si>
  <si>
    <t>Fairness. We all do the work, so we all share in the rewards. (Lawful)</t>
  </si>
  <si>
    <t>The ship is most important--crewmates and captains come and go.</t>
  </si>
  <si>
    <t>I'll say anything to avoid having to do extra work.</t>
  </si>
  <si>
    <t>My favor, once lost, is lost forever.</t>
  </si>
  <si>
    <t>Freedom. The sea is freedom--the freedom to go anywhere and do anything. (Chaotic)</t>
  </si>
  <si>
    <t>I'll always remember my first ship.</t>
  </si>
  <si>
    <t>Once someone questions my courage, I never back down no matter how dangerous the situation.</t>
  </si>
  <si>
    <t>If you do me an injury, I will crush you, ruin your name, and salt your fields.</t>
  </si>
  <si>
    <t>Master. I'm a predator, and the other ships on the sea are my prey. (Evil)</t>
  </si>
  <si>
    <t>In a harbor town, I have a paramour whose eyes nearly stole me from the sea.</t>
  </si>
  <si>
    <t>Once I start drinking, it's hard for me to stop.</t>
  </si>
  <si>
    <t>I'm driven by a wanderlust that led me away from home.</t>
  </si>
  <si>
    <t>People. I'm committed to my crewmates, not to ideals. (Neutral)</t>
  </si>
  <si>
    <t>I was cheated of my fair share of the profits, and I want to get my due.</t>
  </si>
  <si>
    <t>I can't help but pocket loose coins and other trinkets I come across.</t>
  </si>
  <si>
    <t>I watch over my friends as if they were a litter of newborn pups.</t>
  </si>
  <si>
    <t>Aspiration. Someday I'll own my own ship and chart my own destiny. (Any)</t>
  </si>
  <si>
    <t>Ruthless pirates murdered my captain and crewmates, plundered our ship, and left me to die. Vengeance will be mine.</t>
  </si>
  <si>
    <t>My pride will probably lead to my destruction</t>
  </si>
  <si>
    <t>I once ran twenty-five miles without stopping to warn my clan of an approaching orc horde. I'd do it again if I had to.</t>
  </si>
  <si>
    <t>Greater Good. Our lot is to lay down our lives in defense of others. (Good)</t>
  </si>
  <si>
    <t>I would lay down my life for the people I served with.</t>
  </si>
  <si>
    <t>The monstrous enemy we faced in battle still leaves me quivering with fear.</t>
  </si>
  <si>
    <t>I have a lesson for every situation, drawn from observing nature.</t>
  </si>
  <si>
    <t>Responsibility. I do what I must and obey just authority. (Lawful)</t>
  </si>
  <si>
    <t>Someone saved my life on the battlefield. To this day, I will never leave a friend behind.</t>
  </si>
  <si>
    <t>I have little respect for anyone who is not a proven warrior.</t>
  </si>
  <si>
    <t>I place no stock in wealthy or well-mannered folk. Money and manners won't save you from a hungry owlbear.</t>
  </si>
  <si>
    <t>Independence. When people follow orders blindly they embrace a kind of tyranny. (Chaotic)</t>
  </si>
  <si>
    <t>My honor is my life.</t>
  </si>
  <si>
    <t>I made a terrible mistake in battle that cost many lives--and I would do anything to keep that mistake secret.</t>
  </si>
  <si>
    <t>I'm always picking things up, absently fiddling with them, and sometimes accidentally breaking them.</t>
  </si>
  <si>
    <t>Might. In life as in war, the stronger force wins. (Evil)</t>
  </si>
  <si>
    <t>I'll never forget the crushing defeat my company suffered or the enemies who dealt it.</t>
  </si>
  <si>
    <t>My hatred of my enemies is blind and unreasoning.</t>
  </si>
  <si>
    <t>I feel far more comfortable around animals than people.</t>
  </si>
  <si>
    <t>Ideals aren't worth killing for or going to war for. (Neutral)</t>
  </si>
  <si>
    <t>Those who fight beside me are those worth dying for.</t>
  </si>
  <si>
    <t>I obey the law, even if the law causes misery.</t>
  </si>
  <si>
    <t>I was, in fact, raised by wolves.</t>
  </si>
  <si>
    <t>Nation. My city, nation, or people are all that matter. (Any)</t>
  </si>
  <si>
    <t>I fight for those who cannot fight for themselves.</t>
  </si>
  <si>
    <t>I'd rather eat my armor than admit when I'm wrong.</t>
  </si>
  <si>
    <t>I use polysyllabic words to convey the impression of great erudition.</t>
  </si>
  <si>
    <t>Respect. All people, rich or poor, deserve respect. (Good)</t>
  </si>
  <si>
    <t>My town or city is my home, and I'll fight to defend it.</t>
  </si>
  <si>
    <t>If I'm outnumbered, I always run away from a fight.</t>
  </si>
  <si>
    <t>I've read every book in the world's greatest libraries--or like to boast that I have.</t>
  </si>
  <si>
    <t>Community. We have to take care of each other, because no one else is going to do it. (Lawful)</t>
  </si>
  <si>
    <t>I sponsor an orphanage to keep others from enduring what I was forced to endure.</t>
  </si>
  <si>
    <t>Gold seems like a lot of money to me, and I'll do just about anything for more of it.</t>
  </si>
  <si>
    <t>I'm used to helping out those who aren't as smart as I am, and I patiently explain anything and everything to others.</t>
  </si>
  <si>
    <t>Change. The low are lifted up, and the high and mighty are brought down. Change is the nature of things. (Chaotic)</t>
  </si>
  <si>
    <t>I owe my survival to another urchin who taught me to live on the streets.</t>
  </si>
  <si>
    <t>I will never fully trust anyone other than myself.</t>
  </si>
  <si>
    <t>There's nothing I like more than a good mystery.</t>
  </si>
  <si>
    <t>Retribution. The rich need to be shown what life and death are like in the gutters. (Evil)</t>
  </si>
  <si>
    <t>I owe a debt I can never repay to the person who took pity on me.</t>
  </si>
  <si>
    <t>I'd rather kill someone in their sleep than fight fair.</t>
  </si>
  <si>
    <t>I'm willing to listen to every side of an argument before I make my own judgment.</t>
  </si>
  <si>
    <t>People. I help people who help me--that's what keeps us alive. (Neutral)</t>
  </si>
  <si>
    <t>I escaped my life of poverty by robbing an important person, and I'm wanted for it.</t>
  </si>
  <si>
    <t>It's not stealing if I need it more than someone else.</t>
  </si>
  <si>
    <t>I...speak...slowly...when talking...to idiots...which...almost...everyone...is...compared ...to me.</t>
  </si>
  <si>
    <t>Aspiration. I'm going to prove that I'm worthy of a better life. (Any)</t>
  </si>
  <si>
    <t>No one else is going to have to endure the hardships I've been through.</t>
  </si>
  <si>
    <t>People who don't take care of themselves get what they deserve.</t>
  </si>
  <si>
    <t>I am horribly, horribly awkward in social situations.</t>
  </si>
  <si>
    <t>I'm convinced that people are always trying to steal my secrets.</t>
  </si>
  <si>
    <t>My friends know they can rely on me, no matter what.</t>
  </si>
  <si>
    <t>I work hard so that I can play hard when the work is done.</t>
  </si>
  <si>
    <t>I enjoy sailing into new ports and making new friends over a flagon of ale.</t>
  </si>
  <si>
    <t>I stretch the truth for the sake of a good story.</t>
  </si>
  <si>
    <t>To me, a tavern brawl is a nice way to get to know a new city.</t>
  </si>
  <si>
    <t>I never pass up a friendly wager.</t>
  </si>
  <si>
    <t>My language is as foul as an otyugh nest.</t>
  </si>
  <si>
    <t>I like a job well done, especially if I can convince someone else to do it.</t>
  </si>
  <si>
    <t>I'm always polite and respectful.</t>
  </si>
  <si>
    <t>I'm haunted by memories of war. I can't get the images of violence out of my mind.</t>
  </si>
  <si>
    <t>I've lost too many friends, and I'm slow to make new ones.</t>
  </si>
  <si>
    <t>I'm full of inspiring and cautionary tales from my military experience relevant to almost every combat situation.</t>
  </si>
  <si>
    <t>I can stare down a hellhound without flinching.</t>
  </si>
  <si>
    <t>I enjoy being strong and like breaking things.</t>
  </si>
  <si>
    <t>I have a crude sense of humor.</t>
  </si>
  <si>
    <t>I face problems head-on. A simple direct solution is the best path to success.</t>
  </si>
  <si>
    <t>I hide scraps of food and trinkets away in my pockets.</t>
  </si>
  <si>
    <t>I ask a lot of questions.</t>
  </si>
  <si>
    <t>I like to squeeze into small places where no one else can get to me.</t>
  </si>
  <si>
    <t>I sleep with my back to a wall or tree, with everything I own wrapped in a bundle in my arms.</t>
  </si>
  <si>
    <t>I eat like a pig and have bad manners.</t>
  </si>
  <si>
    <t>I think anyone who's nice to me is hiding evil intent.</t>
  </si>
  <si>
    <t>I don't like to bathe.</t>
  </si>
  <si>
    <t>I bluntly say what other people are hinting or hiding.</t>
  </si>
  <si>
    <t>I became an acolyte because …</t>
  </si>
  <si>
    <t>I became a hermit because …</t>
  </si>
  <si>
    <t>I became an urchin because …</t>
  </si>
  <si>
    <t>Acolyte</t>
  </si>
  <si>
    <t>I ran away from home at an early age and found refuge in a temple.</t>
  </si>
  <si>
    <t>My enemies ruined my reputation, and I fled to the wilds to avoid further disparagement.</t>
  </si>
  <si>
    <t>Wanderlust caused me to leave my family to see the world. I look after myself.</t>
  </si>
  <si>
    <t>Charlatan</t>
  </si>
  <si>
    <t>My family gave me to a temple, since they were unable or unwilling to care for me.</t>
  </si>
  <si>
    <t>I am comfortable with being isolated, as I seek inner peace.</t>
  </si>
  <si>
    <t>I ran away from a bad situation at home and made my own way in the world.</t>
  </si>
  <si>
    <t>Criminal</t>
  </si>
  <si>
    <t>I grew up in a household with strong religious convictions. Entering the service of one or more gods seemed natural.</t>
  </si>
  <si>
    <t>I never liked the people I called my friends, so it was easy for me to strike out on my own.</t>
  </si>
  <si>
    <t>Monsters wiped out my village, and I was the sole survivor. I had to find a way to survive.</t>
  </si>
  <si>
    <t>Entertainer</t>
  </si>
  <si>
    <t>An impassioned sermon struck a chord deep in my soul and moved me to serve the faith.</t>
  </si>
  <si>
    <t>I felt compelled to forsake my past, but did so with great reluctance, and sometimes I regret making that decision.</t>
  </si>
  <si>
    <t>A notorious thief looked after me and other orphans, and we spied and stole to earn our keep.</t>
  </si>
  <si>
    <t>Folk Hero</t>
  </si>
  <si>
    <t>I followed a childhood friend, a respected acquaintance, or someone I loved into religious service.</t>
  </si>
  <si>
    <t>I lost everything — my home, my family, my friends. Going it alone was all I could do.</t>
  </si>
  <si>
    <t>One day I woke up on the streets, alone and hungry, with no memory of my early childhood.</t>
  </si>
  <si>
    <t>Guild Artisan</t>
  </si>
  <si>
    <t>After encountering a true servant of the gods, I was so inspired that I immediately entered the service of a religious group.</t>
  </si>
  <si>
    <t>Society’s decadence disgusted me, so I decided to leave it behind.</t>
  </si>
  <si>
    <t>My parents died, leaving no one to look after me. I raised myself.</t>
  </si>
  <si>
    <t>Hermit</t>
  </si>
  <si>
    <t>Noble</t>
  </si>
  <si>
    <t>I became an charlatan because …</t>
  </si>
  <si>
    <t>I became a noble because …</t>
  </si>
  <si>
    <t>Outlander</t>
  </si>
  <si>
    <t>I was left to my own devices, and my knack for manipulating others helped me survive.</t>
  </si>
  <si>
    <t>I come from an old and storied family, and it fell to me to preserve the family name.</t>
  </si>
  <si>
    <t>Sage</t>
  </si>
  <si>
    <t>I learned early on that people are gullible and easy to exploit.</t>
  </si>
  <si>
    <t>My family has been disgraced, and I intend to clear our name.</t>
  </si>
  <si>
    <t>Sailor</t>
  </si>
  <si>
    <t>I often got in trouble, but I managed to talk my way out of it every time.</t>
  </si>
  <si>
    <t>My family recently came by its title, and that elevation thrust us into a new and strange world.</t>
  </si>
  <si>
    <t>Soldier</t>
  </si>
  <si>
    <t>I took up with a confidence artist, from whom I learned my craft.</t>
  </si>
  <si>
    <t>My family has a title, but none of my ancestors have distinguished themselves since we gained it.</t>
  </si>
  <si>
    <t>Urchin</t>
  </si>
  <si>
    <t>After a charlatan fleeced my family, I decided to learn the trade so I would never be fooled by such deception again.</t>
  </si>
  <si>
    <t>My family is filled with remarkable people. I hope to live up to their example.</t>
  </si>
  <si>
    <t>I was poor or I feared becoming poor, so I learned the tricks I needed to keep myself out of poverty.</t>
  </si>
  <si>
    <t>I hope to increase my family’s power and influence.</t>
  </si>
  <si>
    <t>I became an criminal because …</t>
  </si>
  <si>
    <t>I became an outlander because …</t>
  </si>
  <si>
    <t>I resented authority in my younger days and saw a life of crime as the best way to fight against tyranny and oppression.</t>
  </si>
  <si>
    <t>I spent a lot of time in the wilderness as a youngster, and I came to love that way of life.</t>
  </si>
  <si>
    <t>Necessity forced me to take up the life, since it was the only way I could survive.</t>
  </si>
  <si>
    <t>From a young age, I couldn’t abide the stink of the cities and preferred to spend my time in nature.</t>
  </si>
  <si>
    <t>I fell in with a gang of reprobates and ne’er-do-wells, and I learned my specialty from them.</t>
  </si>
  <si>
    <t>I came to understand the darkness that lurks in the wilds, and I vowed to combat it.</t>
  </si>
  <si>
    <t>A parent or relative taught me my criminal specialty to prepare me for the family business.</t>
  </si>
  <si>
    <t>My people lived on the edges of civilization, and I learned the methods of survival from my family.</t>
  </si>
  <si>
    <t>I left home and found a place in a thieves’ guild or some other criminal organization.</t>
  </si>
  <si>
    <t>After a tragedy I retreated to the wilderness, leaving my old life behind.</t>
  </si>
  <si>
    <t>I was always bored, so I turned to crime to pass the time and discovered I was quite good at it.</t>
  </si>
  <si>
    <t>My family moved away from civilization, and I learned to adapt to my new environment.</t>
  </si>
  <si>
    <t>I became an entertainer because …</t>
  </si>
  <si>
    <t>I became a sage because …</t>
  </si>
  <si>
    <t>Members of my family made ends meet by performing, so it was fitting for me to follow their example.</t>
  </si>
  <si>
    <t>I was naturally curious, so I packed up and went to a university to learn more about the world.</t>
  </si>
  <si>
    <t>I always had a keen insight into other people, enough so that I could make them laugh or cry with my stories or songs.</t>
  </si>
  <si>
    <t>My mentor’s teachings opened my mind to new possibilities in that field of study.</t>
  </si>
  <si>
    <t>I ran away from home to follow a minstrel troupe.</t>
  </si>
  <si>
    <t>I was always an avid reader, and I learned much about my favorite topic on my own.</t>
  </si>
  <si>
    <t>I saw a bard perform once, and I knew from that moment on what I was born to do.</t>
  </si>
  <si>
    <t>I discovered an old library and pored over the texts I found there. That experience awakened a hunger for more knowledge.</t>
  </si>
  <si>
    <t>I earned coin by performing on street corners and eventually made a name for myself.</t>
  </si>
  <si>
    <t>I impressed a wizard who told me I was squandering my talents and should seek out an education to take advantage of my gifts.</t>
  </si>
  <si>
    <t>A traveling entertainer took me in and taught me the trade.</t>
  </si>
  <si>
    <t>One of my parents or a relative gave me a basic education that whetted my appetite, and I left home to build on what I had learned.</t>
  </si>
  <si>
    <t>I became a folk hero because …</t>
  </si>
  <si>
    <t>I became a sailor because …</t>
  </si>
  <si>
    <t>I learned what was right and wrong from my family.</t>
  </si>
  <si>
    <t>I was press-ganged by pirates and forced to serve on their ship until I finally escaped.</t>
  </si>
  <si>
    <t>I was always enamored by tales of heroes and wished I could be something more than ordinary.</t>
  </si>
  <si>
    <t>I wanted to see the world, so I signed on as a deckhand for a merchant ship.</t>
  </si>
  <si>
    <t>I hated my mundane life, so when it was time for someone to step up and do the right thing, I took my chance.</t>
  </si>
  <si>
    <t>One of my relatives was a sailor who took me to sea.</t>
  </si>
  <si>
    <t>A parent or one of my relatives was an adventurer, and I was inspired by that person’s courage.</t>
  </si>
  <si>
    <t>I needed to escape my community quickly, so I stowed away on a ship. When the crew found me, I was forced to work for my passage.</t>
  </si>
  <si>
    <t>A mad old hermit spoke a prophecy when I was born, saying that I would accomplish great things.</t>
  </si>
  <si>
    <t>Reavers attacked my community, so I found refuge on a ship until I could seek vengeance.</t>
  </si>
  <si>
    <t>I have always stood up for those who are weaker than I am.</t>
  </si>
  <si>
    <t>I had few prospects where I was living, so I left to find my fortune elsewhere.</t>
  </si>
  <si>
    <t>I became a guild artisan because …</t>
  </si>
  <si>
    <t>I became a soldier because …</t>
  </si>
  <si>
    <t>I was apprenticed to a master who taught me the guild’s business.</t>
  </si>
  <si>
    <t>I joined the militia to help protect my community from monsters.</t>
  </si>
  <si>
    <t>I helped a guild artisan keep a secret or complete a task, and in return I was taken on as an apprentice.</t>
  </si>
  <si>
    <t>A relative of mine was a soldier, and I wanted to carry on the family tradition.</t>
  </si>
  <si>
    <t>One of my family members who belonged to the guild made a place for me.</t>
  </si>
  <si>
    <t>The local lord forced me to enlist in the army.</t>
  </si>
  <si>
    <t>I was always good with my hands, so I took the opportunity to learn a trade.</t>
  </si>
  <si>
    <t>War ravaged my homeland while I was growing up. Fighting was the only life I ever knew.</t>
  </si>
  <si>
    <t>I wanted to get away from my home situation and start a new life.</t>
  </si>
  <si>
    <t>I wanted fame and fortune, so I joined a mercenary company, selling my sword to the highest bidder.</t>
  </si>
  <si>
    <t>I learned the essentials of my craft from a mentor but had to join the guild to finish my training.</t>
  </si>
  <si>
    <t>Invaders attacked my homeland. It was my duty to take up arms in defense of my people.</t>
  </si>
  <si>
    <t>You know who your parents are or were.</t>
  </si>
  <si>
    <t>Home</t>
  </si>
  <si>
    <t>None</t>
  </si>
  <si>
    <t>Wretched (-40)</t>
  </si>
  <si>
    <t>On the streets</t>
  </si>
  <si>
    <t>You do not know who your parents were.</t>
  </si>
  <si>
    <t>Home of a family friend</t>
  </si>
  <si>
    <t>Institution, such as an asylum</t>
  </si>
  <si>
    <t>Squalid (-20)</t>
  </si>
  <si>
    <t>Rundown shack</t>
  </si>
  <si>
    <t>Home of a healer or midwife</t>
  </si>
  <si>
    <t>Temple</t>
  </si>
  <si>
    <t>Poor (-10)</t>
  </si>
  <si>
    <t>No permanent residence; you moved around a lot</t>
  </si>
  <si>
    <t>Carriage, cart, or wagon</t>
  </si>
  <si>
    <t>Orphanage</t>
  </si>
  <si>
    <t>Modest (+00)</t>
  </si>
  <si>
    <t>Encampment or village in the wilderness</t>
  </si>
  <si>
    <t>Your parent died (roll on the Cause of Death supplemental table).</t>
  </si>
  <si>
    <t>Barn, shed, or other outbuilding</t>
  </si>
  <si>
    <t>Guardian</t>
  </si>
  <si>
    <t>Comfortable (+10)</t>
  </si>
  <si>
    <t>Apartment in a rundown neighborhood</t>
  </si>
  <si>
    <t>Your parent was imprisoned, enslaved, or otherwise taken away.</t>
  </si>
  <si>
    <t>Cave</t>
  </si>
  <si>
    <t>Paternal or maternal aunt, uncle, or both; or extended family such as a tribe or clan</t>
  </si>
  <si>
    <t>Wealthy (+20)</t>
  </si>
  <si>
    <t>Small house</t>
  </si>
  <si>
    <t>Your parent abandoned you.</t>
  </si>
  <si>
    <t>Field</t>
  </si>
  <si>
    <t>Paternal or maternal grandparent(s)</t>
  </si>
  <si>
    <t>Aristocratic (+40)</t>
  </si>
  <si>
    <t>Large house</t>
  </si>
  <si>
    <t>Your parent disappeared to an unknown fate.</t>
  </si>
  <si>
    <t>Forest</t>
  </si>
  <si>
    <t>Adoptive family (same or different race)</t>
  </si>
  <si>
    <t>Mansion</t>
  </si>
  <si>
    <t>Single father or stepfather</t>
  </si>
  <si>
    <t>Palace or castle</t>
  </si>
  <si>
    <t>Battlefield</t>
  </si>
  <si>
    <t>Single mother or stepmother</t>
  </si>
  <si>
    <t>Alley or street</t>
  </si>
  <si>
    <t>Mother and father</t>
  </si>
  <si>
    <t>Brothel, tavern, or inn</t>
  </si>
  <si>
    <t>Castle, keep, tower, or palace</t>
  </si>
  <si>
    <t>Sewer or rubbish heap</t>
  </si>
  <si>
    <t>I am still haunted by my childhood, when I was treated badly by my peers.</t>
  </si>
  <si>
    <t>Among people of a different race</t>
  </si>
  <si>
    <t>I spent most of my childhood alone, with no close friends.</t>
  </si>
  <si>
    <t>On board a boat or a ship</t>
  </si>
  <si>
    <t>Others saw me as being different or strange, and so I had few companions.</t>
  </si>
  <si>
    <t>In a prison or in the headquarters of a secret organization</t>
  </si>
  <si>
    <t>I had a few close friends and lived an ordinary childhood.</t>
  </si>
  <si>
    <t>In a sage’s laboratory</t>
  </si>
  <si>
    <t>I had several friends, and my childhood was generally a happy one.</t>
  </si>
  <si>
    <t>In the Feywild</t>
  </si>
  <si>
    <t>I always found it easy to make friends, and I loved being around people.</t>
  </si>
  <si>
    <t>In the Shadowfell</t>
  </si>
  <si>
    <t>Everyone knew who I was, and I had friends everywhere I went.</t>
  </si>
  <si>
    <t>On the Astral Plane or the Ethereal Plane</t>
  </si>
  <si>
    <t>On an Inner Plane of your choice</t>
  </si>
  <si>
    <t>On an Outer Plane of your choice</t>
  </si>
  <si>
    <t>Life Event</t>
  </si>
  <si>
    <t>Secondary Table</t>
  </si>
  <si>
    <t>Adventures</t>
  </si>
  <si>
    <t>Event</t>
  </si>
  <si>
    <t>You suffered a tragedy. Roll on the Tragedies table.</t>
  </si>
  <si>
    <t>Tragedies</t>
  </si>
  <si>
    <t>You nearly died. You have nasty scars on your body, and you are missing an ear, 1d3 fingers, or 1d4 toes.</t>
  </si>
  <si>
    <t>You were ensorcelled by a fey and enslaved for 1d6 years before you escaped.</t>
  </si>
  <si>
    <t>Dead (roll on the Cause of Death table)</t>
  </si>
  <si>
    <t>You gained a bit of good fortune. Roll on the Boons table.</t>
  </si>
  <si>
    <t>Boons</t>
  </si>
  <si>
    <t>You suffered a grievous injury. Although the wound healed, it still pains you from time to time.</t>
  </si>
  <si>
    <t>You saw a demon and ran away before it could do anything to you.</t>
  </si>
  <si>
    <t>Missing or unknown</t>
  </si>
  <si>
    <t>You fell in love or got married. If you get this result more than once, you can choose to have a child instead. Work with your DM to determine the identity of your love interest.</t>
  </si>
  <si>
    <t>You were wounded, but in time you fully recovered.</t>
  </si>
  <si>
    <t>A devil tempted you. Make a DC 10 Wisdom saving throw. On a failed save, your alignment shifts one step toward evil (if it’s not evil already), and you start the game with an additional 1d20 + 50 gp.</t>
  </si>
  <si>
    <t>Alive, but doing poorly due to injury, financial trouble, or relationship difficulties</t>
  </si>
  <si>
    <t>You made an enemy of an adventurer. Roll a d6. An odd number indicates you are to blame for the rift, and an even number indicates you are blameless. Use the supplemental tables and work with your DM to determine this hostile character’s identity and the danger this enemy poses to you.</t>
  </si>
  <si>
    <t>You contracted a disease while exploring a filthy warren. You recovered from the disease, but you have a persistent cough, pockmarks on your skin, or prematurely gray hair.</t>
  </si>
  <si>
    <t>You woke up one morning miles from your home, with no idea how you got there.</t>
  </si>
  <si>
    <t>Alive and well</t>
  </si>
  <si>
    <t>You made a friend of an adventurer. Use the supplemental tables and work with your DM to add more detail to this friendly character and establish how your friendship began.</t>
  </si>
  <si>
    <t>You were poisoned by a trap or a monster. You recovered, but the next time you must make a saving throw against poison, you make the saving throw with disadvantage.</t>
  </si>
  <si>
    <t>You visited a holy site and felt the presence of the divine there.</t>
  </si>
  <si>
    <t>Alive and quite successful</t>
  </si>
  <si>
    <t>You lost something of sentimental value to you during your adventure. Remove one trinket from your possessions.</t>
  </si>
  <si>
    <t>You witnessed a falling red star, a face appearing in the frost, or some other bizarre happening. You are certain that it was an omen of some sort.</t>
  </si>
  <si>
    <t>Alive and infamous</t>
  </si>
  <si>
    <t>You met someone important. Use the supplemental tables to determine this character’s identity and how this individual feels about you. Work out additional details with your DM as needed to fit this character into your backstory.</t>
  </si>
  <si>
    <t>You were terribly frightened by something you encountered and ran away, abandoning your companions to their fate.</t>
  </si>
  <si>
    <t>You escaped certain death and believe it was the intervention of a god that saved you.</t>
  </si>
  <si>
    <t>Alive and famous</t>
  </si>
  <si>
    <t>You went on an adventure. Roll on the Adventures table to see what happened to you. Work with your DM to determine the nature of the adventure and the creatures you encountered.</t>
  </si>
  <si>
    <t>You learned a great deal during your adventure. The next time you make an ability check or a saving throw, you have advantage on the roll.</t>
  </si>
  <si>
    <t>You witnessed a minor miracle.</t>
  </si>
  <si>
    <t>You had a supernatural experience. Roll on the Supernatural Events table to find out what it was.</t>
  </si>
  <si>
    <t>Supernatural Events</t>
  </si>
  <si>
    <t>You found some treasure on your adventure. You have 2d6 gp left from your share of it.</t>
  </si>
  <si>
    <t>You explored an empty house and found it to be haunted.</t>
  </si>
  <si>
    <t>You fought in a battle. Roll on the War table to learn what happened to you. Work with your DM to come up with the reason for the battle and the factions involved. It might have been a small conflict between your community and a band of orcs, or it could have been a major battle in a larger war.</t>
  </si>
  <si>
    <t>War</t>
  </si>
  <si>
    <t>You found a considerable amount of treasure on your adventure. You have 1d20 + 50 gp left from your share of it.</t>
  </si>
  <si>
    <t>You were briefly possessed. Roll a d6 to determine what type of creature possessed you: 1, celestial; 2, devil; 3, demon; 4, fey; 5, elemental; 6, undead.</t>
  </si>
  <si>
    <t>You committed a crime or were wrongly accused of doing so. Roll on the Crime table to determine the nature of the offense and on the Punishment table to see what became of you.</t>
  </si>
  <si>
    <t>Crimes</t>
  </si>
  <si>
    <t>You came across a common magic item (of the DM’s choice).</t>
  </si>
  <si>
    <t>You saw a ghost.</t>
  </si>
  <si>
    <t>You encountered something magical. Roll on the Arcane Matters table.</t>
  </si>
  <si>
    <t>Arcane Matters</t>
  </si>
  <si>
    <t>You saw a ghoul feeding on a corpse.</t>
  </si>
  <si>
    <t>Something truly strange happened to you. Roll on the Weird Stuff table.</t>
  </si>
  <si>
    <t>Weird Stuff</t>
  </si>
  <si>
    <t>Magical Effect</t>
  </si>
  <si>
    <t>A celestial or a fiend visited you in your dreams to give a warning of dangers to come.</t>
  </si>
  <si>
    <t>You were charmed or frightened by a spell.</t>
  </si>
  <si>
    <t>You briefly visited the Feywild or the Shadowfell.</t>
  </si>
  <si>
    <t>You were injured by the effect of a spell.</t>
  </si>
  <si>
    <t>You saw a portal that you believe leads to another plane of existence.</t>
  </si>
  <si>
    <t>You witnessed a powerful spell being cast by a cleric, a druid, a sorcerer, a warlock, or a wizard.</t>
  </si>
  <si>
    <t>You drank a potion (of the DM’s choice).</t>
  </si>
  <si>
    <t>You found a spell scroll (of the DM’s choice) and succeeded in casting the spell it contained.</t>
  </si>
  <si>
    <t>A family member or a close friend died. Roll on the Cause of Death supplemental table to find out how.</t>
  </si>
  <si>
    <t>You were affected by teleportation magic.</t>
  </si>
  <si>
    <t>A friendship ended bitterly, and the other person is now hostile to you. The cause might have been a misunderstanding or something you or the former friend did.</t>
  </si>
  <si>
    <t>You turned invisible for a time.</t>
  </si>
  <si>
    <t>You lost all your possessions in a disaster, and you had to rebuild your life.</t>
  </si>
  <si>
    <t>You identified an illusion for what it was.</t>
  </si>
  <si>
    <t>You were imprisoned for a crime you didn’t commit and spent 1d6 years at hard labor, in jail, or shackled to an oar in a slave galley.</t>
  </si>
  <si>
    <t>You saw a creature being conjured by magic.</t>
  </si>
  <si>
    <t>War ravaged your home community, reducing everything to rubble and ruin. In the aftermath, you either helped your town rebuild or moved somewhere else.</t>
  </si>
  <si>
    <t>Your fortune was read by a diviner. Roll twice on the Life Events table, but don’t apply the results. Instead, the DM picks one event as a portent of your future (which might or might not come true).</t>
  </si>
  <si>
    <t>A lover disappeared without a trace. You have been looking for that person ever since.</t>
  </si>
  <si>
    <t>A terrible blight in your home community caused crops to fail, and many starved. You lost a sibling or some other family member.</t>
  </si>
  <si>
    <t>Boon</t>
  </si>
  <si>
    <t>You did something that brought terrible shame to you in the eyes of your family. You might have been involved in a scandal, dabbled in dark magic, or offended someone important. The attitude of your family members toward you becomes indifferent at best, though they might eventually forgive you.</t>
  </si>
  <si>
    <t>A friendly wizard gave you a spell scroll containing one cantrip (of the DM’s choice).</t>
  </si>
  <si>
    <t>For a reason you were never told, you were exiled from your community. You then either wandered in the wilderness for a time or promptly found a new place to live.</t>
  </si>
  <si>
    <t>You saved the life of a commoner, who now owes you a life debt. This individual accompanies you on your travels and performs mundane tasks for you, but will leave if neglected, abused, or imperiled. Determine details about this character by using the supplemental tables and working with your DM.</t>
  </si>
  <si>
    <t>A romantic relationship ended. Roll a d6. An odd number means it ended with bad feelings, while an even number means it ended amicably.</t>
  </si>
  <si>
    <t>You found a riding horse.</t>
  </si>
  <si>
    <t>A current or prospective romantic partner of yours died. Roll on the Cause of Death supplemental table to find out how. If the result is murder, roll a d12. On a 1, you were responsible, whether directly or indirectly.</t>
  </si>
  <si>
    <t>You found some money. You have 1d20 gp in addition to your regular starting funds.</t>
  </si>
  <si>
    <t>Crime</t>
  </si>
  <si>
    <t>A relative bequeathed you a simple weapon of your choice.</t>
  </si>
  <si>
    <t>Murder</t>
  </si>
  <si>
    <t>Punishments</t>
  </si>
  <si>
    <t>You found something interesting. You gain one additional trinket.</t>
  </si>
  <si>
    <t>Unknown</t>
  </si>
  <si>
    <t>Theft</t>
  </si>
  <si>
    <t>You once performed a service for a local temple. The next time you visit the temple, you can receive healing up to your hit point maximum.</t>
  </si>
  <si>
    <t>Murdered</t>
  </si>
  <si>
    <t>Burglary</t>
  </si>
  <si>
    <t>A friendly alchemist gifted you with a potion of healing or a flask of acid, as you choose.</t>
  </si>
  <si>
    <t>Killed in battle</t>
  </si>
  <si>
    <t>Assault</t>
  </si>
  <si>
    <t>You found a treasure map.</t>
  </si>
  <si>
    <t>Accident related to class or occupation</t>
  </si>
  <si>
    <t>Smuggling</t>
  </si>
  <si>
    <t>A distant relative left you a stipend that enables you to live at the comfortable lifestyle for 1d20 years. If you choose to live at a higher lifestyle, you reduce the price of the lifestyle by 2 gp during that time period.</t>
  </si>
  <si>
    <t>Accident unrelated to class or occupation</t>
  </si>
  <si>
    <t>Kidnapping</t>
  </si>
  <si>
    <t>Natural causes, such as disease or old age</t>
  </si>
  <si>
    <t>Extortion</t>
  </si>
  <si>
    <t>Punishment</t>
  </si>
  <si>
    <t>Apparent suicide</t>
  </si>
  <si>
    <t>Counterfeiting</t>
  </si>
  <si>
    <t>You did not commit the crime and were exonerated after being accused.</t>
  </si>
  <si>
    <t>Torn apart by an animal or a natural disaster</t>
  </si>
  <si>
    <t>You committed the crime or helped do so, but nonetheless the authorities found you not guilty.</t>
  </si>
  <si>
    <t>Consumed by a monster</t>
  </si>
  <si>
    <t>You were nearly caught in the act. You had to flee and are wanted in the community where the crime occurred.</t>
  </si>
  <si>
    <t>Executed for a crime or tortured to death</t>
  </si>
  <si>
    <t>You were caught and convicted. You spent time in jail, chained to an oar, or performing hard labor. You served a sentence of 1d4 years or succeeded in escaping after that much time.</t>
  </si>
  <si>
    <t>Bizarre event, such as being hit by a meteorite, struck down by an angry god, or killed by a hatching slaad egg</t>
  </si>
  <si>
    <t>ImageURL</t>
  </si>
  <si>
    <t>BaseStatBlock</t>
  </si>
  <si>
    <t>OrcNameMale</t>
  </si>
  <si>
    <t>OrcNameFemale</t>
  </si>
  <si>
    <t>Orc Last Name</t>
  </si>
  <si>
    <t>OrcPersonalityTrait</t>
  </si>
  <si>
    <t>OrcIdeal</t>
  </si>
  <si>
    <t>OrcBond</t>
  </si>
  <si>
    <t>OrcFlaw</t>
  </si>
  <si>
    <t>OrcBaseStatBlock</t>
  </si>
  <si>
    <t>OrcImageURL</t>
  </si>
  <si>
    <t>Grutok</t>
  </si>
  <si>
    <t>Kansif</t>
  </si>
  <si>
    <t>The Filthy</t>
  </si>
  <si>
    <t>I never relinquish my weapon.</t>
  </si>
  <si>
    <t>Strength. Showing superior strength brings honor to Gruumsh. (Any)</t>
  </si>
  <si>
    <t>l will defend my tribe to the death.</t>
  </si>
  <si>
    <t>I have a calm temperament and let insults roll off my back.</t>
  </si>
  <si>
    <t>Orc</t>
  </si>
  <si>
    <t>https://i.pinimg.com/564x/78/de/67/78de67c287903151bd7788a03c477442.jpg</t>
  </si>
  <si>
    <t>Lortar</t>
  </si>
  <si>
    <t>Ownka</t>
  </si>
  <si>
    <t>Skull Cleaver</t>
  </si>
  <si>
    <t>I welcome any chance to prove my battle skills.</t>
  </si>
  <si>
    <t>Prowess. Killing all your enemies is the path to great- ness. (Evil)</t>
  </si>
  <si>
    <t>Every serious choice I make must be decided by signs or omens from the gods.</t>
  </si>
  <si>
    <t>I don't fear the gods and have no patience for superstitions.</t>
  </si>
  <si>
    <t>Orc Blade of Ilneval</t>
  </si>
  <si>
    <t>https://i.pinimg.com/564x/ee/12/47/ee1247fecb6daf6d79bea7bc6d319af6.jpg</t>
  </si>
  <si>
    <t>Abzug</t>
  </si>
  <si>
    <t>Emen</t>
  </si>
  <si>
    <t>Eye Gouger</t>
  </si>
  <si>
    <t>I always appear like I am about to kill everyone around me.</t>
  </si>
  <si>
    <t>Dominance. I wilt have achieved glory when all cower before my might. (Evil)</t>
  </si>
  <si>
    <t>I carry the teeth of a great warrior. They inspire me to commit great deeds in battle.</t>
  </si>
  <si>
    <t>I am slow to anger, but when I do become enraged I fight until my enemies are dead, no matter the cost.</t>
  </si>
  <si>
    <t>Orc Claw of Luthic</t>
  </si>
  <si>
    <t>https://i.pinimg.com/564x/1a/d9/36/1ad936916b7eb1ce784c7641d73c139a.jpg</t>
  </si>
  <si>
    <t>Shugog</t>
  </si>
  <si>
    <t>Sutha</t>
  </si>
  <si>
    <t>Iron Tusk</t>
  </si>
  <si>
    <t>I love a good brawl.</t>
  </si>
  <si>
    <t>Intimidation. I can get what I want from weaklings that fear me. (Evil)</t>
  </si>
  <si>
    <t>To avenge Gruumsh, I will kill every elf I see.</t>
  </si>
  <si>
    <t>I understand the value of civilization and the order that society brings.</t>
  </si>
  <si>
    <t>Orc Hand of Yurtrus</t>
  </si>
  <si>
    <t>https://i.pinimg.com/564x/6a/93/42/6a9342ddd4990c23e55105aaf525a1f5.jpg</t>
  </si>
  <si>
    <t>Urzul</t>
  </si>
  <si>
    <t>Myev</t>
  </si>
  <si>
    <t>Skin Flayer</t>
  </si>
  <si>
    <t>l drink the blood of monsters to consume their power.</t>
  </si>
  <si>
    <t>Glory. The goals of the tribe don't concern me. Personal glory is what I crave. (Chaotic)</t>
  </si>
  <si>
    <t>I will seek and destroy those who murdered my tribe.</t>
  </si>
  <si>
    <t>I don't trust anyone.</t>
  </si>
  <si>
    <t>Orc Nurtured One of Yurtrus</t>
  </si>
  <si>
    <t>https://i.pinimg.com/564x/a1/ef/87/a1ef87eb0369638aa681b226b0abb784.jpg</t>
  </si>
  <si>
    <t>Ruhk</t>
  </si>
  <si>
    <t>Neega</t>
  </si>
  <si>
    <t>Bone Crusher</t>
  </si>
  <si>
    <t>I chant war dirges during combat.</t>
  </si>
  <si>
    <t>Savagery. I will not be controlled. (Chaotic)</t>
  </si>
  <si>
    <t>I owe my survival to a non-ore.</t>
  </si>
  <si>
    <t>I believe in living to fight another day.</t>
  </si>
  <si>
    <t>Orc Red Fang of Shargaas</t>
  </si>
  <si>
    <t>https://i.pinimg.com/564x/02/58/16/025816cce15ea9c7026ec346e7fa4b27.jpg</t>
  </si>
  <si>
    <t>Mobad</t>
  </si>
  <si>
    <t>Baggi</t>
  </si>
  <si>
    <t>Flesh Ripper</t>
  </si>
  <si>
    <t>Orc War Chief</t>
  </si>
  <si>
    <t>https://i.pinimg.com/564x/a8/d4/a3/a8d4a302df57346ea1a4307ed6db6e6b.jpg</t>
  </si>
  <si>
    <t>Shamog</t>
  </si>
  <si>
    <t>Shautha</t>
  </si>
  <si>
    <t>Doom Hammer</t>
  </si>
  <si>
    <t>Orc Eye of Gruumsh</t>
  </si>
  <si>
    <t>https://i.pinimg.com/564x/ad/99/ab/ad99ab754959ca55c9b3205ecca13c7e.jpg</t>
  </si>
  <si>
    <t>Bajok</t>
  </si>
  <si>
    <t>Ovak</t>
  </si>
  <si>
    <t>Elf Butcher</t>
  </si>
  <si>
    <t>Orc Orog</t>
  </si>
  <si>
    <t>https://i.pinimg.com/564x/18/db/b2/18dbb2745366b925e4115aced58802e3.jpg</t>
  </si>
  <si>
    <t>Rhorog</t>
  </si>
  <si>
    <t>Vola</t>
  </si>
  <si>
    <t>Spine Snapper</t>
  </si>
  <si>
    <t>https://i.pinimg.com/564x/13/ab/bb/13abbbdb7d6c1bb8315accf5229b32e2.jpg</t>
  </si>
  <si>
    <t>Jahrukk</t>
  </si>
  <si>
    <t>Engong</t>
  </si>
  <si>
    <t>Death Spear</t>
  </si>
  <si>
    <t>https://i.pinimg.com/564x/15/c9/b0/15c9b008a9b800ef6432f14f771fc216.jpg</t>
  </si>
  <si>
    <t>Mugrub</t>
  </si>
  <si>
    <t>Volen</t>
  </si>
  <si>
    <t>The Brutal</t>
  </si>
  <si>
    <t>https://i.pinimg.com/564x/de/bd/7b/debd7b31eda4879b3d3cb60b2d5f0a68.jpg</t>
  </si>
  <si>
    <t>https://i.pinimg.com/564x/b0/1e/84/b01e8480e6e62a87e50b7afe3bbc6c11.jpg</t>
  </si>
  <si>
    <t>https://i.pinimg.com/564x/4b/c7/9b/4bc79b3bf5419fef2569986e7c4b9234.jpg</t>
  </si>
  <si>
    <t>Demon Personality Trait</t>
  </si>
  <si>
    <t>Demon Ideal</t>
  </si>
  <si>
    <t>Demon Bond</t>
  </si>
  <si>
    <t>Demon Flaw</t>
  </si>
  <si>
    <t xml:space="preserve">Demon Quirk </t>
  </si>
  <si>
    <t>I enjoy telling lies.</t>
  </si>
  <si>
    <t>Self-Preservation. It's everything and everyone for themselves in this cruel world.</t>
  </si>
  <si>
    <t xml:space="preserve">I am a perfect product of creation, destined to one day shape the cosmos to my whims. Everything I do verifies my destiny. </t>
  </si>
  <si>
    <t>I act based on instinct, rarely with a plan.</t>
  </si>
  <si>
    <t xml:space="preserve">Belches Flies. Once per day, the demon can use an action to belch enough flies to create an effect as though it cast fog cloud. </t>
  </si>
  <si>
    <t>Threats are my only language.</t>
  </si>
  <si>
    <t xml:space="preserve">Might. The world is divided into the strong who rule and the weak who obey or die. </t>
  </si>
  <si>
    <t>I am cowed by threats, and even preposterous ones make me pause.</t>
  </si>
  <si>
    <t xml:space="preserve">Tiny Wings. The demon gains a flying speed of 10 feet. If it could already fly, its flying speed becomes 10 feet. </t>
  </si>
  <si>
    <t>I fawn over others to make my betrayal more unexpected.</t>
  </si>
  <si>
    <t>Cunning. Always have a backup plan ready, especially if it involves betraying someone.</t>
  </si>
  <si>
    <t>Deep down, I know I am doomed to anonymity.</t>
  </si>
  <si>
    <t xml:space="preserve">Ever-Open Extra Eye. The demon gains advantage on Perception checks related to sight. </t>
  </si>
  <si>
    <t>I crush those I can defeat, and lie in wait to weaken and overwhelm those I must respect.</t>
  </si>
  <si>
    <t xml:space="preserve">Strength. Strength is the one coin accepted in all realms and by all folk. </t>
  </si>
  <si>
    <t>My natural inclination is to grovel and beg for the fa- vor ofthose stronger than me.</t>
  </si>
  <si>
    <t xml:space="preserve">Bleeds Wasps. The first time in each combat the de- mon is reduced to half its hit points or less, a swarm ofinsects (wasps) forms around it. The swarm con- siders creatures other than the demon to be enemies. </t>
  </si>
  <si>
    <t>I will do anything to survive. Anything.</t>
  </si>
  <si>
    <t>Ambition. We reach the station in the cosmos that we deserve due to our drive and talents.</t>
  </si>
  <si>
    <t>I rage, but I use anger to distract from my fear ofcon- frontation.</t>
  </si>
  <si>
    <t xml:space="preserve">Extra Arm. The demon gains advantage on Sleight of Hand checks. </t>
  </si>
  <si>
    <t xml:space="preserve">Someday all will worship me. Until then, I track their insults with obsessive attention. </t>
  </si>
  <si>
    <t xml:space="preserve">Cruelty. Strength without regular demonstrations of its potential is an empty weapon. </t>
  </si>
  <si>
    <t xml:space="preserve">I become entangled and betrayed by my own machinations. </t>
  </si>
  <si>
    <t xml:space="preserve">Enormous Ears. The demon gains advantage on Per- ception checks to hear sounds. </t>
  </si>
  <si>
    <t xml:space="preserve">Silver Bones. The demon's natural weapons are con- sidered silvered. </t>
  </si>
  <si>
    <t xml:space="preserve">Snake Hair. Creatures that grapple the demon or are grappled by it are poisoned until the grapple ends. </t>
  </si>
  <si>
    <t xml:space="preserve">Endlessly Mumbling Second Mouth. The demon suf- fers disadvantage on Stealth checks against creatures that can hear. </t>
  </si>
  <si>
    <t xml:space="preserve">Huge Feet. The demon suffers disadvantage on Stealth, Athletics, and Acrobatics checks when they involve moving its feet. </t>
  </si>
  <si>
    <t xml:space="preserve">Translucent Skin. The demon's skin is s limy and translucent. It has advantage on attempts to escape a grapple. </t>
  </si>
  <si>
    <t xml:space="preserve">Oily Boils. Each time the demon takes bludgeoning, piercing, or slashing damage, the area within 5 feet of it becomes difficult terrain until the end of the de- mon's next turn. </t>
  </si>
  <si>
    <t xml:space="preserve">Thick Lead Skull. The demon can't use telepathy or be contacted by telepathy. It can't be charmed, fright- ened, or stunned. </t>
  </si>
  <si>
    <t>Worm Tongue. The demon can't speak any language.</t>
  </si>
  <si>
    <t xml:space="preserve">Head Hands. The demon has heads where its hands should be and uses the heads' mouths to manipulate objects. Ifthe demon had claw attacks, they become bite attacks that deal piercing damage. </t>
  </si>
  <si>
    <t xml:space="preserve">Blimp Body. The demon can float at will as if under the effect ofthe levitate spell (no concentration re- quired). While it has halfits hit points or less, it loses this ability. </t>
  </si>
  <si>
    <t xml:space="preserve">Immaterial. The demon has resistance to all damage except psychic damage, and all damage it deals is halved. </t>
  </si>
  <si>
    <t xml:space="preserve">Long Arms. The demon's reach is S feet longer than normal. </t>
  </si>
  <si>
    <t xml:space="preserve">Eyeless. The demon is blind. It has blindsight with a radius of 60 feet. </t>
  </si>
  <si>
    <t xml:space="preserve">Vestigial Demon. A miniature vestigial twin ofthe demon grows from its body. The demon can't be blinded, deafened, or stunned. </t>
  </si>
  <si>
    <t>Cult Goal</t>
  </si>
  <si>
    <t>Cult Resource</t>
  </si>
  <si>
    <t>Cult Organization</t>
  </si>
  <si>
    <t>Cult Hardship</t>
  </si>
  <si>
    <t>Cult Leader</t>
  </si>
  <si>
    <t>Cult Size</t>
  </si>
  <si>
    <t>Min Followers</t>
  </si>
  <si>
    <t>Max Followers</t>
  </si>
  <si>
    <t>Cult Fanaticism</t>
  </si>
  <si>
    <t>Cult Name</t>
  </si>
  <si>
    <t>Political power, control over the local area</t>
  </si>
  <si>
    <t>The cult uses a respectable guild, business, or institution as a front.</t>
  </si>
  <si>
    <t>Conspiracy. Members use passwords and double-blind communication.</t>
  </si>
  <si>
    <t>The cult is wracked with infighting.</t>
  </si>
  <si>
    <t>Low</t>
  </si>
  <si>
    <t>Xiclisha</t>
  </si>
  <si>
    <t>The death of a hated enemy or rival</t>
  </si>
  <si>
    <t>The cult thrives through the support of generations of a powerful noble family.</t>
  </si>
  <si>
    <t>False Front. The cult puts on an elaborate deception to appear as a harmless civic group.</t>
  </si>
  <si>
    <t>A rival cult strives to destroy this group and replace it. The cult struggles to rein in its dark, violent impulses in order to remain undetected.</t>
  </si>
  <si>
    <t>Beholder</t>
  </si>
  <si>
    <t>Medium</t>
  </si>
  <si>
    <t>Ulabizor</t>
  </si>
  <si>
    <t>Control of a guild or similar institution</t>
  </si>
  <si>
    <t xml:space="preserve">The cult controls the local officers ofthe law. </t>
  </si>
  <si>
    <t>Criminal Enterprise. The cult is organized through a thieves' guild.</t>
  </si>
  <si>
    <t>Murder and betrayal leads to a constant turnover in cult leadership.</t>
  </si>
  <si>
    <t>Lich</t>
  </si>
  <si>
    <t>High</t>
  </si>
  <si>
    <t>Daprethos</t>
  </si>
  <si>
    <t>Recovery of an artifact or magic item that could prove useful in the Blood War</t>
  </si>
  <si>
    <t xml:space="preserve">The cult has access to a cache of powerful magic. </t>
  </si>
  <si>
    <t>Network. The cult has a secret alliance of members who have infiltrated the lower ranks of every organiza- tion of note in the region.</t>
  </si>
  <si>
    <t>The cult leader is a figurehead. The real power is a crime lord behind the scenes.</t>
  </si>
  <si>
    <t>Demon</t>
  </si>
  <si>
    <t>Very High</t>
  </si>
  <si>
    <t>Cult of the Two Gods</t>
  </si>
  <si>
    <t>Revenge for an insult, wrong, or past defeat</t>
  </si>
  <si>
    <t>The cult can open a direct portal to the Outer Planes, allowing fiends to intercede on their behalf.</t>
  </si>
  <si>
    <t>Cult of Personality. The cult leader is a beloved figure renowned for great, benevolent deeds.</t>
  </si>
  <si>
    <t xml:space="preserve">The cult is a disposable pawn manipulated by its master. </t>
  </si>
  <si>
    <t>Drow</t>
  </si>
  <si>
    <t>Order of World Balance</t>
  </si>
  <si>
    <t xml:space="preserve">Personal power and comfort for its leaders; the rank and file are disposable </t>
  </si>
  <si>
    <t>The cult's leader is a renegade fiend seeking to evade its enemies.</t>
  </si>
  <si>
    <t xml:space="preserve">Entrenched. The cult is part of the local culture, a tra- dition that established decades ago and kept secret from outsiders. </t>
  </si>
  <si>
    <t>Githyanki</t>
  </si>
  <si>
    <t>Healers of Dawn</t>
  </si>
  <si>
    <t>Fiend</t>
  </si>
  <si>
    <t>Oracles of the End</t>
  </si>
  <si>
    <t>Faith of Pekuto</t>
  </si>
  <si>
    <t>Creed of Vijado</t>
  </si>
  <si>
    <t>Cult of Leurity</t>
  </si>
  <si>
    <t>Kriicism</t>
  </si>
  <si>
    <t>Matrisha</t>
  </si>
  <si>
    <t>Strysesni</t>
  </si>
  <si>
    <t>Church of the Ancestors</t>
  </si>
  <si>
    <t>Sect of the Six Gods</t>
  </si>
  <si>
    <t>Paragons of the Two Divines</t>
  </si>
  <si>
    <t>Cult of the Chosen</t>
  </si>
  <si>
    <t>Sect of Alucism</t>
  </si>
  <si>
    <t>Cult of Aufiqir</t>
  </si>
  <si>
    <t>Angels of Bretelly</t>
  </si>
  <si>
    <t>Xukrothy</t>
  </si>
  <si>
    <t>Vrucanis</t>
  </si>
  <si>
    <t>Uinonity</t>
  </si>
  <si>
    <t>Faith of the Obscure</t>
  </si>
  <si>
    <t>Cult of the Serpent</t>
  </si>
  <si>
    <t>Children of Ancestral Spirits</t>
  </si>
  <si>
    <t>Faith of Nature</t>
  </si>
  <si>
    <t>Followers of Vaciqir</t>
  </si>
  <si>
    <t>Church of Fapizor</t>
  </si>
  <si>
    <t>Sect of Feslung</t>
  </si>
  <si>
    <t>Alimodo</t>
  </si>
  <si>
    <t>Iiwagar</t>
  </si>
  <si>
    <t>Blobephy</t>
  </si>
  <si>
    <t>Paragons of the Spirits</t>
  </si>
  <si>
    <t>Band of Unity</t>
  </si>
  <si>
    <t>Sect of the Virgin</t>
  </si>
  <si>
    <t>Children of Revelations</t>
  </si>
  <si>
    <t>Children of Kuns</t>
  </si>
  <si>
    <t>Sect of Dlirazor</t>
  </si>
  <si>
    <t>Faith of Lekosy</t>
  </si>
  <si>
    <t>Deity</t>
  </si>
  <si>
    <t>Suggested Domains</t>
  </si>
  <si>
    <t>Symbol</t>
  </si>
  <si>
    <t>Auril, goddess of winter</t>
  </si>
  <si>
    <t>NE</t>
  </si>
  <si>
    <t>Nature, Tempest</t>
  </si>
  <si>
    <t>Six-pointed snowflake</t>
  </si>
  <si>
    <t>Azuth, god of wizards</t>
  </si>
  <si>
    <t>LN</t>
  </si>
  <si>
    <t>Knowledge</t>
  </si>
  <si>
    <t>Left hand pointing upward, outlined in fire</t>
  </si>
  <si>
    <t>Bane, god of tyranny</t>
  </si>
  <si>
    <t>LE</t>
  </si>
  <si>
    <t>Upright black right hand, thumb and fingers together</t>
  </si>
  <si>
    <t>Beshaba, goddess of misfortune</t>
  </si>
  <si>
    <t>CE</t>
  </si>
  <si>
    <t>Trickery</t>
  </si>
  <si>
    <t>Black antlers</t>
  </si>
  <si>
    <t>Bhaal, god of murder</t>
  </si>
  <si>
    <t>Death</t>
  </si>
  <si>
    <t>Skull surrounded by a ring of blood droplets</t>
  </si>
  <si>
    <t>Chauntea, goddess of agriculture</t>
  </si>
  <si>
    <t>NG</t>
  </si>
  <si>
    <t>Life</t>
  </si>
  <si>
    <t>Sheaf of grain or a blooming rose over grain</t>
  </si>
  <si>
    <t>Cyric, god of lies</t>
  </si>
  <si>
    <t>White jawless skull on black or purple sunburst</t>
  </si>
  <si>
    <t>Deneir, god of writing</t>
  </si>
  <si>
    <t>Lit candle above an open eye</t>
  </si>
  <si>
    <t>Eldath, goddess of peace</t>
  </si>
  <si>
    <t>Life, Nature</t>
  </si>
  <si>
    <t>Waterfall plunging into still pool</t>
  </si>
  <si>
    <t>Gond, god of craft</t>
  </si>
  <si>
    <t>N</t>
  </si>
  <si>
    <t>Toothed cog with four spokes</t>
  </si>
  <si>
    <t>Helm, god of protection</t>
  </si>
  <si>
    <t>Life, Light</t>
  </si>
  <si>
    <t>Staring eye on upright left gauntlet</t>
  </si>
  <si>
    <t>Ilmater, god of endurance</t>
  </si>
  <si>
    <t>LG</t>
  </si>
  <si>
    <t>Hands bound at the wrist with red cord</t>
  </si>
  <si>
    <t>Kelemvor, god of the dead</t>
  </si>
  <si>
    <t>Upright skeletal arm holding balanced scales</t>
  </si>
  <si>
    <t>Lathander, god of birth and renewal</t>
  </si>
  <si>
    <t>Road traveling into a sunrise</t>
  </si>
  <si>
    <t>Leira, goddess of illusion</t>
  </si>
  <si>
    <t>CN</t>
  </si>
  <si>
    <t>Point-down triangle containing a swirl of mist</t>
  </si>
  <si>
    <t>Lliira, goddess of joy</t>
  </si>
  <si>
    <t>CG</t>
  </si>
  <si>
    <t>Triangle of three six-pointed stars</t>
  </si>
  <si>
    <t>Loviatar, goddess of pain</t>
  </si>
  <si>
    <t>Nine-tailed barbed scourge</t>
  </si>
  <si>
    <t>Malar, god of the hunt</t>
  </si>
  <si>
    <t>Nature</t>
  </si>
  <si>
    <t>Clawed paw</t>
  </si>
  <si>
    <t>Mask, god of thieves</t>
  </si>
  <si>
    <t>Black mask</t>
  </si>
  <si>
    <t>Mielikki, goddess of forests</t>
  </si>
  <si>
    <t>Unicorn’s head</t>
  </si>
  <si>
    <t>Milil, god of poetry and song</t>
  </si>
  <si>
    <t>Light</t>
  </si>
  <si>
    <t>Five-stringed harp made of leaves</t>
  </si>
  <si>
    <t>Myrkul, god of death</t>
  </si>
  <si>
    <t>White human skull</t>
  </si>
  <si>
    <t>Mystra, goddess of magic</t>
  </si>
  <si>
    <t>Circle of seven stars, or nine stars encircling a flowing red mist, or a single star</t>
  </si>
  <si>
    <t>Oghma, god of knowledge</t>
  </si>
  <si>
    <t>Blank scroll</t>
  </si>
  <si>
    <t>Savras, god of divination and fate</t>
  </si>
  <si>
    <t>Crystal ball containing many kinds of eyes</t>
  </si>
  <si>
    <t>Selûne, goddess of the moon</t>
  </si>
  <si>
    <t>Knowledge, Life</t>
  </si>
  <si>
    <t>Pair of eyes surrounded by seven stars</t>
  </si>
  <si>
    <t>Shar, goddess of darkness and loss</t>
  </si>
  <si>
    <t>Death, Trickery</t>
  </si>
  <si>
    <t>Black disk encircled with a border</t>
  </si>
  <si>
    <t>Silvanus, god of wild nature</t>
  </si>
  <si>
    <t>Oak leaf</t>
  </si>
  <si>
    <t>Sune, goddess of love and beauty</t>
  </si>
  <si>
    <t>Face of a beautiful red-haired woman</t>
  </si>
  <si>
    <t>Talona, goddess of disease and poison</t>
  </si>
  <si>
    <t>Three teardrops on a triangle</t>
  </si>
  <si>
    <t>Talos, god of storms</t>
  </si>
  <si>
    <t>Tempest</t>
  </si>
  <si>
    <t>Three lightning bolts radiating from a central point</t>
  </si>
  <si>
    <t>Tempus, god of war</t>
  </si>
  <si>
    <t>Upright flaming sword</t>
  </si>
  <si>
    <t>Torm, god of courage and self-sacrifice</t>
  </si>
  <si>
    <t>White right gauntlet</t>
  </si>
  <si>
    <t>Tymora, goddess of good fortune</t>
  </si>
  <si>
    <t>Face-up coin</t>
  </si>
  <si>
    <t>Tyr, god of justice</t>
  </si>
  <si>
    <t>Balanced scales resting on a warhammer</t>
  </si>
  <si>
    <t>Umberlee, goddess of the sea</t>
  </si>
  <si>
    <t>Wave curling left and right</t>
  </si>
  <si>
    <t>Waukeen, goddess of trade</t>
  </si>
  <si>
    <t>Knowledge, Trickery</t>
  </si>
  <si>
    <t>Upright coin with Waukeen’s profile facing left</t>
  </si>
  <si>
    <t>https://github.com/xjdeng/pinterest-image-scraper</t>
  </si>
  <si>
    <t>https://developers.pinterest.com/docs/api/boards/?</t>
  </si>
  <si>
    <t>Nervous eye twitch</t>
  </si>
  <si>
    <t>You spent time working in a job related to your background. Start the game with an extra 5 gp.</t>
  </si>
  <si>
    <t>5 followers</t>
  </si>
  <si>
    <t>17 followers</t>
  </si>
  <si>
    <t>111 followers</t>
  </si>
  <si>
    <t>682 followers</t>
  </si>
  <si>
    <t>941 followers</t>
  </si>
  <si>
    <t>672 followers</t>
  </si>
  <si>
    <t>Normal IndexMatch outperforms Normal vLookup</t>
  </si>
  <si>
    <t>.01 and .99 result in errors</t>
  </si>
  <si>
    <t>Score values lean toward high side when Dist Formula is sorted decending</t>
  </si>
  <si>
    <t>=IF(NOT(ISNUMBER(OFFSET([@Score],-1,0))),1,SUM(OFFSET([@Score],-1,0),-1/ROWS([Score])))</t>
  </si>
  <si>
    <t>=1-NORM.DIST(ROW()-ROW([#Headers]),ROWS([Score])/2,(ROWS([Score])/6),TRUE)</t>
  </si>
  <si>
    <t>|:-----:|:--------|</t>
  </si>
  <si>
    <t>Table Max</t>
  </si>
  <si>
    <t>Table Min</t>
  </si>
  <si>
    <t>Chaotic evil</t>
  </si>
  <si>
    <t>Chaotic good</t>
  </si>
  <si>
    <t>Lawful good</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</si>
</sst>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0.0%"/>
    <numFmt numFmtId="165" formatCode="0.0000"/>
    <numFmt numFmtId="166" formatCode="0.0"/>
    <numFmt numFmtId="167" formatCode="0.000000"/>
    <numFmt numFmtId="168" formatCode="_(* #,##0.0_);_(* \(#,##0.0\);_(* &quot;-&quot;??_);_(@_)"/>
  </numFmts>
  <fonts count="10" x14ac:knownFonts="1">
    <font>
      <sz val="9"/>
      <color theme="1"/>
      <name val="Arial"/>
      <family val="2"/>
    </font>
    <font>
      <sz val="11"/>
      <color theme="1"/>
      <name val="Calibri"/>
      <family val="2"/>
      <scheme val="minor"/>
    </font>
    <font>
      <sz val="11"/>
      <color theme="1"/>
      <name val="Calibri"/>
      <family val="2"/>
      <scheme val="minor"/>
    </font>
    <font>
      <sz val="9"/>
      <color theme="1"/>
      <name val="Arial"/>
      <family val="2"/>
    </font>
    <font>
      <sz val="11"/>
      <color theme="1"/>
      <name val="Calibri"/>
      <family val="2"/>
      <scheme val="minor"/>
    </font>
    <font>
      <sz val="11"/>
      <color rgb="FF000000"/>
      <name val="Calibri"/>
      <family val="2"/>
      <scheme val="minor"/>
    </font>
    <font>
      <b/>
      <sz val="11"/>
      <color theme="1"/>
      <name val="Calibri"/>
      <family val="2"/>
      <scheme val="minor"/>
    </font>
    <font>
      <b/>
      <sz val="11"/>
      <name val="Calibri"/>
      <family val="2"/>
      <scheme val="minor"/>
    </font>
    <font>
      <sz val="11"/>
      <color rgb="FF000000"/>
      <name val="Calibri"/>
      <family val="2"/>
    </font>
    <font>
      <sz val="8"/>
      <name val="Arial"/>
      <family val="2"/>
    </font>
  </fonts>
  <fills count="2">
    <fill>
      <patternFill patternType="none"/>
    </fill>
    <fill>
      <patternFill patternType="gray125"/>
    </fill>
  </fills>
  <borders count="1">
    <border>
      <left/>
      <right/>
      <top/>
      <bottom/>
      <diagonal/>
    </border>
  </borders>
  <cellStyleXfs count="6">
    <xf numFmtId="0" fontId="0" fillId="0" borderId="0"/>
    <xf numFmtId="43" fontId="3" fillId="0" borderId="0" applyFont="0" applyFill="0" applyBorder="0" applyAlignment="0" applyProtection="0"/>
    <xf numFmtId="9" fontId="3" fillId="0" borderId="0" applyFont="0" applyFill="0" applyBorder="0" applyAlignment="0" applyProtection="0"/>
    <xf numFmtId="0" fontId="4" fillId="0" borderId="0"/>
    <xf numFmtId="9" fontId="4" fillId="0" borderId="0" applyFont="0" applyFill="0" applyBorder="0" applyAlignment="0" applyProtection="0"/>
    <xf numFmtId="43" fontId="4" fillId="0" borderId="0" applyFont="0" applyFill="0" applyBorder="0" applyAlignment="0" applyProtection="0"/>
  </cellStyleXfs>
  <cellXfs count="42">
    <xf numFmtId="0" fontId="0" fillId="0" borderId="0" xfId="0"/>
    <xf numFmtId="0" fontId="4" fillId="0" borderId="0" xfId="0" applyFont="1" applyAlignment="1">
      <alignment horizontal="left" vertical="top"/>
    </xf>
    <xf numFmtId="0" fontId="4" fillId="0" borderId="0" xfId="0" applyFont="1"/>
    <xf numFmtId="9" fontId="4" fillId="0" borderId="0" xfId="2" applyFont="1" applyAlignment="1">
      <alignment horizontal="left" vertical="top"/>
    </xf>
    <xf numFmtId="0" fontId="4" fillId="0" borderId="0" xfId="0" quotePrefix="1" applyFont="1" applyAlignment="1">
      <alignment horizontal="left" vertical="top"/>
    </xf>
    <xf numFmtId="0" fontId="4" fillId="0" borderId="0" xfId="0" applyFont="1" applyAlignment="1">
      <alignment horizontal="center"/>
    </xf>
    <xf numFmtId="43" fontId="4" fillId="0" borderId="0" xfId="1" applyFont="1"/>
    <xf numFmtId="164" fontId="4" fillId="0" borderId="0" xfId="2" applyNumberFormat="1" applyFont="1"/>
    <xf numFmtId="0" fontId="4" fillId="0" borderId="0" xfId="0" applyFont="1" applyAlignment="1">
      <alignment wrapText="1"/>
    </xf>
    <xf numFmtId="165" fontId="4" fillId="0" borderId="0" xfId="0" quotePrefix="1" applyNumberFormat="1" applyFont="1" applyAlignment="1">
      <alignment horizontal="left" vertical="top"/>
    </xf>
    <xf numFmtId="166" fontId="4" fillId="0" borderId="0" xfId="2" applyNumberFormat="1" applyFont="1"/>
    <xf numFmtId="0" fontId="4" fillId="0" borderId="0" xfId="0" applyNumberFormat="1" applyFont="1" applyAlignment="1">
      <alignment horizontal="left" vertical="top"/>
    </xf>
    <xf numFmtId="2" fontId="4" fillId="0" borderId="0" xfId="0" applyNumberFormat="1" applyFont="1"/>
    <xf numFmtId="1" fontId="4" fillId="0" borderId="0" xfId="0" applyNumberFormat="1" applyFont="1"/>
    <xf numFmtId="0" fontId="6" fillId="0" borderId="0" xfId="0" applyFont="1"/>
    <xf numFmtId="0" fontId="4" fillId="0" borderId="0" xfId="3" applyFont="1" applyAlignment="1">
      <alignment horizontal="left" vertical="top"/>
    </xf>
    <xf numFmtId="1" fontId="4" fillId="0" borderId="0" xfId="3" applyNumberFormat="1" applyFont="1" applyAlignment="1">
      <alignment horizontal="left" vertical="top"/>
    </xf>
    <xf numFmtId="0" fontId="5" fillId="0" borderId="0" xfId="3" applyFont="1" applyAlignment="1">
      <alignment horizontal="left" vertical="top"/>
    </xf>
    <xf numFmtId="0" fontId="6" fillId="0" borderId="0" xfId="0" applyFont="1" applyAlignment="1">
      <alignment horizontal="left" vertical="top"/>
    </xf>
    <xf numFmtId="0" fontId="7" fillId="0" borderId="0" xfId="0" applyFont="1" applyAlignment="1">
      <alignment horizontal="left" vertical="top"/>
    </xf>
    <xf numFmtId="0" fontId="4" fillId="0" borderId="0" xfId="0" applyFont="1" applyAlignment="1"/>
    <xf numFmtId="0" fontId="4" fillId="0" borderId="0" xfId="3" applyFont="1"/>
    <xf numFmtId="166" fontId="4" fillId="0" borderId="0" xfId="3" applyNumberFormat="1" applyFont="1" applyAlignment="1">
      <alignment horizontal="left" vertical="top"/>
    </xf>
    <xf numFmtId="0" fontId="4" fillId="0" borderId="0" xfId="0" applyFont="1" applyAlignment="1">
      <alignment horizontal="left" vertical="top" wrapText="1"/>
    </xf>
    <xf numFmtId="167" fontId="4" fillId="0" borderId="0" xfId="0" applyNumberFormat="1" applyFont="1"/>
    <xf numFmtId="9" fontId="4" fillId="0" borderId="0" xfId="4" applyFont="1" applyAlignment="1">
      <alignment horizontal="left" vertical="top"/>
    </xf>
    <xf numFmtId="9" fontId="4" fillId="0" borderId="0" xfId="4" applyNumberFormat="1" applyFont="1" applyAlignment="1">
      <alignment horizontal="left" vertical="top"/>
    </xf>
    <xf numFmtId="168" fontId="4" fillId="0" borderId="0" xfId="5" applyNumberFormat="1" applyFont="1" applyAlignment="1">
      <alignment horizontal="left" vertical="top"/>
    </xf>
    <xf numFmtId="1" fontId="4" fillId="0" borderId="0" xfId="0" applyNumberFormat="1" applyFont="1" applyAlignment="1">
      <alignment horizontal="left" vertical="top"/>
    </xf>
    <xf numFmtId="166" fontId="4" fillId="0" borderId="0" xfId="2" applyNumberFormat="1" applyFont="1" applyAlignment="1">
      <alignment horizontal="left" vertical="top"/>
    </xf>
    <xf numFmtId="9" fontId="4" fillId="0" borderId="0" xfId="0" applyNumberFormat="1" applyFont="1" applyAlignment="1">
      <alignment horizontal="left" vertical="top"/>
    </xf>
    <xf numFmtId="166" fontId="4" fillId="0" borderId="0" xfId="0" applyNumberFormat="1" applyFont="1" applyAlignment="1">
      <alignment horizontal="left" vertical="top"/>
    </xf>
    <xf numFmtId="9" fontId="4" fillId="0" borderId="0" xfId="2" quotePrefix="1" applyFont="1" applyAlignment="1">
      <alignment horizontal="left" vertical="top"/>
    </xf>
    <xf numFmtId="0" fontId="2" fillId="0" borderId="0" xfId="0" quotePrefix="1" applyFont="1" applyAlignment="1">
      <alignment horizontal="left" vertical="top"/>
    </xf>
    <xf numFmtId="9" fontId="2" fillId="0" borderId="0" xfId="2" quotePrefix="1" applyFont="1" applyAlignment="1">
      <alignment horizontal="left" vertical="top"/>
    </xf>
    <xf numFmtId="165" fontId="2" fillId="0" borderId="0" xfId="2" applyNumberFormat="1" applyFont="1" applyAlignment="1">
      <alignment horizontal="left" vertical="top"/>
    </xf>
    <xf numFmtId="9" fontId="4" fillId="0" borderId="0" xfId="3" quotePrefix="1" applyNumberFormat="1" applyFont="1" applyAlignment="1">
      <alignment horizontal="left" vertical="top"/>
    </xf>
    <xf numFmtId="9" fontId="4" fillId="0" borderId="0" xfId="2" applyFont="1"/>
    <xf numFmtId="9" fontId="1" fillId="0" borderId="0" xfId="2" quotePrefix="1" applyFont="1" applyAlignment="1">
      <alignment horizontal="left" vertical="top"/>
    </xf>
    <xf numFmtId="0" fontId="1" fillId="0" borderId="0" xfId="3" applyFont="1" applyAlignment="1">
      <alignment horizontal="left" vertical="top"/>
    </xf>
    <xf numFmtId="0" fontId="1" fillId="0" borderId="0" xfId="0" applyFont="1"/>
    <xf numFmtId="0" fontId="1" fillId="0" borderId="0" xfId="0" applyFont="1" applyAlignment="1">
      <alignment horizontal="left" vertical="top"/>
    </xf>
  </cellXfs>
  <cellStyles count="6">
    <cellStyle name="Comma" xfId="1" builtinId="3"/>
    <cellStyle name="Comma 2" xfId="5"/>
    <cellStyle name="Normal" xfId="0" builtinId="0"/>
    <cellStyle name="Normal 2" xfId="3"/>
    <cellStyle name="Percent" xfId="2" builtinId="5"/>
    <cellStyle name="Percent 2" xfId="4"/>
  </cellStyles>
  <dxfs count="360">
    <dxf>
      <font>
        <strike val="0"/>
        <outline val="0"/>
        <shadow val="0"/>
        <u val="none"/>
        <vertAlign val="baseline"/>
        <sz val="11"/>
        <name val="Calibri"/>
        <scheme val="minor"/>
      </font>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numFmt numFmtId="0" formatCode="General"/>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numFmt numFmtId="13" formatCode="0%"/>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numFmt numFmtId="13" formatCode="0%"/>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color rgb="FF000000"/>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color rgb="FF000000"/>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color rgb="FF000000"/>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numFmt numFmtId="0" formatCode="General"/>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numFmt numFmtId="0" formatCode="General"/>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numFmt numFmtId="0" formatCode="General"/>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color rgb="FF000000"/>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numFmt numFmtId="13" formatCode="0%"/>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numFmt numFmtId="13" formatCode="0%"/>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color theme="1"/>
        <name val="Calibri"/>
        <scheme val="minor"/>
      </font>
      <numFmt numFmtId="166" formatCode="0.0"/>
      <alignment horizontal="left" vertical="top" textRotation="0" indent="0" justifyLastLine="0" shrinkToFit="0" readingOrder="0"/>
    </dxf>
    <dxf>
      <font>
        <strike val="0"/>
        <outline val="0"/>
        <shadow val="0"/>
        <u val="none"/>
        <vertAlign val="baseline"/>
        <sz val="11"/>
        <color theme="1"/>
        <name val="Calibri"/>
        <scheme val="minor"/>
      </font>
      <numFmt numFmtId="13" formatCode="0%"/>
      <alignment horizontal="left" vertical="top" textRotation="0" indent="0" justifyLastLine="0" shrinkToFit="0" readingOrder="0"/>
    </dxf>
    <dxf>
      <font>
        <strike val="0"/>
        <outline val="0"/>
        <shadow val="0"/>
        <u val="none"/>
        <vertAlign val="baseline"/>
        <sz val="11"/>
        <color theme="1"/>
        <name val="Calibri"/>
        <scheme val="minor"/>
      </font>
      <numFmt numFmtId="1" formatCode="0"/>
      <alignment horizontal="left" vertical="top" textRotation="0" indent="0" justifyLastLine="0" shrinkToFit="0" readingOrder="0"/>
    </dxf>
    <dxf>
      <font>
        <strike val="0"/>
        <outline val="0"/>
        <shadow val="0"/>
        <u val="none"/>
        <vertAlign val="baseline"/>
        <sz val="11"/>
        <color theme="1"/>
        <name val="Calibri"/>
        <scheme val="minor"/>
      </font>
      <alignment horizontal="left" vertical="top" textRotation="0" indent="0" justifyLastLine="0" shrinkToFit="0" readingOrder="0"/>
    </dxf>
    <dxf>
      <font>
        <strike val="0"/>
        <outline val="0"/>
        <shadow val="0"/>
        <u val="none"/>
        <vertAlign val="baseline"/>
        <sz val="11"/>
        <color theme="1"/>
        <name val="Calibri"/>
        <scheme val="minor"/>
      </font>
      <alignment horizontal="left" vertical="top" textRotation="0" wrapText="0" indent="0" justifyLastLine="0" shrinkToFit="0" readingOrder="0"/>
    </dxf>
    <dxf>
      <font>
        <strike val="0"/>
        <outline val="0"/>
        <shadow val="0"/>
        <u val="none"/>
        <vertAlign val="baseline"/>
        <sz val="11"/>
        <color theme="1"/>
        <name val="Calibri"/>
        <scheme val="minor"/>
      </font>
      <numFmt numFmtId="0" formatCode="General"/>
      <alignment horizontal="left" vertical="top" textRotation="0" wrapText="0" indent="0" justifyLastLine="0" shrinkToFit="0" readingOrder="0"/>
    </dxf>
    <dxf>
      <font>
        <strike val="0"/>
        <outline val="0"/>
        <shadow val="0"/>
        <u val="none"/>
        <vertAlign val="baseline"/>
        <sz val="11"/>
        <color theme="1"/>
        <name val="Calibri"/>
        <scheme val="minor"/>
      </font>
      <alignment horizontal="left" vertical="top" textRotation="0" indent="0" justifyLastLine="0" shrinkToFit="0" readingOrder="0"/>
    </dxf>
    <dxf>
      <font>
        <strike val="0"/>
        <outline val="0"/>
        <shadow val="0"/>
        <u val="none"/>
        <vertAlign val="baseline"/>
        <sz val="11"/>
        <color theme="1"/>
        <name val="Calibri"/>
        <scheme val="minor"/>
      </font>
      <alignment horizontal="left" vertical="top" textRotation="0" wrapText="1" indent="0" justifyLastLine="0" shrinkToFit="0" readingOrder="0"/>
    </dxf>
    <dxf>
      <font>
        <strike val="0"/>
        <outline val="0"/>
        <shadow val="0"/>
        <u val="none"/>
        <vertAlign val="baseline"/>
        <sz val="11"/>
        <color theme="1"/>
        <name val="Calibri"/>
        <scheme val="minor"/>
      </font>
      <numFmt numFmtId="0" formatCode="General"/>
      <alignment horizontal="left" vertical="top" textRotation="0" wrapText="0" indent="0" justifyLastLine="0" shrinkToFit="0" readingOrder="0"/>
    </dxf>
    <dxf>
      <font>
        <strike val="0"/>
        <outline val="0"/>
        <shadow val="0"/>
        <u val="none"/>
        <vertAlign val="baseline"/>
        <sz val="11"/>
        <color theme="1"/>
        <name val="Calibri"/>
        <scheme val="minor"/>
      </font>
      <numFmt numFmtId="0" formatCode="General"/>
      <alignment horizontal="left" vertical="top" textRotation="0" wrapText="0" indent="0" justifyLastLine="0" shrinkToFit="0" readingOrder="0"/>
    </dxf>
    <dxf>
      <font>
        <strike val="0"/>
        <outline val="0"/>
        <shadow val="0"/>
        <u val="none"/>
        <vertAlign val="baseline"/>
        <sz val="11"/>
        <color theme="1"/>
        <name val="Calibri"/>
        <scheme val="minor"/>
      </font>
      <numFmt numFmtId="0" formatCode="General"/>
      <alignment horizontal="left" vertical="top" textRotation="0" wrapText="0" indent="0" justifyLastLine="0" shrinkToFit="0" readingOrder="0"/>
    </dxf>
    <dxf>
      <font>
        <strike val="0"/>
        <outline val="0"/>
        <shadow val="0"/>
        <u val="none"/>
        <vertAlign val="baseline"/>
        <sz val="11"/>
        <color theme="1"/>
        <name val="Calibri"/>
        <scheme val="minor"/>
      </font>
      <numFmt numFmtId="0" formatCode="General"/>
      <alignment horizontal="left" vertical="top" textRotation="0" wrapText="0" indent="0" justifyLastLine="0" shrinkToFit="0" readingOrder="0"/>
    </dxf>
    <dxf>
      <font>
        <strike val="0"/>
        <outline val="0"/>
        <shadow val="0"/>
        <u val="none"/>
        <vertAlign val="baseline"/>
        <sz val="11"/>
        <color theme="1"/>
        <name val="Calibri"/>
        <scheme val="minor"/>
      </font>
      <alignment horizontal="left" vertical="top" textRotation="0" wrapText="0" indent="0" justifyLastLine="0" shrinkToFit="0" readingOrder="0"/>
    </dxf>
    <dxf>
      <font>
        <strike val="0"/>
        <outline val="0"/>
        <shadow val="0"/>
        <u val="none"/>
        <vertAlign val="baseline"/>
        <sz val="11"/>
        <color theme="1"/>
        <name val="Calibri"/>
        <scheme val="minor"/>
      </font>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166" formatCode="0.0"/>
      <alignment horizontal="left" vertical="top" textRotation="0" indent="0" justifyLastLine="0" shrinkToFit="0" readingOrder="0"/>
    </dxf>
    <dxf>
      <font>
        <strike val="0"/>
        <outline val="0"/>
        <shadow val="0"/>
        <u val="none"/>
        <vertAlign val="baseline"/>
        <sz val="11"/>
        <color theme="1"/>
        <name val="Calibri"/>
        <scheme val="minor"/>
      </font>
      <alignment horizontal="left" vertical="top" textRotation="0" indent="0" justifyLastLine="0" shrinkToFit="0" readingOrder="0"/>
    </dxf>
    <dxf>
      <font>
        <strike val="0"/>
        <outline val="0"/>
        <shadow val="0"/>
        <u val="none"/>
        <vertAlign val="baseline"/>
        <sz val="11"/>
        <color theme="1"/>
        <name val="Calibri"/>
        <scheme val="minor"/>
      </font>
      <numFmt numFmtId="1" formatCode="0"/>
      <alignment horizontal="left" vertical="top" textRotation="0" wrapText="0" indent="0" justifyLastLine="0" shrinkToFit="0" readingOrder="0"/>
    </dxf>
    <dxf>
      <font>
        <strike val="0"/>
        <outline val="0"/>
        <shadow val="0"/>
        <u val="none"/>
        <vertAlign val="baseline"/>
        <sz val="11"/>
        <color theme="1"/>
        <name val="Calibri"/>
        <scheme val="minor"/>
      </font>
      <alignment horizontal="left" vertical="top" textRotation="0" indent="0" justifyLastLine="0" shrinkToFit="0" readingOrder="0"/>
    </dxf>
    <dxf>
      <font>
        <strike val="0"/>
        <outline val="0"/>
        <shadow val="0"/>
        <u val="none"/>
        <vertAlign val="baseline"/>
        <sz val="11"/>
        <color theme="1"/>
        <name val="Calibri"/>
        <scheme val="minor"/>
      </font>
      <alignment horizontal="left" vertical="top" textRotation="0" wrapText="0" indent="0" justifyLastLine="0" shrinkToFit="0" readingOrder="0"/>
    </dxf>
    <dxf>
      <font>
        <strike val="0"/>
        <outline val="0"/>
        <shadow val="0"/>
        <u val="none"/>
        <vertAlign val="baseline"/>
        <sz val="11"/>
        <color theme="1"/>
        <name val="Calibri"/>
        <scheme val="minor"/>
      </font>
      <numFmt numFmtId="165" formatCode="0.0000"/>
      <alignment horizontal="left" vertical="top" textRotation="0" wrapText="0" indent="0" justifyLastLine="0" shrinkToFit="0" readingOrder="0"/>
    </dxf>
    <dxf>
      <font>
        <strike val="0"/>
        <outline val="0"/>
        <shadow val="0"/>
        <u val="none"/>
        <vertAlign val="baseline"/>
        <sz val="11"/>
        <color theme="1"/>
        <name val="Calibri"/>
        <scheme val="minor"/>
      </font>
      <alignment horizontal="left" vertical="top" textRotation="0" indent="0" justifyLastLine="0" shrinkToFit="0" readingOrder="0"/>
    </dxf>
    <dxf>
      <font>
        <strike val="0"/>
        <outline val="0"/>
        <shadow val="0"/>
        <u val="none"/>
        <vertAlign val="baseline"/>
        <sz val="11"/>
        <color theme="1"/>
        <name val="Calibri"/>
        <scheme val="minor"/>
      </font>
      <alignment horizontal="left" vertical="top" textRotation="0" wrapText="1" indent="0" justifyLastLine="0" shrinkToFit="0" readingOrder="0"/>
    </dxf>
    <dxf>
      <font>
        <strike val="0"/>
        <outline val="0"/>
        <shadow val="0"/>
        <u val="none"/>
        <vertAlign val="baseline"/>
        <sz val="11"/>
        <color theme="1"/>
        <name val="Calibri"/>
        <scheme val="minor"/>
      </font>
      <numFmt numFmtId="166" formatCode="0.0"/>
      <alignment horizontal="left" vertical="top" textRotation="0" indent="0" justifyLastLine="0" shrinkToFit="0" readingOrder="0"/>
    </dxf>
    <dxf>
      <font>
        <strike val="0"/>
        <outline val="0"/>
        <shadow val="0"/>
        <u val="none"/>
        <vertAlign val="baseline"/>
        <sz val="11"/>
        <color theme="1"/>
        <name val="Calibri"/>
        <scheme val="minor"/>
      </font>
      <numFmt numFmtId="13" formatCode="0%"/>
      <alignment horizontal="left" vertical="top" textRotation="0" indent="0" justifyLastLine="0" shrinkToFit="0" readingOrder="0"/>
    </dxf>
    <dxf>
      <font>
        <strike val="0"/>
        <outline val="0"/>
        <shadow val="0"/>
        <u val="none"/>
        <vertAlign val="baseline"/>
        <sz val="11"/>
        <color theme="1"/>
        <name val="Calibri"/>
        <scheme val="minor"/>
      </font>
      <numFmt numFmtId="1" formatCode="0"/>
      <alignment horizontal="left" vertical="top" textRotation="0" indent="0" justifyLastLine="0" shrinkToFit="0" readingOrder="0"/>
    </dxf>
    <dxf>
      <font>
        <strike val="0"/>
        <outline val="0"/>
        <shadow val="0"/>
        <u val="none"/>
        <vertAlign val="baseline"/>
        <sz val="11"/>
        <color theme="1"/>
        <name val="Calibri"/>
        <scheme val="minor"/>
      </font>
      <numFmt numFmtId="13" formatCode="0%"/>
      <alignment horizontal="left" vertical="top" textRotation="0" indent="0" justifyLastLine="0" shrinkToFit="0" readingOrder="0"/>
    </dxf>
    <dxf>
      <font>
        <strike val="0"/>
        <outline val="0"/>
        <shadow val="0"/>
        <u val="none"/>
        <vertAlign val="baseline"/>
        <sz val="11"/>
        <color theme="1"/>
        <name val="Calibri"/>
        <scheme val="minor"/>
      </font>
      <alignment horizontal="left" vertical="top" textRotation="0" wrapText="0" indent="0" justifyLastLine="0" shrinkToFit="0" readingOrder="0"/>
    </dxf>
    <dxf>
      <font>
        <strike val="0"/>
        <outline val="0"/>
        <shadow val="0"/>
        <u val="none"/>
        <vertAlign val="baseline"/>
        <sz val="11"/>
        <color theme="1"/>
        <name val="Calibri"/>
        <scheme val="minor"/>
      </font>
      <numFmt numFmtId="0" formatCode="General"/>
      <alignment horizontal="left" vertical="top" textRotation="0" wrapText="0" indent="0" justifyLastLine="0" shrinkToFit="0" readingOrder="0"/>
    </dxf>
    <dxf>
      <font>
        <strike val="0"/>
        <outline val="0"/>
        <shadow val="0"/>
        <u val="none"/>
        <vertAlign val="baseline"/>
        <sz val="11"/>
        <color theme="1"/>
        <name val="Calibri"/>
        <scheme val="minor"/>
      </font>
      <alignment horizontal="left" vertical="top" textRotation="0" indent="0" justifyLastLine="0" shrinkToFit="0" readingOrder="0"/>
    </dxf>
    <dxf>
      <font>
        <strike val="0"/>
        <outline val="0"/>
        <shadow val="0"/>
        <u val="none"/>
        <vertAlign val="baseline"/>
        <sz val="11"/>
        <color theme="1"/>
        <name val="Calibri"/>
        <scheme val="minor"/>
      </font>
      <alignment horizontal="left" vertical="top" textRotation="0" wrapText="1" indent="0" justifyLastLine="0" shrinkToFit="0" readingOrder="0"/>
    </dxf>
    <dxf>
      <font>
        <strike val="0"/>
        <outline val="0"/>
        <shadow val="0"/>
        <u val="none"/>
        <vertAlign val="baseline"/>
        <sz val="11"/>
        <color theme="1"/>
        <name val="Calibri"/>
        <scheme val="minor"/>
      </font>
      <alignment horizontal="left" vertical="top" textRotation="0" wrapText="0" indent="0" justifyLastLine="0" shrinkToFit="0" readingOrder="0"/>
    </dxf>
    <dxf>
      <font>
        <strike val="0"/>
        <outline val="0"/>
        <shadow val="0"/>
        <u val="none"/>
        <vertAlign val="baseline"/>
        <sz val="11"/>
        <color theme="1"/>
        <name val="Calibri"/>
        <scheme val="minor"/>
      </font>
      <alignment horizontal="left" vertical="top" textRotation="0" wrapText="0" indent="0" justifyLastLine="0" shrinkToFit="0" readingOrder="0"/>
    </dxf>
    <dxf>
      <font>
        <strike val="0"/>
        <outline val="0"/>
        <shadow val="0"/>
        <u val="none"/>
        <vertAlign val="baseline"/>
        <sz val="11"/>
        <color theme="1"/>
        <name val="Calibri"/>
        <scheme val="minor"/>
      </font>
      <alignment horizontal="left" vertical="top" textRotation="0" wrapText="0" indent="0" justifyLastLine="0" shrinkToFit="0" readingOrder="0"/>
    </dxf>
    <dxf>
      <font>
        <strike val="0"/>
        <outline val="0"/>
        <shadow val="0"/>
        <u val="none"/>
        <vertAlign val="baseline"/>
        <sz val="11"/>
        <color theme="1"/>
        <name val="Calibri"/>
        <scheme val="minor"/>
      </font>
      <alignment horizontal="left" vertical="top" textRotation="0" wrapText="0" indent="0" justifyLastLine="0" shrinkToFit="0" readingOrder="0"/>
    </dxf>
    <dxf>
      <font>
        <strike val="0"/>
        <outline val="0"/>
        <shadow val="0"/>
        <u val="none"/>
        <vertAlign val="baseline"/>
        <sz val="11"/>
        <color theme="1"/>
        <name val="Calibri"/>
        <scheme val="minor"/>
      </font>
      <alignment horizontal="left" vertical="top" textRotation="0" wrapText="0" indent="0" justifyLastLine="0" shrinkToFit="0" readingOrder="0"/>
    </dxf>
    <dxf>
      <font>
        <strike val="0"/>
        <outline val="0"/>
        <shadow val="0"/>
        <u val="none"/>
        <vertAlign val="baseline"/>
        <sz val="11"/>
        <color theme="1"/>
        <name val="Calibri"/>
        <scheme val="minor"/>
      </font>
      <alignment horizontal="left" vertical="top" textRotation="0" wrapText="0" indent="0" justifyLastLine="0" shrinkToFit="0" readingOrder="0"/>
    </dxf>
    <dxf>
      <font>
        <strike val="0"/>
        <outline val="0"/>
        <shadow val="0"/>
        <u val="none"/>
        <vertAlign val="baseline"/>
        <sz val="11"/>
        <color theme="1"/>
        <name val="Calibri"/>
        <scheme val="minor"/>
      </font>
      <alignment horizontal="left" vertical="top" textRotation="0" wrapText="0" indent="0" justifyLastLine="0" shrinkToFit="0" readingOrder="0"/>
    </dxf>
    <dxf>
      <font>
        <strike val="0"/>
        <outline val="0"/>
        <shadow val="0"/>
        <u val="none"/>
        <vertAlign val="baseline"/>
        <sz val="11"/>
        <color theme="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numFmt numFmtId="0" formatCode="Genera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left" vertical="top" textRotation="0" wrapText="0" indent="0" justifyLastLine="0" shrinkToFit="0" readingOrder="0"/>
    </dxf>
    <dxf>
      <font>
        <b/>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
      <font>
        <strike val="0"/>
        <outline val="0"/>
        <shadow val="0"/>
        <u val="none"/>
        <vertAlign val="baseline"/>
        <sz val="11"/>
        <name val="Calibri"/>
        <scheme val="minor"/>
      </font>
      <alignment horizontal="left" vertical="top"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openxmlformats.org/officeDocument/2006/relationships/calcChain" Target="calcChain.xml"/><Relationship Id="rId22"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1" Type="http://schemas.microsoft.com/office/2011/relationships/chartStyle" Target="style1.xml"/><Relationship Id="rId2" Type="http://schemas.microsoft.com/office/2011/relationships/chartColorStyle" Target="colors1.xml"/></Relationships>
</file>

<file path=xl/charts/_rels/chart2.xml.rels><?xml version="1.0" encoding="UTF-8" standalone="yes"?>
<Relationships xmlns="http://schemas.openxmlformats.org/package/2006/relationships"><Relationship Id="rId1" Type="http://schemas.microsoft.com/office/2011/relationships/chartStyle" Target="style2.xml"/><Relationship Id="rId2" Type="http://schemas.microsoft.com/office/2011/relationships/chartColorStyle" Target="colors2.xml"/></Relationships>
</file>

<file path=xl/charts/_rels/chart3.xml.rels><?xml version="1.0" encoding="UTF-8" standalone="yes"?>
<Relationships xmlns="http://schemas.openxmlformats.org/package/2006/relationships"><Relationship Id="rId1" Type="http://schemas.microsoft.com/office/2011/relationships/chartStyle" Target="style3.xml"/><Relationship Id="rId2" Type="http://schemas.microsoft.com/office/2011/relationships/chartColorStyle" Target="colors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val>
            <c:numRef>
              <c:f>'Add a New Table'!$Q$8:$Q$15</c:f>
              <c:numCache>
                <c:formatCode>0%</c:formatCode>
                <c:ptCount val="8"/>
                <c:pt idx="0">
                  <c:v>1.0</c:v>
                </c:pt>
                <c:pt idx="1">
                  <c:v>-0.125</c:v>
                </c:pt>
                <c:pt idx="2">
                  <c:v>-0.125</c:v>
                </c:pt>
                <c:pt idx="3">
                  <c:v>-0.125</c:v>
                </c:pt>
                <c:pt idx="4">
                  <c:v>-0.125</c:v>
                </c:pt>
                <c:pt idx="5">
                  <c:v>-0.125</c:v>
                </c:pt>
                <c:pt idx="6">
                  <c:v>-0.125</c:v>
                </c:pt>
                <c:pt idx="7">
                  <c:v>-0.125</c:v>
                </c:pt>
              </c:numCache>
            </c:numRef>
          </c:val>
          <c:smooth val="0"/>
          <c:extLst xmlns:c16r2="http://schemas.microsoft.com/office/drawing/2015/06/chart">
            <c:ext xmlns:c16="http://schemas.microsoft.com/office/drawing/2014/chart" uri="{C3380CC4-5D6E-409C-BE32-E72D297353CC}">
              <c16:uniqueId val="{00000000-BB83-408A-9902-1D1D49374953}"/>
            </c:ext>
          </c:extLst>
        </c:ser>
        <c:ser>
          <c:idx val="1"/>
          <c:order val="1"/>
          <c:spPr>
            <a:ln w="28575" cap="rnd">
              <a:solidFill>
                <a:schemeClr val="accent2"/>
              </a:solidFill>
              <a:round/>
            </a:ln>
            <a:effectLst/>
          </c:spPr>
          <c:marker>
            <c:symbol val="none"/>
          </c:marker>
          <c:val>
            <c:numRef>
              <c:f>'Add a New Table'!$S$8:$S$15</c:f>
              <c:numCache>
                <c:formatCode>0%</c:formatCode>
                <c:ptCount val="8"/>
                <c:pt idx="0">
                  <c:v>0.0</c:v>
                </c:pt>
                <c:pt idx="1">
                  <c:v>0.0</c:v>
                </c:pt>
                <c:pt idx="2">
                  <c:v>0.0</c:v>
                </c:pt>
                <c:pt idx="3">
                  <c:v>0.0135790494665373</c:v>
                </c:pt>
                <c:pt idx="4">
                  <c:v>0.0</c:v>
                </c:pt>
                <c:pt idx="5">
                  <c:v>0.0</c:v>
                </c:pt>
                <c:pt idx="6">
                  <c:v>0.0</c:v>
                </c:pt>
                <c:pt idx="7">
                  <c:v>0.499515033947624</c:v>
                </c:pt>
              </c:numCache>
            </c:numRef>
          </c:val>
          <c:smooth val="0"/>
          <c:extLst xmlns:c16r2="http://schemas.microsoft.com/office/drawing/2015/06/chart">
            <c:ext xmlns:c16="http://schemas.microsoft.com/office/drawing/2014/chart" uri="{C3380CC4-5D6E-409C-BE32-E72D297353CC}">
              <c16:uniqueId val="{00000001-BB83-408A-9902-1D1D49374953}"/>
            </c:ext>
          </c:extLst>
        </c:ser>
        <c:dLbls>
          <c:showLegendKey val="0"/>
          <c:showVal val="0"/>
          <c:showCatName val="0"/>
          <c:showSerName val="0"/>
          <c:showPercent val="0"/>
          <c:showBubbleSize val="0"/>
        </c:dLbls>
        <c:smooth val="0"/>
        <c:axId val="1849949280"/>
        <c:axId val="1849952128"/>
      </c:lineChart>
      <c:catAx>
        <c:axId val="184994928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9952128"/>
        <c:crosses val="autoZero"/>
        <c:auto val="1"/>
        <c:lblAlgn val="ctr"/>
        <c:lblOffset val="100"/>
        <c:noMultiLvlLbl val="0"/>
      </c:catAx>
      <c:valAx>
        <c:axId val="184995212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9949280"/>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val>
            <c:numRef>
              <c:f>'Add a New Table'!$Q$20:$Q$27</c:f>
              <c:numCache>
                <c:formatCode>0%</c:formatCode>
                <c:ptCount val="8"/>
                <c:pt idx="0">
                  <c:v>0.0122244726550447</c:v>
                </c:pt>
                <c:pt idx="1">
                  <c:v>0.0545827286138133</c:v>
                </c:pt>
                <c:pt idx="2">
                  <c:v>0.15982015110801</c:v>
                </c:pt>
                <c:pt idx="3">
                  <c:v>0.273372647623132</c:v>
                </c:pt>
                <c:pt idx="4">
                  <c:v>0.273372647623132</c:v>
                </c:pt>
                <c:pt idx="5">
                  <c:v>0.15982015110801</c:v>
                </c:pt>
                <c:pt idx="6">
                  <c:v>0.0545827286138134</c:v>
                </c:pt>
                <c:pt idx="7">
                  <c:v>0.0108745746234146</c:v>
                </c:pt>
              </c:numCache>
            </c:numRef>
          </c:val>
          <c:smooth val="0"/>
          <c:extLst xmlns:c16r2="http://schemas.microsoft.com/office/drawing/2015/06/chart">
            <c:ext xmlns:c16="http://schemas.microsoft.com/office/drawing/2014/chart" uri="{C3380CC4-5D6E-409C-BE32-E72D297353CC}">
              <c16:uniqueId val="{00000000-B2CD-40D4-B7E7-5E7596B86544}"/>
            </c:ext>
          </c:extLst>
        </c:ser>
        <c:ser>
          <c:idx val="1"/>
          <c:order val="1"/>
          <c:spPr>
            <a:ln w="28575" cap="rnd">
              <a:solidFill>
                <a:schemeClr val="accent2"/>
              </a:solidFill>
              <a:round/>
            </a:ln>
            <a:effectLst/>
          </c:spPr>
          <c:marker>
            <c:symbol val="none"/>
          </c:marker>
          <c:val>
            <c:numRef>
              <c:f>'Add a New Table'!$S$20:$S$27</c:f>
              <c:numCache>
                <c:formatCode>0%</c:formatCode>
                <c:ptCount val="8"/>
                <c:pt idx="0">
                  <c:v>0.0417070805043647</c:v>
                </c:pt>
                <c:pt idx="1">
                  <c:v>0.154219204655674</c:v>
                </c:pt>
                <c:pt idx="2">
                  <c:v>0.278370514064016</c:v>
                </c:pt>
                <c:pt idx="3">
                  <c:v>0.264791464597478</c:v>
                </c:pt>
                <c:pt idx="4">
                  <c:v>0.171677982541222</c:v>
                </c:pt>
                <c:pt idx="5">
                  <c:v>0.0533462657613967</c:v>
                </c:pt>
                <c:pt idx="6">
                  <c:v>0.008729388942774</c:v>
                </c:pt>
                <c:pt idx="7">
                  <c:v>0.01454898157129</c:v>
                </c:pt>
              </c:numCache>
            </c:numRef>
          </c:val>
          <c:smooth val="0"/>
          <c:extLst xmlns:c16r2="http://schemas.microsoft.com/office/drawing/2015/06/chart">
            <c:ext xmlns:c16="http://schemas.microsoft.com/office/drawing/2014/chart" uri="{C3380CC4-5D6E-409C-BE32-E72D297353CC}">
              <c16:uniqueId val="{00000001-B2CD-40D4-B7E7-5E7596B86544}"/>
            </c:ext>
          </c:extLst>
        </c:ser>
        <c:dLbls>
          <c:showLegendKey val="0"/>
          <c:showVal val="0"/>
          <c:showCatName val="0"/>
          <c:showSerName val="0"/>
          <c:showPercent val="0"/>
          <c:showBubbleSize val="0"/>
        </c:dLbls>
        <c:smooth val="0"/>
        <c:axId val="1852646384"/>
        <c:axId val="1852648704"/>
      </c:lineChart>
      <c:catAx>
        <c:axId val="185264638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2648704"/>
        <c:crosses val="autoZero"/>
        <c:auto val="1"/>
        <c:lblAlgn val="ctr"/>
        <c:lblOffset val="100"/>
        <c:noMultiLvlLbl val="0"/>
      </c:catAx>
      <c:valAx>
        <c:axId val="185264870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264638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val>
            <c:numRef>
              <c:f>'Add a New Table'!$Q$33:$Q$40</c:f>
              <c:numCache>
                <c:formatCode>0%</c:formatCode>
                <c:ptCount val="8"/>
                <c:pt idx="0">
                  <c:v>0.0545827286138134</c:v>
                </c:pt>
                <c:pt idx="1">
                  <c:v>0.15982015110801</c:v>
                </c:pt>
                <c:pt idx="2">
                  <c:v>0.273372647623132</c:v>
                </c:pt>
                <c:pt idx="3">
                  <c:v>0.273372647623132</c:v>
                </c:pt>
                <c:pt idx="4">
                  <c:v>0.15982015110801</c:v>
                </c:pt>
                <c:pt idx="5">
                  <c:v>0.0545827286138134</c:v>
                </c:pt>
                <c:pt idx="6">
                  <c:v>0.0108745746234146</c:v>
                </c:pt>
                <c:pt idx="7">
                  <c:v>0.0013498980316301</c:v>
                </c:pt>
              </c:numCache>
            </c:numRef>
          </c:val>
          <c:smooth val="0"/>
          <c:extLst xmlns:c16r2="http://schemas.microsoft.com/office/drawing/2015/06/chart">
            <c:ext xmlns:c16="http://schemas.microsoft.com/office/drawing/2014/chart" uri="{C3380CC4-5D6E-409C-BE32-E72D297353CC}">
              <c16:uniqueId val="{00000000-B62F-4205-B297-87D5AB8217CC}"/>
            </c:ext>
          </c:extLst>
        </c:ser>
        <c:ser>
          <c:idx val="1"/>
          <c:order val="1"/>
          <c:spPr>
            <a:ln w="28575" cap="rnd">
              <a:solidFill>
                <a:schemeClr val="accent2"/>
              </a:solidFill>
              <a:round/>
            </a:ln>
            <a:effectLst/>
          </c:spPr>
          <c:marker>
            <c:symbol val="none"/>
          </c:marker>
          <c:val>
            <c:numRef>
              <c:f>'Add a New Table'!$S$33:$S$40</c:f>
              <c:numCache>
                <c:formatCode>0%</c:formatCode>
                <c:ptCount val="8"/>
                <c:pt idx="0">
                  <c:v>0.0533462657613967</c:v>
                </c:pt>
                <c:pt idx="1">
                  <c:v>0.171677982541222</c:v>
                </c:pt>
                <c:pt idx="2">
                  <c:v>0.251212415130941</c:v>
                </c:pt>
                <c:pt idx="3">
                  <c:v>0.291949563530553</c:v>
                </c:pt>
                <c:pt idx="4">
                  <c:v>0.154219204655674</c:v>
                </c:pt>
                <c:pt idx="5">
                  <c:v>0.0417070805043647</c:v>
                </c:pt>
                <c:pt idx="6">
                  <c:v>0.0126091173617847</c:v>
                </c:pt>
                <c:pt idx="7">
                  <c:v>0.0</c:v>
                </c:pt>
              </c:numCache>
            </c:numRef>
          </c:val>
          <c:smooth val="0"/>
          <c:extLst xmlns:c16r2="http://schemas.microsoft.com/office/drawing/2015/06/chart">
            <c:ext xmlns:c16="http://schemas.microsoft.com/office/drawing/2014/chart" uri="{C3380CC4-5D6E-409C-BE32-E72D297353CC}">
              <c16:uniqueId val="{00000001-B62F-4205-B297-87D5AB8217CC}"/>
            </c:ext>
          </c:extLst>
        </c:ser>
        <c:dLbls>
          <c:showLegendKey val="0"/>
          <c:showVal val="0"/>
          <c:showCatName val="0"/>
          <c:showSerName val="0"/>
          <c:showPercent val="0"/>
          <c:showBubbleSize val="0"/>
        </c:dLbls>
        <c:smooth val="0"/>
        <c:axId val="1849779168"/>
        <c:axId val="1850004032"/>
      </c:lineChart>
      <c:catAx>
        <c:axId val="18497791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0004032"/>
        <c:crosses val="autoZero"/>
        <c:auto val="1"/>
        <c:lblAlgn val="ctr"/>
        <c:lblOffset val="100"/>
        <c:noMultiLvlLbl val="0"/>
      </c:catAx>
      <c:valAx>
        <c:axId val="185000403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977916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 Id="rId3"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241300</xdr:colOff>
          <xdr:row>37</xdr:row>
          <xdr:rowOff>12700</xdr:rowOff>
        </xdr:from>
        <xdr:to>
          <xdr:col>0</xdr:col>
          <xdr:colOff>1397000</xdr:colOff>
          <xdr:row>40</xdr:row>
          <xdr:rowOff>12700</xdr:rowOff>
        </xdr:to>
        <xdr:sp macro="" textlink="">
          <xdr:nvSpPr>
            <xdr:cNvPr id="2049" name="Button 1" hidden="1">
              <a:extLst>
                <a:ext uri="{63B3BB69-23CF-44E3-9099-C40C66FF867C}">
                  <a14:compatExt spid="_x0000_s2049"/>
                </a:ext>
                <a:ext uri="{FF2B5EF4-FFF2-40B4-BE49-F238E27FC236}">
                  <a16:creationId xmlns:a16="http://schemas.microsoft.com/office/drawing/2014/main" xmlns=""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1100" b="0" i="0" u="none" strike="noStrike" baseline="0">
                  <a:solidFill>
                    <a:srgbClr val="000000"/>
                  </a:solidFill>
                  <a:latin typeface="Calibri"/>
                  <a:ea typeface="Calibri"/>
                  <a:cs typeface="Calibri"/>
                </a:rPr>
                <a:t>Refresh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0</xdr:colOff>
      <xdr:row>6</xdr:row>
      <xdr:rowOff>0</xdr:rowOff>
    </xdr:from>
    <xdr:to>
      <xdr:col>12</xdr:col>
      <xdr:colOff>757766</xdr:colOff>
      <xdr:row>15</xdr:row>
      <xdr:rowOff>0</xdr:rowOff>
    </xdr:to>
    <xdr:graphicFrame macro="">
      <xdr:nvGraphicFramePr>
        <xdr:cNvPr id="5" name="Chart 4">
          <a:extLst>
            <a:ext uri="{FF2B5EF4-FFF2-40B4-BE49-F238E27FC236}">
              <a16:creationId xmlns:a16="http://schemas.microsoft.com/office/drawing/2014/main" xmlns="" id="{1D098087-06DC-4DC6-84E5-4A1FE9173E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0</xdr:colOff>
      <xdr:row>18</xdr:row>
      <xdr:rowOff>0</xdr:rowOff>
    </xdr:from>
    <xdr:to>
      <xdr:col>13</xdr:col>
      <xdr:colOff>0</xdr:colOff>
      <xdr:row>27</xdr:row>
      <xdr:rowOff>0</xdr:rowOff>
    </xdr:to>
    <xdr:graphicFrame macro="">
      <xdr:nvGraphicFramePr>
        <xdr:cNvPr id="6" name="Chart 5">
          <a:extLst>
            <a:ext uri="{FF2B5EF4-FFF2-40B4-BE49-F238E27FC236}">
              <a16:creationId xmlns:a16="http://schemas.microsoft.com/office/drawing/2014/main" xmlns="" id="{6CAA5D3E-C824-4937-90EF-7094E17210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0</xdr:colOff>
      <xdr:row>31</xdr:row>
      <xdr:rowOff>0</xdr:rowOff>
    </xdr:from>
    <xdr:to>
      <xdr:col>13</xdr:col>
      <xdr:colOff>0</xdr:colOff>
      <xdr:row>40</xdr:row>
      <xdr:rowOff>0</xdr:rowOff>
    </xdr:to>
    <xdr:graphicFrame macro="">
      <xdr:nvGraphicFramePr>
        <xdr:cNvPr id="7" name="Chart 6">
          <a:extLst>
            <a:ext uri="{FF2B5EF4-FFF2-40B4-BE49-F238E27FC236}">
              <a16:creationId xmlns:a16="http://schemas.microsoft.com/office/drawing/2014/main" xmlns="" id="{13740246-0CFC-4808-AFDE-FD8B313A01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ables/table1.xml><?xml version="1.0" encoding="utf-8"?>
<table xmlns="http://schemas.openxmlformats.org/spreadsheetml/2006/main" id="7" name="tblNPCGenerator" displayName="tblNPCGenerator" ref="A2:L36" totalsRowShown="0" headerRowDxfId="359" dataDxfId="358">
  <autoFilter ref="A2:L36"/>
  <tableColumns count="12">
    <tableColumn id="1" name="Character Dimension" dataDxfId="357"/>
    <tableColumn id="4" name="tblLookupA" dataDxfId="4">
      <calculatedColumnFormula>SUBSTITUTE(CONCATENATE("tblDim",$K$5,tblNPCGenerator[[#This Row],[Character Dimension]])," ","")</calculatedColumnFormula>
    </tableColumn>
    <tableColumn id="3" name="tblLookupB" dataDxfId="356">
      <calculatedColumnFormula>SUBSTITUTE(CONCATENATE("tblDim",tblNPCGenerator[[#This Row],[Character Dimension]])," ","")</calculatedColumnFormula>
    </tableColumn>
    <tableColumn id="11" name="Table Min" dataDxfId="3">
      <calculatedColumnFormula>MIN(INDIRECT(tblNPCGenerator[[#This Row],[tblLookupB]]&amp;"[Score]"))</calculatedColumnFormula>
    </tableColumn>
    <tableColumn id="12" name="Table Max" dataDxfId="2">
      <calculatedColumnFormula>MAX(INDIRECT(tblNPCGenerator[[#This Row],[tblLookupB]]&amp;"[Score]"))</calculatedColumnFormula>
    </tableColumn>
    <tableColumn id="7" name="Rand" dataDxfId="355"/>
    <tableColumn id="8" name="Mod" dataDxfId="354"/>
    <tableColumn id="9" name="Rand Score" dataDxfId="1">
      <calculatedColumnFormula>IF(SUM(tblNPCGenerator[[#This Row],[Rand]:[Mod]])&gt;=tblNPCGenerator[[#This Row],[Table Min]],IF(SUM(tblNPCGenerator[[#This Row],[Rand]:[Mod]])&lt;=tblNPCGenerator[[#This Row],[Table Max]],SUM(tblNPCGenerator[[#This Row],[Rand]:[Mod]]),tblNPCGenerator[[#This Row],[Table Max]]),tblNPCGenerator[[#This Row],[Table Min]])</calculatedColumnFormula>
    </tableColumn>
    <tableColumn id="6" name="Locked Score" dataDxfId="353"/>
    <tableColumn id="10" name="Score" dataDxfId="352">
      <calculatedColumnFormula>IF(ISBLANK(tblNPCGenerator[[#This Row],[Locked Score]]),tblNPCGenerator[[#This Row],[Rand Score]],tblNPCGenerator[[#This Row],[Locked Score]])</calculatedColumnFormula>
    </tableColumn>
    <tableColumn id="2" name="Detail" dataDxfId="351">
      <calculatedColumnFormula>INDEX(INDIRECT(tblNPCGenerator[[#This Row],[tblLookupB]]),MATCH(tblNPCGenerator[[#This Row],[Score]],INDIRECT(tblNPCGenerator[[#This Row],[tblLookupB]]&amp;"[Score]"),-1),2)</calculatedColumnFormula>
    </tableColumn>
    <tableColumn id="5" name="Lock" dataDxfId="350"/>
  </tableColumns>
  <tableStyleInfo name="TableStyleMedium1" showFirstColumn="0" showLastColumn="0" showRowStripes="1" showColumnStripes="0"/>
</table>
</file>

<file path=xl/tables/table2.xml><?xml version="1.0" encoding="utf-8"?>
<table xmlns="http://schemas.openxmlformats.org/spreadsheetml/2006/main" id="1" name="tblDimNew" displayName="tblDimNew" ref="A1:B2" totalsRowShown="0" headerRowDxfId="349" dataDxfId="348">
  <autoFilter ref="A1:B2"/>
  <tableColumns count="2">
    <tableColumn id="1" name="Score" dataDxfId="347" dataCellStyle="Percent"/>
    <tableColumn id="2" name="New" dataDxfId="346"/>
  </tableColumns>
  <tableStyleInfo name="TableStyleMedium2" showFirstColumn="0" showLastColumn="0" showRowStripes="1" showColumnStripes="0"/>
</table>
</file>

<file path=xl/tables/table3.xml><?xml version="1.0" encoding="utf-8"?>
<table xmlns="http://schemas.openxmlformats.org/spreadsheetml/2006/main" id="2" name="tblScoreDistributions" displayName="tblScoreDistributions" ref="D1:E3" totalsRowShown="0" headerRowDxfId="345" dataDxfId="344">
  <autoFilter ref="D1:E3"/>
  <tableColumns count="2">
    <tableColumn id="1" name="Distribution Type" dataDxfId="343"/>
    <tableColumn id="2" name="Formula" dataDxfId="342"/>
  </tableColumns>
  <tableStyleInfo name="TableStyleMedium2" showFirstColumn="0" showLastColumn="0" showRowStripes="1" showColumnStripes="0"/>
</table>
</file>

<file path=xl/tables/table4.xml><?xml version="1.0" encoding="utf-8"?>
<table xmlns="http://schemas.openxmlformats.org/spreadsheetml/2006/main" id="3" name="tblNormalTestVl" displayName="tblNormalTestVl" ref="O19:T27" totalsRowShown="0" headerRowDxfId="341" dataDxfId="340">
  <autoFilter ref="O19:T27"/>
  <tableColumns count="6">
    <tableColumn id="1" name="Score" dataDxfId="339" dataCellStyle="Percent">
      <calculatedColumnFormula>_xlfn.NORM.DIST(ROW()-ROW(tblNormalTestVl[#Headers]),ROWS(tblNormalTestVl[Score])/2,(ROWS(tblNormalTestVl[Score])/6),TRUE)</calculatedColumnFormula>
    </tableColumn>
    <tableColumn id="2" name="Result" dataDxfId="338"/>
    <tableColumn id="6" name="Weight" dataDxfId="337" dataCellStyle="Percent">
      <calculatedColumnFormula>SUM(tblNormalTestVl[[#This Row],[Score]],IF(ISNUMBER(OFFSET(tblNormalTestVl[[#This Row],[Score]],-1,0)),-OFFSET(tblNormalTestVl[[#This Row],[Score]],-1,0),0))</calculatedColumnFormula>
    </tableColumn>
    <tableColumn id="7" name="vL Test Count" dataDxfId="336">
      <calculatedColumnFormula>COUNTIF(tblDistributionTests[Normal A],tblNormalTestVl[[#This Row],[Result]])</calculatedColumnFormula>
    </tableColumn>
    <tableColumn id="8" name="vL Actual Weight" dataDxfId="335">
      <calculatedColumnFormula>tblNormalTestVl[[#This Row],[vL Test Count]]/ROWS(tblDistributionTests[Normal A])</calculatedColumnFormula>
    </tableColumn>
    <tableColumn id="9" name="vL Delta" dataDxfId="334">
      <calculatedColumnFormula>ABS(tblNormalTestVl[[#This Row],[vL Actual Weight]]-tblNormalTestVl[[#This Row],[Weight]])*100</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4" name="tblFairTest" displayName="tblFairTest" ref="O7:T15" totalsRowShown="0" headerRowDxfId="333" dataDxfId="332">
  <autoFilter ref="O7:T15"/>
  <tableColumns count="6">
    <tableColumn id="1" name="Score" dataDxfId="331" dataCellStyle="Percent">
      <calculatedColumnFormula>IF(NOT(ISNUMBER(OFFSET(tblFairTest[[#This Row],[Score]],-1,0))),1,SUM(OFFSET(tblFairTest[[#This Row],[Score]],-1,0),-1/ROWS(tblFairTest[Score])))</calculatedColumnFormula>
    </tableColumn>
    <tableColumn id="2" name="Result" dataDxfId="330"/>
    <tableColumn id="6" name="Weight" dataDxfId="329" dataCellStyle="Percent">
      <calculatedColumnFormula>SUM(tblFairTest[[#This Row],[Score]],IF(ISNUMBER(OFFSET(tblFairTest[[#This Row],[Score]],-1,0)),-OFFSET(tblFairTest[[#This Row],[Score]],-1,0),0))</calculatedColumnFormula>
    </tableColumn>
    <tableColumn id="7" name="Test Count" dataDxfId="328">
      <calculatedColumnFormula>COUNTIF(tblDistributionTests[Fair],tblFairTest[[#This Row],[Result]])</calculatedColumnFormula>
    </tableColumn>
    <tableColumn id="8" name="Actual Weight" dataDxfId="327" dataCellStyle="Percent">
      <calculatedColumnFormula>tblFairTest[[#This Row],[Test Count]]/ROWS(tblDistributionTests[Fair])</calculatedColumnFormula>
    </tableColumn>
    <tableColumn id="9" name="Delta" dataDxfId="326" dataCellStyle="Percent">
      <calculatedColumnFormula>ABS(tblFairTest[[#This Row],[Actual Weight]]-tblFairTest[[#This Row],[Weight]])*100</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5" name="tblDistributionTests" displayName="tblDistributionTests" ref="V7:Y1038" totalsRowShown="0" headerRowDxfId="325" dataDxfId="324">
  <autoFilter ref="V7:Y1038"/>
  <tableColumns count="4">
    <tableColumn id="1" name="Rand" dataDxfId="323">
      <calculatedColumnFormula>RANDBETWEEN(1,100)/100</calculatedColumnFormula>
    </tableColumn>
    <tableColumn id="2" name="Fair" dataDxfId="322">
      <calculatedColumnFormula>VLOOKUP(tblDistributionTests[[#This Row],[Rand]]+MIN(tblFairTest[Score]),tblFairTest[],2,TRUE)</calculatedColumnFormula>
    </tableColumn>
    <tableColumn id="3" name="Normal A" dataDxfId="321">
      <calculatedColumnFormula>VLOOKUP(tblDistributionTests[[#This Row],[Rand]],tblNormalTestVl[],2,TRUE)</calculatedColumnFormula>
    </tableColumn>
    <tableColumn id="4" name="Normal B" dataDxfId="320">
      <calculatedColumnFormula>INDEX(tblNormalTestIM[],MATCH(tblDistributionTests[[#This Row],[Rand]],tblNormalTestIM[Score],-1),2)</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6" name="tblNormalTestIM" displayName="tblNormalTestIM" ref="O32:T40" totalsRowShown="0" headerRowDxfId="319" dataDxfId="318">
  <autoFilter ref="O32:T40"/>
  <tableColumns count="6">
    <tableColumn id="1" name="Score" dataDxfId="317" dataCellStyle="Percent">
      <calculatedColumnFormula>1-_xlfn.NORM.DIST(ROW()-ROW(tblNormalTestIM[#Headers]),ROWS(tblNormalTestIM[Score])/2,(ROWS(tblNormalTestIM[Score])/6),TRUE)</calculatedColumnFormula>
    </tableColumn>
    <tableColumn id="2" name="Result" dataDxfId="316"/>
    <tableColumn id="6" name="Weight" dataDxfId="315" dataCellStyle="Percent">
      <calculatedColumnFormula>SUM(tblNormalTestIM[[#This Row],[Score]],IF(ISNUMBER(OFFSET(tblNormalTestIM[[#This Row],[Score]],1,0)),-OFFSET(tblNormalTestIM[[#This Row],[Score]],1,0),0))</calculatedColumnFormula>
    </tableColumn>
    <tableColumn id="7" name="IM Test Count" dataDxfId="314">
      <calculatedColumnFormula>COUNTIF(tblDistributionTests[Normal B],tblNormalTestIM[[#This Row],[Result]])</calculatedColumnFormula>
    </tableColumn>
    <tableColumn id="8" name="IM Actual Weights" dataDxfId="313" dataCellStyle="Percent">
      <calculatedColumnFormula>tblNormalTestIM[[#This Row],[IM Test Count]]/ROWS(tblDistributionTests[Normal B])</calculatedColumnFormula>
    </tableColumn>
    <tableColumn id="9" name="IM Delta" dataDxfId="312">
      <calculatedColumnFormula>ABS(tblNormalTestIM[[#This Row],[IM Actual Weights]]-tblNormalTestIM[[#This Row],[Weight]])*100</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blDimNameMale" displayName="tblDimNameMale" ref="A1:B59" totalsRowShown="0" headerRowDxfId="311" dataDxfId="310">
  <autoFilter ref="A1:B59"/>
  <tableColumns count="2">
    <tableColumn id="1" name="Score" dataDxfId="309" dataCellStyle="Percent">
      <calculatedColumnFormula>IF(NOT(ISNUMBER(OFFSET(tblDimNameMale[[#This Row],[Score]],-1,0))),1,SUM(OFFSET(tblDimNameMale[[#This Row],[Score]],-1,0),-1/ROWS(tblDimNameMale[Score])))</calculatedColumnFormula>
    </tableColumn>
    <tableColumn id="2" name="NameMale" dataDxfId="308"/>
  </tableColumns>
  <tableStyleInfo name="TableStyleMedium2" showFirstColumn="0" showLastColumn="0" showRowStripes="1" showColumnStripes="0"/>
</table>
</file>

<file path=xl/tables/table9.xml><?xml version="1.0" encoding="utf-8"?>
<table xmlns="http://schemas.openxmlformats.org/spreadsheetml/2006/main" id="9" name="tblDimLastName" displayName="tblDimLastName" ref="G1:H5" totalsRowShown="0" headerRowDxfId="307" dataDxfId="306">
  <autoFilter ref="G1:H5"/>
  <tableColumns count="2">
    <tableColumn id="1" name="Score" dataDxfId="305" dataCellStyle="Percent">
      <calculatedColumnFormula>IF(NOT(ISNUMBER(OFFSET(tblDimLastName[[#This Row],[Score]],-1,0))),1,SUM(OFFSET(tblDimLastName[[#This Row],[Score]],-1,0),-1/ROWS(tblDimLastName[Score])))</calculatedColumnFormula>
    </tableColumn>
    <tableColumn id="2" name="LastName" dataDxfId="304"/>
  </tableColumns>
  <tableStyleInfo name="TableStyleMedium2" showFirstColumn="0" showLastColumn="0" showRowStripes="1" showColumnStripes="0"/>
</table>
</file>

<file path=xl/tables/table10.xml><?xml version="1.0" encoding="utf-8"?>
<table xmlns="http://schemas.openxmlformats.org/spreadsheetml/2006/main" id="10" name="tblDimNameFemale" displayName="tblDimNameFemale" ref="D1:E58" totalsRowShown="0" headerRowDxfId="303" dataDxfId="302">
  <autoFilter ref="D1:E58"/>
  <tableColumns count="2">
    <tableColumn id="1" name="Score" dataDxfId="301" dataCellStyle="Percent">
      <calculatedColumnFormula>IF(NOT(ISNUMBER(OFFSET(tblDimNameFemale[[#This Row],[Score]],-1,0))),1,SUM(OFFSET(tblDimNameFemale[[#This Row],[Score]],-1,0),-1/ROWS(tblDimNameFemale[Score])))</calculatedColumnFormula>
    </tableColumn>
    <tableColumn id="2" name="NameFemale" dataDxfId="300"/>
  </tableColumns>
  <tableStyleInfo name="TableStyleMedium2" showFirstColumn="0" showLastColumn="0" showRowStripes="1" showColumnStripes="0"/>
</table>
</file>

<file path=xl/tables/table11.xml><?xml version="1.0" encoding="utf-8"?>
<table xmlns="http://schemas.openxmlformats.org/spreadsheetml/2006/main" id="11" name="tblDimAppearance" displayName="tblDimAppearance" ref="K1:L21" totalsRowShown="0" headerRowDxfId="299" dataDxfId="298">
  <autoFilter ref="K1:L21"/>
  <tableColumns count="2">
    <tableColumn id="1" name="Score" dataDxfId="297" dataCellStyle="Percent">
      <calculatedColumnFormula>IF(NOT(ISNUMBER(OFFSET(tblDimAppearance[[#This Row],[Score]],-1,0))),1,SUM(OFFSET(tblDimAppearance[[#This Row],[Score]],-1,0),-1/ROWS(tblDimAppearance[Score])))</calculatedColumnFormula>
    </tableColumn>
    <tableColumn id="2" name="Appearance" dataDxfId="296"/>
  </tableColumns>
  <tableStyleInfo name="TableStyleMedium2" showFirstColumn="0" showLastColumn="0" showRowStripes="1" showColumnStripes="0"/>
</table>
</file>

<file path=xl/tables/table12.xml><?xml version="1.0" encoding="utf-8"?>
<table xmlns="http://schemas.openxmlformats.org/spreadsheetml/2006/main" id="12" name="tblDimHighAbility" displayName="tblDimHighAbility" ref="N1:O7" totalsRowShown="0" headerRowDxfId="295" dataDxfId="294">
  <autoFilter ref="N1:O7"/>
  <tableColumns count="2">
    <tableColumn id="1" name="Score" dataDxfId="293" dataCellStyle="Percent">
      <calculatedColumnFormula>IF(NOT(ISNUMBER(OFFSET(tblDimHighAbility[[#This Row],[Score]],-1,0))),1,SUM(OFFSET(tblDimHighAbility[[#This Row],[Score]],-1,0),-1/ROWS(tblDimHighAbility[Score])))</calculatedColumnFormula>
    </tableColumn>
    <tableColumn id="4" name="High Ability" dataDxfId="292"/>
  </tableColumns>
  <tableStyleInfo name="TableStyleMedium2" showFirstColumn="0" showLastColumn="0" showRowStripes="1" showColumnStripes="0"/>
</table>
</file>

<file path=xl/tables/table13.xml><?xml version="1.0" encoding="utf-8"?>
<table xmlns="http://schemas.openxmlformats.org/spreadsheetml/2006/main" id="13" name="tblDimLowAbility" displayName="tblDimLowAbility" ref="N9:O15" totalsRowShown="0" headerRowDxfId="291" dataDxfId="290">
  <autoFilter ref="N9:O15"/>
  <tableColumns count="2">
    <tableColumn id="1" name="Score" dataDxfId="289" dataCellStyle="Percent">
      <calculatedColumnFormula>IF(NOT(ISNUMBER(OFFSET(tblDimLowAbility[[#This Row],[Score]],-1,0))),1,SUM(OFFSET(tblDimLowAbility[[#This Row],[Score]],-1,0),-1/ROWS(tblDimLowAbility[Score])))</calculatedColumnFormula>
    </tableColumn>
    <tableColumn id="4" name="Low Ability" dataDxfId="288"/>
  </tableColumns>
  <tableStyleInfo name="TableStyleMedium2" showFirstColumn="0" showLastColumn="0" showRowStripes="1" showColumnStripes="0"/>
</table>
</file>

<file path=xl/tables/table14.xml><?xml version="1.0" encoding="utf-8"?>
<table xmlns="http://schemas.openxmlformats.org/spreadsheetml/2006/main" id="14" name="tblDimGender" displayName="tblDimGender" ref="A1:B3" totalsRowShown="0" headerRowDxfId="287" dataDxfId="286">
  <autoFilter ref="A1:B3"/>
  <tableColumns count="2">
    <tableColumn id="1" name="Score" dataDxfId="285" dataCellStyle="Percent">
      <calculatedColumnFormula>IF(NOT(ISNUMBER(OFFSET(tblDimGender[[#This Row],[Score]],-1,0))),1,SUM(OFFSET(tblDimGender[[#This Row],[Score]],-1,0),-1/ROWS(tblDimGender[Score])))</calculatedColumnFormula>
    </tableColumn>
    <tableColumn id="2" name="Gender" dataDxfId="284"/>
  </tableColumns>
  <tableStyleInfo name="TableStyleMedium2" showFirstColumn="0" showLastColumn="0" showRowStripes="1" showColumnStripes="0"/>
</table>
</file>

<file path=xl/tables/table15.xml><?xml version="1.0" encoding="utf-8"?>
<table xmlns="http://schemas.openxmlformats.org/spreadsheetml/2006/main" id="15" name="tblDimRace" displayName="tblDimRace" ref="D1:E10" totalsRowShown="0" headerRowDxfId="283" dataDxfId="282">
  <autoFilter ref="D1:E10"/>
  <tableColumns count="2">
    <tableColumn id="1" name="Score" dataDxfId="281" dataCellStyle="Percent">
      <calculatedColumnFormula>1-_xlfn.NORM.DIST(ROW()-ROW(tblDimRace[#Headers]),ROWS(tblDimRace[Score])/2,(ROWS(tblDimRace[Score])/6),TRUE)</calculatedColumnFormula>
    </tableColumn>
    <tableColumn id="2" name="Race" dataDxfId="280"/>
  </tableColumns>
  <tableStyleInfo name="TableStyleMedium2" showFirstColumn="0" showLastColumn="0" showRowStripes="1" showColumnStripes="0"/>
</table>
</file>

<file path=xl/tables/table16.xml><?xml version="1.0" encoding="utf-8"?>
<table xmlns="http://schemas.openxmlformats.org/spreadsheetml/2006/main" id="16" name="tblDimCurrentAge" displayName="tblDimCurrentAge" ref="G1:I7" totalsRowShown="0" headerRowDxfId="279" dataDxfId="278">
  <autoFilter ref="G1:I7"/>
  <tableColumns count="3">
    <tableColumn id="1" name="Score" dataDxfId="277" dataCellStyle="Percent">
      <calculatedColumnFormula>1-_xlfn.NORM.DIST(ROW()-ROW(tblDimCurrentAge[#Headers]),ROWS(tblDimCurrentAge[Score])/2,(ROWS(tblDimCurrentAge[Score])/6),TRUE)</calculatedColumnFormula>
    </tableColumn>
    <tableColumn id="2" name="Current Age" dataDxfId="276"/>
    <tableColumn id="3" name="Life Events" dataDxfId="275"/>
  </tableColumns>
  <tableStyleInfo name="TableStyleMedium2" showFirstColumn="0" showLastColumn="0" showRowStripes="1" showColumnStripes="0"/>
</table>
</file>

<file path=xl/tables/table17.xml><?xml version="1.0" encoding="utf-8"?>
<table xmlns="http://schemas.openxmlformats.org/spreadsheetml/2006/main" id="17" name="tblDimClass" displayName="tblDimClass" ref="A1:B13" totalsRowShown="0" headerRowDxfId="274" dataDxfId="273">
  <autoFilter ref="A1:B13"/>
  <tableColumns count="2">
    <tableColumn id="1" name="Score" dataDxfId="272" dataCellStyle="Percent">
      <calculatedColumnFormula>IF(NOT(ISNUMBER(OFFSET(tblDimClass[[#This Row],[Score]],-1,0))),1,SUM(OFFSET(tblDimClass[[#This Row],[Score]],-1,0),-1/ROWS(tblDimClass[Score])))</calculatedColumnFormula>
    </tableColumn>
    <tableColumn id="2" name="Class" dataDxfId="271"/>
  </tableColumns>
  <tableStyleInfo name="TableStyleMedium2" showFirstColumn="0" showLastColumn="0" showRowStripes="1" showColumnStripes="0"/>
</table>
</file>

<file path=xl/tables/table18.xml><?xml version="1.0" encoding="utf-8"?>
<table xmlns="http://schemas.openxmlformats.org/spreadsheetml/2006/main" id="18" name="tblDimAlignment" displayName="tblDimAlignment" ref="A1:B8" totalsRowShown="0" headerRowDxfId="270" dataDxfId="269">
  <autoFilter ref="A1:B8"/>
  <tableColumns count="2">
    <tableColumn id="1" name="Score" dataDxfId="268" dataCellStyle="Percent">
      <calculatedColumnFormula>1-_xlfn.NORM.DIST(ROW()-ROW(tblDimAlignment[#Headers]),ROWS(tblDimAlignment[Score])/2,(ROWS(tblDimAlignment[Score])/6),TRUE)</calculatedColumnFormula>
    </tableColumn>
    <tableColumn id="2" name="Alignment" dataDxfId="0" dataCellStyle="Normal 2"/>
  </tableColumns>
  <tableStyleInfo name="TableStyleMedium2" showFirstColumn="0" showLastColumn="0" showRowStripes="1" showColumnStripes="0"/>
</table>
</file>

<file path=xl/tables/table19.xml><?xml version="1.0" encoding="utf-8"?>
<table xmlns="http://schemas.openxmlformats.org/spreadsheetml/2006/main" id="19" name="tblDimTalents" displayName="tblDimTalents" ref="M1:N21" totalsRowShown="0" headerRowDxfId="267" dataDxfId="266">
  <autoFilter ref="M1:N21"/>
  <tableColumns count="2">
    <tableColumn id="1" name="Score" dataDxfId="265" dataCellStyle="Percent">
      <calculatedColumnFormula>IF(NOT(ISNUMBER(OFFSET(tblDimTalents[[#This Row],[Score]],-1,0))),1,SUM(OFFSET(tblDimTalents[[#This Row],[Score]],-1,0),-1/ROWS(tblDimTalents[Score])))</calculatedColumnFormula>
    </tableColumn>
    <tableColumn id="2" name="Talents" dataDxfId="264"/>
  </tableColumns>
  <tableStyleInfo name="TableStyleMedium2" showFirstColumn="0" showLastColumn="0" showRowStripes="1" showColumnStripes="0"/>
</table>
</file>

<file path=xl/tables/table20.xml><?xml version="1.0" encoding="utf-8"?>
<table xmlns="http://schemas.openxmlformats.org/spreadsheetml/2006/main" id="20" name="tblDimMannerisms" displayName="tblDimMannerisms" ref="P1:Q23" totalsRowShown="0" headerRowDxfId="263" dataDxfId="262">
  <autoFilter ref="P1:Q23"/>
  <tableColumns count="2">
    <tableColumn id="1" name="Score" dataDxfId="261" dataCellStyle="Percent">
      <calculatedColumnFormula>IF(NOT(ISNUMBER(OFFSET(tblDimMannerisms[[#This Row],[Score]],-1,0))),1,SUM(OFFSET(tblDimMannerisms[[#This Row],[Score]],-1,0),-1/ROWS(tblDimMannerisms[Score])))</calculatedColumnFormula>
    </tableColumn>
    <tableColumn id="2" name="Mannerisms" dataDxfId="260"/>
  </tableColumns>
  <tableStyleInfo name="TableStyleMedium2" showFirstColumn="0" showLastColumn="0" showRowStripes="1" showColumnStripes="0"/>
</table>
</file>

<file path=xl/tables/table21.xml><?xml version="1.0" encoding="utf-8"?>
<table xmlns="http://schemas.openxmlformats.org/spreadsheetml/2006/main" id="21" name="tblDimInteractionTraits" displayName="tblDimInteractionTraits" ref="S1:T13" totalsRowShown="0" headerRowDxfId="259" dataDxfId="258">
  <autoFilter ref="S1:T13"/>
  <tableColumns count="2">
    <tableColumn id="1" name="Score" dataDxfId="257" dataCellStyle="Percent">
      <calculatedColumnFormula>IF(NOT(ISNUMBER(OFFSET(tblDimInteractionTraits[[#This Row],[Score]],-1,0))),1,SUM(OFFSET(tblDimInteractionTraits[[#This Row],[Score]],-1,0),-1/ROWS(tblDimInteractionTraits[Score])))</calculatedColumnFormula>
    </tableColumn>
    <tableColumn id="2" name="InteractionTraits" dataDxfId="256"/>
  </tableColumns>
  <tableStyleInfo name="TableStyleMedium2" showFirstColumn="0" showLastColumn="0" showRowStripes="1" showColumnStripes="0"/>
</table>
</file>

<file path=xl/tables/table22.xml><?xml version="1.0" encoding="utf-8"?>
<table xmlns="http://schemas.openxmlformats.org/spreadsheetml/2006/main" id="22" name="tblDimPersonalityTrait" displayName="tblDimPersonalityTrait" ref="A1:B105" totalsRowShown="0" headerRowDxfId="255" dataDxfId="254">
  <autoFilter ref="A1:B105"/>
  <tableColumns count="2">
    <tableColumn id="1" name="Score" dataDxfId="253" dataCellStyle="Percent">
      <calculatedColumnFormula>IF(NOT(ISNUMBER(OFFSET(tblDimPersonalityTrait[[#This Row],[Score]],-1,0))),1,SUM(OFFSET(tblDimPersonalityTrait[[#This Row],[Score]],-1,0),-1/ROWS(tblDimPersonalityTrait[Score])))</calculatedColumnFormula>
    </tableColumn>
    <tableColumn id="2" name="PersonalityTrait" dataDxfId="252"/>
  </tableColumns>
  <tableStyleInfo name="TableStyleMedium2" showFirstColumn="0" showLastColumn="0" showRowStripes="1" showColumnStripes="0"/>
</table>
</file>

<file path=xl/tables/table23.xml><?xml version="1.0" encoding="utf-8"?>
<table xmlns="http://schemas.openxmlformats.org/spreadsheetml/2006/main" id="23" name="tblDimIdeal" displayName="tblDimIdeal" ref="D1:E79" totalsRowShown="0" headerRowDxfId="251" dataDxfId="250">
  <autoFilter ref="D1:E79"/>
  <tableColumns count="2">
    <tableColumn id="1" name="Score" dataDxfId="249" dataCellStyle="Percent">
      <calculatedColumnFormula>IF(NOT(ISNUMBER(OFFSET(tblDimIdeal[[#This Row],[Score]],-1,0))),1,SUM(OFFSET(tblDimIdeal[[#This Row],[Score]],-1,0),-1/ROWS(tblDimIdeal[Score])))</calculatedColumnFormula>
    </tableColumn>
    <tableColumn id="2" name="Ideal" dataDxfId="248"/>
  </tableColumns>
  <tableStyleInfo name="TableStyleMedium2" showFirstColumn="0" showLastColumn="0" showRowStripes="1" showColumnStripes="0"/>
</table>
</file>

<file path=xl/tables/table24.xml><?xml version="1.0" encoding="utf-8"?>
<table xmlns="http://schemas.openxmlformats.org/spreadsheetml/2006/main" id="24" name="tblDimBond" displayName="tblDimBond" ref="G1:H79" totalsRowShown="0" headerRowDxfId="247" dataDxfId="246">
  <autoFilter ref="G1:H79"/>
  <tableColumns count="2">
    <tableColumn id="1" name="Score" dataDxfId="245" dataCellStyle="Percent">
      <calculatedColumnFormula>IF(NOT(ISNUMBER(OFFSET(tblDimBond[[#This Row],[Score]],-1,0))),1,SUM(OFFSET(tblDimBond[[#This Row],[Score]],-1,0),-1/ROWS(tblDimBond[Score])))</calculatedColumnFormula>
    </tableColumn>
    <tableColumn id="2" name="Bond" dataDxfId="244"/>
  </tableColumns>
  <tableStyleInfo name="TableStyleMedium2" showFirstColumn="0" showLastColumn="0" showRowStripes="1" showColumnStripes="0"/>
</table>
</file>

<file path=xl/tables/table25.xml><?xml version="1.0" encoding="utf-8"?>
<table xmlns="http://schemas.openxmlformats.org/spreadsheetml/2006/main" id="25" name="tblDimFlaw" displayName="tblDimFlaw" ref="J1:K79" totalsRowShown="0" headerRowDxfId="243" dataDxfId="242">
  <autoFilter ref="J1:K79"/>
  <tableColumns count="2">
    <tableColumn id="1" name="Score" dataDxfId="241" dataCellStyle="Percent">
      <calculatedColumnFormula>IF(NOT(ISNUMBER(OFFSET(tblDimFlaw[[#This Row],[Score]],-1,0))),1,SUM(OFFSET(tblDimFlaw[[#This Row],[Score]],-1,0),-1/ROWS(tblDimFlaw[Score])))</calculatedColumnFormula>
    </tableColumn>
    <tableColumn id="2" name="Flaw" dataDxfId="240"/>
  </tableColumns>
  <tableStyleInfo name="TableStyleMedium2" showFirstColumn="0" showLastColumn="0" showRowStripes="1" showColumnStripes="0"/>
</table>
</file>

<file path=xl/tables/table26.xml><?xml version="1.0" encoding="utf-8"?>
<table xmlns="http://schemas.openxmlformats.org/spreadsheetml/2006/main" id="26" name="tblDimBackground" displayName="tblDimBackground" ref="A1:B14" totalsRowShown="0" headerRowDxfId="239" dataDxfId="238">
  <autoFilter ref="A1:B14"/>
  <tableColumns count="2">
    <tableColumn id="1" name="Score" dataDxfId="237" dataCellStyle="Percent">
      <calculatedColumnFormula>IF(NOT(ISNUMBER(OFFSET(tblDimBackground[[#This Row],[Score]],-1,0))),1,SUM(OFFSET(tblDimBackground[[#This Row],[Score]],-1,0),-1/ROWS(tblDimBackground[Score])))</calculatedColumnFormula>
    </tableColumn>
    <tableColumn id="2" name="Background" dataDxfId="236"/>
  </tableColumns>
  <tableStyleInfo name="TableStyleMedium2" showFirstColumn="0" showLastColumn="0" showRowStripes="1" showColumnStripes="0"/>
</table>
</file>

<file path=xl/tables/table27.xml><?xml version="1.0" encoding="utf-8"?>
<table xmlns="http://schemas.openxmlformats.org/spreadsheetml/2006/main" id="27" name="tblDimAcolyteReason" displayName="tblDimAcolyteReason" ref="D1:E7" totalsRowShown="0" headerRowDxfId="235" dataDxfId="234">
  <autoFilter ref="D1:E7"/>
  <tableColumns count="2">
    <tableColumn id="1" name="Score" dataDxfId="233" dataCellStyle="Percent">
      <calculatedColumnFormula>IF(NOT(ISNUMBER(OFFSET(tblDimAcolyteReason[[#This Row],[Score]],-1,0))),1,SUM(OFFSET(tblDimAcolyteReason[[#This Row],[Score]],-1,0),-1/ROWS(tblDimAcolyteReason[Score])))</calculatedColumnFormula>
    </tableColumn>
    <tableColumn id="2" name="I became an acolyte because …" dataDxfId="232"/>
  </tableColumns>
  <tableStyleInfo name="TableStyleMedium2" showFirstColumn="0" showLastColumn="0" showRowStripes="1" showColumnStripes="0"/>
</table>
</file>

<file path=xl/tables/table28.xml><?xml version="1.0" encoding="utf-8"?>
<table xmlns="http://schemas.openxmlformats.org/spreadsheetml/2006/main" id="28" name="tblDimCharlatanReason" displayName="tblDimCharlatanReason" ref="D9:E15" totalsRowShown="0" headerRowDxfId="231" dataDxfId="230">
  <autoFilter ref="D9:E15"/>
  <tableColumns count="2">
    <tableColumn id="1" name="Score" dataDxfId="229" dataCellStyle="Percent">
      <calculatedColumnFormula>IF(NOT(ISNUMBER(OFFSET(tblDimCharlatanReason[[#This Row],[Score]],-1,0))),1,SUM(OFFSET(tblDimCharlatanReason[[#This Row],[Score]],-1,0),-1/ROWS(tblDimCharlatanReason[Score])))</calculatedColumnFormula>
    </tableColumn>
    <tableColumn id="2" name="I became an charlatan because …" dataDxfId="228"/>
  </tableColumns>
  <tableStyleInfo name="TableStyleMedium2" showFirstColumn="0" showLastColumn="0" showRowStripes="1" showColumnStripes="0"/>
</table>
</file>

<file path=xl/tables/table29.xml><?xml version="1.0" encoding="utf-8"?>
<table xmlns="http://schemas.openxmlformats.org/spreadsheetml/2006/main" id="29" name="tblDimOutlanderReason" displayName="tblDimOutlanderReason" ref="G17:H23" totalsRowShown="0" headerRowDxfId="227" dataDxfId="226">
  <autoFilter ref="G17:H23"/>
  <tableColumns count="2">
    <tableColumn id="1" name="Score" dataDxfId="225" dataCellStyle="Percent">
      <calculatedColumnFormula>IF(NOT(ISNUMBER(OFFSET(tblDimOutlanderReason[[#This Row],[Score]],-1,0))),1,SUM(OFFSET(tblDimOutlanderReason[[#This Row],[Score]],-1,0),-1/ROWS(tblDimOutlanderReason[Score])))</calculatedColumnFormula>
    </tableColumn>
    <tableColumn id="2" name="I became an outlander because …" dataDxfId="224"/>
  </tableColumns>
  <tableStyleInfo name="TableStyleMedium2" showFirstColumn="0" showLastColumn="0" showRowStripes="1" showColumnStripes="0"/>
</table>
</file>

<file path=xl/tables/table30.xml><?xml version="1.0" encoding="utf-8"?>
<table xmlns="http://schemas.openxmlformats.org/spreadsheetml/2006/main" id="30" name="tblDimNobleReason" displayName="tblDimNobleReason" ref="G9:H15" totalsRowShown="0" headerRowDxfId="223" dataDxfId="222">
  <autoFilter ref="G9:H15"/>
  <tableColumns count="2">
    <tableColumn id="1" name="Score" dataDxfId="221" dataCellStyle="Percent">
      <calculatedColumnFormula>IF(NOT(ISNUMBER(OFFSET(tblDimNobleReason[[#This Row],[Score]],-1,0))),1,SUM(OFFSET(tblDimNobleReason[[#This Row],[Score]],-1,0),-1/ROWS(tblDimNobleReason[Score])))</calculatedColumnFormula>
    </tableColumn>
    <tableColumn id="2" name="I became a noble because …" dataDxfId="220"/>
  </tableColumns>
  <tableStyleInfo name="TableStyleMedium2" showFirstColumn="0" showLastColumn="0" showRowStripes="1" showColumnStripes="0"/>
</table>
</file>

<file path=xl/tables/table31.xml><?xml version="1.0" encoding="utf-8"?>
<table xmlns="http://schemas.openxmlformats.org/spreadsheetml/2006/main" id="31" name="tblDimHermitReason" displayName="tblDimHermitReason" ref="G1:H7" totalsRowShown="0" headerRowDxfId="219" dataDxfId="218">
  <autoFilter ref="G1:H7"/>
  <tableColumns count="2">
    <tableColumn id="1" name="Score" dataDxfId="217" dataCellStyle="Percent">
      <calculatedColumnFormula>IF(NOT(ISNUMBER(OFFSET(tblDimHermitReason[[#This Row],[Score]],-1,0))),1,SUM(OFFSET(tblDimHermitReason[[#This Row],[Score]],-1,0),-1/ROWS(tblDimHermitReason[Score])))</calculatedColumnFormula>
    </tableColumn>
    <tableColumn id="2" name="I became a hermit because …" dataDxfId="216"/>
  </tableColumns>
  <tableStyleInfo name="TableStyleMedium2" showFirstColumn="0" showLastColumn="0" showRowStripes="1" showColumnStripes="0"/>
</table>
</file>

<file path=xl/tables/table32.xml><?xml version="1.0" encoding="utf-8"?>
<table xmlns="http://schemas.openxmlformats.org/spreadsheetml/2006/main" id="32" name="tblDimGuildArtisanReason" displayName="tblDimGuildArtisanReason" ref="D41:E47" totalsRowShown="0" headerRowDxfId="215" dataDxfId="214">
  <autoFilter ref="D41:E47"/>
  <tableColumns count="2">
    <tableColumn id="1" name="Score" dataDxfId="213" dataCellStyle="Percent">
      <calculatedColumnFormula>IF(NOT(ISNUMBER(OFFSET(tblDimGuildArtisanReason[[#This Row],[Score]],-1,0))),1,SUM(OFFSET(tblDimGuildArtisanReason[[#This Row],[Score]],-1,0),-1/ROWS(tblDimGuildArtisanReason[Score])))</calculatedColumnFormula>
    </tableColumn>
    <tableColumn id="2" name="I became a guild artisan because …" dataDxfId="212"/>
  </tableColumns>
  <tableStyleInfo name="TableStyleMedium2" showFirstColumn="0" showLastColumn="0" showRowStripes="1" showColumnStripes="0"/>
</table>
</file>

<file path=xl/tables/table33.xml><?xml version="1.0" encoding="utf-8"?>
<table xmlns="http://schemas.openxmlformats.org/spreadsheetml/2006/main" id="33" name="tblDimFolkHeroReason" displayName="tblDimFolkHeroReason" ref="D33:E39" totalsRowShown="0" headerRowDxfId="211" dataDxfId="210">
  <autoFilter ref="D33:E39"/>
  <tableColumns count="2">
    <tableColumn id="1" name="Score" dataDxfId="209" dataCellStyle="Percent">
      <calculatedColumnFormula>IF(NOT(ISNUMBER(OFFSET(tblDimFolkHeroReason[[#This Row],[Score]],-1,0))),1,SUM(OFFSET(tblDimFolkHeroReason[[#This Row],[Score]],-1,0),-1/ROWS(tblDimFolkHeroReason[Score])))</calculatedColumnFormula>
    </tableColumn>
    <tableColumn id="2" name="I became a folk hero because …" dataDxfId="208"/>
  </tableColumns>
  <tableStyleInfo name="TableStyleMedium2" showFirstColumn="0" showLastColumn="0" showRowStripes="1" showColumnStripes="0"/>
</table>
</file>

<file path=xl/tables/table34.xml><?xml version="1.0" encoding="utf-8"?>
<table xmlns="http://schemas.openxmlformats.org/spreadsheetml/2006/main" id="34" name="tblDimEntertainerReason" displayName="tblDimEntertainerReason" ref="D25:E31" totalsRowShown="0" headerRowDxfId="207" dataDxfId="206">
  <autoFilter ref="D25:E31"/>
  <tableColumns count="2">
    <tableColumn id="1" name="Score" dataDxfId="205" dataCellStyle="Percent">
      <calculatedColumnFormula>IF(NOT(ISNUMBER(OFFSET(tblDimEntertainerReason[[#This Row],[Score]],-1,0))),1,SUM(OFFSET(tblDimEntertainerReason[[#This Row],[Score]],-1,0),-1/ROWS(tblDimEntertainerReason[Score])))</calculatedColumnFormula>
    </tableColumn>
    <tableColumn id="2" name="I became an entertainer because …" dataDxfId="204"/>
  </tableColumns>
  <tableStyleInfo name="TableStyleMedium2" showFirstColumn="0" showLastColumn="0" showRowStripes="1" showColumnStripes="0"/>
</table>
</file>

<file path=xl/tables/table35.xml><?xml version="1.0" encoding="utf-8"?>
<table xmlns="http://schemas.openxmlformats.org/spreadsheetml/2006/main" id="35" name="tblDimCriminalReason" displayName="tblDimCriminalReason" ref="D17:E23" totalsRowShown="0" headerRowDxfId="203" dataDxfId="202">
  <autoFilter ref="D17:E23"/>
  <tableColumns count="2">
    <tableColumn id="1" name="Score" dataDxfId="201" dataCellStyle="Percent">
      <calculatedColumnFormula>IF(NOT(ISNUMBER(OFFSET(tblDimCriminalReason[[#This Row],[Score]],-1,0))),1,SUM(OFFSET(tblDimCriminalReason[[#This Row],[Score]],-1,0),-1/ROWS(tblDimCriminalReason[Score])))</calculatedColumnFormula>
    </tableColumn>
    <tableColumn id="2" name="I became an criminal because …" dataDxfId="200"/>
  </tableColumns>
  <tableStyleInfo name="TableStyleMedium2" showFirstColumn="0" showLastColumn="0" showRowStripes="1" showColumnStripes="0"/>
</table>
</file>

<file path=xl/tables/table36.xml><?xml version="1.0" encoding="utf-8"?>
<table xmlns="http://schemas.openxmlformats.org/spreadsheetml/2006/main" id="36" name="tblDimUrchinReason" displayName="tblDimUrchinReason" ref="J1:K7" totalsRowShown="0" headerRowDxfId="199" dataDxfId="198">
  <autoFilter ref="J1:K7"/>
  <tableColumns count="2">
    <tableColumn id="1" name="Score" dataDxfId="197" dataCellStyle="Percent">
      <calculatedColumnFormula>IF(NOT(ISNUMBER(OFFSET(tblDimUrchinReason[[#This Row],[Score]],-1,0))),1,SUM(OFFSET(tblDimUrchinReason[[#This Row],[Score]],-1,0),-1/ROWS(tblDimUrchinReason[Score])))</calculatedColumnFormula>
    </tableColumn>
    <tableColumn id="2" name="I became an urchin because …" dataDxfId="196"/>
  </tableColumns>
  <tableStyleInfo name="TableStyleMedium2" showFirstColumn="0" showLastColumn="0" showRowStripes="1" showColumnStripes="0"/>
</table>
</file>

<file path=xl/tables/table37.xml><?xml version="1.0" encoding="utf-8"?>
<table xmlns="http://schemas.openxmlformats.org/spreadsheetml/2006/main" id="37" name="tblDimSoldierReason" displayName="tblDimSoldierReason" ref="G41:H47" totalsRowShown="0" headerRowDxfId="195" dataDxfId="194">
  <autoFilter ref="G41:H47"/>
  <tableColumns count="2">
    <tableColumn id="1" name="Score" dataDxfId="193" dataCellStyle="Percent">
      <calculatedColumnFormula>IF(NOT(ISNUMBER(OFFSET(tblDimSoldierReason[[#This Row],[Score]],-1,0))),1,SUM(OFFSET(tblDimSoldierReason[[#This Row],[Score]],-1,0),-1/ROWS(tblDimSoldierReason[Score])))</calculatedColumnFormula>
    </tableColumn>
    <tableColumn id="2" name="I became a soldier because …" dataDxfId="192"/>
  </tableColumns>
  <tableStyleInfo name="TableStyleMedium2" showFirstColumn="0" showLastColumn="0" showRowStripes="1" showColumnStripes="0"/>
</table>
</file>

<file path=xl/tables/table38.xml><?xml version="1.0" encoding="utf-8"?>
<table xmlns="http://schemas.openxmlformats.org/spreadsheetml/2006/main" id="38" name="tblDimSailorReason" displayName="tblDimSailorReason" ref="G33:H39" totalsRowShown="0" headerRowDxfId="191" dataDxfId="190">
  <autoFilter ref="G33:H39"/>
  <tableColumns count="2">
    <tableColumn id="1" name="Score" dataDxfId="189" dataCellStyle="Percent">
      <calculatedColumnFormula>IF(NOT(ISNUMBER(OFFSET(tblDimSailorReason[[#This Row],[Score]],-1,0))),1,SUM(OFFSET(tblDimSailorReason[[#This Row],[Score]],-1,0),-1/ROWS(tblDimSailorReason[Score])))</calculatedColumnFormula>
    </tableColumn>
    <tableColumn id="2" name="I became a sailor because …" dataDxfId="188"/>
  </tableColumns>
  <tableStyleInfo name="TableStyleMedium2" showFirstColumn="0" showLastColumn="0" showRowStripes="1" showColumnStripes="0"/>
</table>
</file>

<file path=xl/tables/table39.xml><?xml version="1.0" encoding="utf-8"?>
<table xmlns="http://schemas.openxmlformats.org/spreadsheetml/2006/main" id="39" name="tblDimSageReason" displayName="tblDimSageReason" ref="G25:H31" totalsRowShown="0" headerRowDxfId="187" dataDxfId="186">
  <autoFilter ref="G25:H31"/>
  <tableColumns count="2">
    <tableColumn id="1" name="Score" dataDxfId="185" dataCellStyle="Percent">
      <calculatedColumnFormula>IF(NOT(ISNUMBER(OFFSET(tblDimSageReason[[#This Row],[Score]],-1,0))),1,SUM(OFFSET(tblDimSageReason[[#This Row],[Score]],-1,0),-1/ROWS(tblDimSageReason[Score])))</calculatedColumnFormula>
    </tableColumn>
    <tableColumn id="2" name="I became a sage because …" dataDxfId="184"/>
  </tableColumns>
  <tableStyleInfo name="TableStyleMedium2" showFirstColumn="0" showLastColumn="0" showRowStripes="1" showColumnStripes="0"/>
</table>
</file>

<file path=xl/tables/table40.xml><?xml version="1.0" encoding="utf-8"?>
<table xmlns="http://schemas.openxmlformats.org/spreadsheetml/2006/main" id="40" name="tblDimParentsKnown" displayName="tblDimParentsKnown" ref="A1:B3" totalsRowShown="0" headerRowDxfId="183" dataDxfId="182">
  <autoFilter ref="A1:B3"/>
  <tableColumns count="2">
    <tableColumn id="1" name="Score" dataDxfId="181" dataCellStyle="Percent"/>
    <tableColumn id="2" name="Parents Known" dataDxfId="180"/>
  </tableColumns>
  <tableStyleInfo name="TableStyleMedium2" showFirstColumn="0" showLastColumn="0" showRowStripes="1" showColumnStripes="0"/>
</table>
</file>

<file path=xl/tables/table41.xml><?xml version="1.0" encoding="utf-8"?>
<table xmlns="http://schemas.openxmlformats.org/spreadsheetml/2006/main" id="41" name="tblDimBirthplace" displayName="tblDimBirthplace" ref="D1:E24" totalsRowShown="0" headerRowDxfId="179" dataDxfId="178">
  <autoFilter ref="D1:E24"/>
  <tableColumns count="2">
    <tableColumn id="1" name="Score" dataDxfId="177" dataCellStyle="Percent">
      <calculatedColumnFormula>IF(NOT(ISNUMBER(OFFSET(tblDimBirthplace[[#This Row],[Score]],-1,0))),1,SUM(OFFSET(tblDimBirthplace[[#This Row],[Score]],-1,0),-1/ROWS(tblDimBirthplace[Score])))</calculatedColumnFormula>
    </tableColumn>
    <tableColumn id="2" name="Birthplace" dataDxfId="176"/>
  </tableColumns>
  <tableStyleInfo name="TableStyleMedium2" showFirstColumn="0" showLastColumn="0" showRowStripes="1" showColumnStripes="0"/>
</table>
</file>

<file path=xl/tables/table42.xml><?xml version="1.0" encoding="utf-8"?>
<table xmlns="http://schemas.openxmlformats.org/spreadsheetml/2006/main" id="42" name="tblDimNumberOfSiblings" displayName="tblDimNumberOfSiblings" ref="G1:H6" totalsRowShown="0" headerRowDxfId="175" dataDxfId="174">
  <autoFilter ref="G1:H6"/>
  <tableColumns count="2">
    <tableColumn id="1" name="Score" dataDxfId="173" dataCellStyle="Percent">
      <calculatedColumnFormula>1-_xlfn.NORM.DIST(ROW()-ROW(tblDimNumberOfSiblings[#Headers]),ROWS(tblDimNumberOfSiblings[Score])/2,(ROWS(tblDimNumberOfSiblings[Score])/6),TRUE)</calculatedColumnFormula>
    </tableColumn>
    <tableColumn id="2" name="Number of Siblings" dataDxfId="172"/>
  </tableColumns>
  <tableStyleInfo name="TableStyleMedium2" showFirstColumn="0" showLastColumn="0" showRowStripes="1" showColumnStripes="0"/>
</table>
</file>

<file path=xl/tables/table43.xml><?xml version="1.0" encoding="utf-8"?>
<table xmlns="http://schemas.openxmlformats.org/spreadsheetml/2006/main" id="43" name="tblDimFamily" displayName="tblDimFamily" ref="J1:K12" totalsRowShown="0" headerRowDxfId="171" dataDxfId="170">
  <autoFilter ref="J1:K12"/>
  <tableColumns count="2">
    <tableColumn id="1" name="Score" dataDxfId="169" dataCellStyle="Percent">
      <calculatedColumnFormula>IF(NOT(ISNUMBER(OFFSET(tblDimFamily[[#This Row],[Score]],-1,0))),1,SUM(OFFSET(tblDimFamily[[#This Row],[Score]],-1,0),-1/ROWS(tblDimFamily[Score])))</calculatedColumnFormula>
    </tableColumn>
    <tableColumn id="2" name="Family" dataDxfId="168"/>
  </tableColumns>
  <tableStyleInfo name="TableStyleMedium2" showFirstColumn="0" showLastColumn="0" showRowStripes="1" showColumnStripes="0"/>
</table>
</file>

<file path=xl/tables/table44.xml><?xml version="1.0" encoding="utf-8"?>
<table xmlns="http://schemas.openxmlformats.org/spreadsheetml/2006/main" id="44" name="tblDimAbsentParent" displayName="tblDimAbsentParent" ref="A5:B9" totalsRowShown="0" headerRowDxfId="167" dataDxfId="166">
  <autoFilter ref="A5:B9"/>
  <tableColumns count="2">
    <tableColumn id="1" name="Score" dataDxfId="165" dataCellStyle="Percent">
      <calculatedColumnFormula>IF(NOT(ISNUMBER(OFFSET(tblDimAbsentParent[[#This Row],[Score]],-1,0))),1,SUM(OFFSET(tblDimAbsentParent[[#This Row],[Score]],-1,0),-1/ROWS(tblDimAbsentParent[Score])))</calculatedColumnFormula>
    </tableColumn>
    <tableColumn id="2" name="Absent Parent" dataDxfId="164"/>
  </tableColumns>
  <tableStyleInfo name="TableStyleMedium2" showFirstColumn="0" showLastColumn="0" showRowStripes="1" showColumnStripes="0"/>
</table>
</file>

<file path=xl/tables/table45.xml><?xml version="1.0" encoding="utf-8"?>
<table xmlns="http://schemas.openxmlformats.org/spreadsheetml/2006/main" id="45" name="tblDimLifestyle" displayName="tblDimLifestyle" ref="M1:N8" totalsRowShown="0" headerRowDxfId="163" dataDxfId="162">
  <autoFilter ref="M1:N8"/>
  <tableColumns count="2">
    <tableColumn id="1" name="Score" dataDxfId="161" dataCellStyle="Percent">
      <calculatedColumnFormula>1-_xlfn.NORM.DIST(ROW()-ROW(tblDimLifestyle[#Headers]),ROWS(tblDimLifestyle[Score])/2,(ROWS(tblDimLifestyle[Score])/6),TRUE)</calculatedColumnFormula>
    </tableColumn>
    <tableColumn id="2" name="Lifestyle" dataDxfId="160"/>
  </tableColumns>
  <tableStyleInfo name="TableStyleMedium2" showFirstColumn="0" showLastColumn="0" showRowStripes="1" showColumnStripes="0"/>
</table>
</file>

<file path=xl/tables/table46.xml><?xml version="1.0" encoding="utf-8"?>
<table xmlns="http://schemas.openxmlformats.org/spreadsheetml/2006/main" id="46" name="tblDimChildhoodHome" displayName="tblDimChildhoodHome" ref="P1:Q10" totalsRowShown="0" headerRowDxfId="159" dataDxfId="158">
  <autoFilter ref="P1:Q10"/>
  <tableColumns count="2">
    <tableColumn id="1" name="Score" dataDxfId="157" dataCellStyle="Percent">
      <calculatedColumnFormula>1-_xlfn.NORM.DIST(ROW()-ROW(tblDimChildhoodHome[#Headers]),ROWS(tblDimChildhoodHome[Score])/2,(ROWS(tblDimChildhoodHome[Score])/6),TRUE)</calculatedColumnFormula>
    </tableColumn>
    <tableColumn id="2" name="Childhood Home" dataDxfId="156"/>
  </tableColumns>
  <tableStyleInfo name="TableStyleMedium2" showFirstColumn="0" showLastColumn="0" showRowStripes="1" showColumnStripes="0"/>
</table>
</file>

<file path=xl/tables/table47.xml><?xml version="1.0" encoding="utf-8"?>
<table xmlns="http://schemas.openxmlformats.org/spreadsheetml/2006/main" id="47" name="tblDimChildhoodMemory" displayName="tblDimChildhoodMemory" ref="J14:K21" totalsRowShown="0" headerRowDxfId="155" dataDxfId="154">
  <autoFilter ref="J14:K21"/>
  <tableColumns count="2">
    <tableColumn id="1" name="Score" dataDxfId="153" dataCellStyle="Percent">
      <calculatedColumnFormula>IF(NOT(ISNUMBER(OFFSET(tblDimChildhoodMemory[[#This Row],[Score]],-1,0))),1,SUM(OFFSET(tblDimChildhoodMemory[[#This Row],[Score]],-1,0),-1/ROWS(tblDimChildhoodMemory[Score])))</calculatedColumnFormula>
    </tableColumn>
    <tableColumn id="2" name="Childhood Memory" dataDxfId="152"/>
  </tableColumns>
  <tableStyleInfo name="TableStyleMedium2" showFirstColumn="0" showLastColumn="0" showRowStripes="1" showColumnStripes="0"/>
</table>
</file>

<file path=xl/tables/table48.xml><?xml version="1.0" encoding="utf-8"?>
<table xmlns="http://schemas.openxmlformats.org/spreadsheetml/2006/main" id="48" name="tblDimLifeEvent" displayName="tblDimLifeEvent" ref="A1:C14" totalsRowShown="0" headerRowDxfId="151" dataDxfId="150">
  <autoFilter ref="A1:C14"/>
  <tableColumns count="3">
    <tableColumn id="1" name="Score" dataDxfId="149" dataCellStyle="Percent">
      <calculatedColumnFormula>IF(NOT(ISNUMBER(OFFSET(tblDimLifeEvent[[#This Row],[Score]],-1,0))),1,SUM(OFFSET(tblDimLifeEvent[[#This Row],[Score]],-1,0),-1/ROWS(tblDimLifeEvent[Score])))</calculatedColumnFormula>
    </tableColumn>
    <tableColumn id="2" name="Life Event" dataDxfId="148"/>
    <tableColumn id="3" name="Secondary Table" dataDxfId="147"/>
  </tableColumns>
  <tableStyleInfo name="TableStyleMedium2" showFirstColumn="0" showLastColumn="0" showRowStripes="1" showColumnStripes="0"/>
</table>
</file>

<file path=xl/tables/table49.xml><?xml version="1.0" encoding="utf-8"?>
<table xmlns="http://schemas.openxmlformats.org/spreadsheetml/2006/main" id="49" name="tblDimAdventures" displayName="tblDimAdventures" ref="E1:F12" totalsRowShown="0" headerRowDxfId="146" dataDxfId="145">
  <autoFilter ref="E1:F12"/>
  <tableColumns count="2">
    <tableColumn id="1" name="Score" dataDxfId="144" dataCellStyle="Percent">
      <calculatedColumnFormula>IF(NOT(ISNUMBER(OFFSET(tblDimAdventures[[#This Row],[Score]],-1,0))),1,SUM(OFFSET(tblDimAdventures[[#This Row],[Score]],-1,0),-1/ROWS(tblDimAdventures[Score])))</calculatedColumnFormula>
    </tableColumn>
    <tableColumn id="2" name="Adventures" dataDxfId="143"/>
  </tableColumns>
  <tableStyleInfo name="TableStyleMedium2" showFirstColumn="0" showLastColumn="0" showRowStripes="1" showColumnStripes="0"/>
</table>
</file>

<file path=xl/tables/table50.xml><?xml version="1.0" encoding="utf-8"?>
<table xmlns="http://schemas.openxmlformats.org/spreadsheetml/2006/main" id="50" name="tblDimTragedies" displayName="tblDimTragedies" ref="H18:I29" totalsRowShown="0" headerRowDxfId="142" dataDxfId="141">
  <autoFilter ref="H18:I29"/>
  <tableColumns count="2">
    <tableColumn id="1" name="Score" dataDxfId="140" dataCellStyle="Percent">
      <calculatedColumnFormula>IF(NOT(ISNUMBER(OFFSET(tblDimTragedies[[#This Row],[Score]],-1,0))),1,SUM(OFFSET(tblDimTragedies[[#This Row],[Score]],-1,0),-1/ROWS(tblDimTragedies[Score])))</calculatedColumnFormula>
    </tableColumn>
    <tableColumn id="2" name="Tragedies" dataDxfId="139"/>
  </tableColumns>
  <tableStyleInfo name="TableStyleMedium2" showFirstColumn="0" showLastColumn="0" showRowStripes="1" showColumnStripes="0"/>
</table>
</file>

<file path=xl/tables/table51.xml><?xml version="1.0" encoding="utf-8"?>
<table xmlns="http://schemas.openxmlformats.org/spreadsheetml/2006/main" id="51" name="tblDimSupernaturalEvents" displayName="tblDimSupernaturalEvents" ref="H1:I16" totalsRowShown="0" headerRowDxfId="138" dataDxfId="137">
  <autoFilter ref="H1:I16"/>
  <tableColumns count="2">
    <tableColumn id="1" name="Score" dataDxfId="136" dataCellStyle="Percent">
      <calculatedColumnFormula>IF(NOT(ISNUMBER(OFFSET(tblDimSupernaturalEvents[[#This Row],[Score]],-1,0))),1,SUM(OFFSET(tblDimSupernaturalEvents[[#This Row],[Score]],-1,0),-1/ROWS(tblDimSupernaturalEvents[Score])))</calculatedColumnFormula>
    </tableColumn>
    <tableColumn id="2" name="Event" dataDxfId="135"/>
  </tableColumns>
  <tableStyleInfo name="TableStyleMedium2" showFirstColumn="0" showLastColumn="0" showRowStripes="1" showColumnStripes="0"/>
</table>
</file>

<file path=xl/tables/table52.xml><?xml version="1.0" encoding="utf-8"?>
<table xmlns="http://schemas.openxmlformats.org/spreadsheetml/2006/main" id="52" name="tblDimPunishments" displayName="tblDimPunishments" ref="E38:F42" totalsRowShown="0" headerRowDxfId="134" dataDxfId="133">
  <autoFilter ref="E38:F42"/>
  <tableColumns count="2">
    <tableColumn id="1" name="Score" dataDxfId="132" dataCellStyle="Percent">
      <calculatedColumnFormula>IF(NOT(ISNUMBER(OFFSET(tblDimPunishments[[#This Row],[Score]],-1,0))),1,SUM(OFFSET(tblDimPunishments[[#This Row],[Score]],-1,0),-1/ROWS(tblDimPunishments[Score])))</calculatedColumnFormula>
    </tableColumn>
    <tableColumn id="2" name="Punishment" dataDxfId="131"/>
  </tableColumns>
  <tableStyleInfo name="TableStyleMedium2" showFirstColumn="0" showLastColumn="0" showRowStripes="1" showColumnStripes="0"/>
</table>
</file>

<file path=xl/tables/table53.xml><?xml version="1.0" encoding="utf-8"?>
<table xmlns="http://schemas.openxmlformats.org/spreadsheetml/2006/main" id="53" name="tblDimCrimes" displayName="tblDimCrimes" ref="A31:C39" totalsRowShown="0" headerRowDxfId="130" dataDxfId="129">
  <autoFilter ref="A31:C39"/>
  <tableColumns count="3">
    <tableColumn id="1" name="Score" dataDxfId="128" dataCellStyle="Percent">
      <calculatedColumnFormula>1-_xlfn.NORM.DIST(ROW()-ROW(tblDimCrimes[#Headers]),ROWS(tblDimCrimes[Score])/2,(ROWS(tblDimCrimes[Score])/6),TRUE)</calculatedColumnFormula>
    </tableColumn>
    <tableColumn id="2" name="Crime" dataDxfId="127"/>
    <tableColumn id="3" name="Secondary Table" dataDxfId="126"/>
  </tableColumns>
  <tableStyleInfo name="TableStyleMedium2" showFirstColumn="0" showLastColumn="0" showRowStripes="1" showColumnStripes="0"/>
</table>
</file>

<file path=xl/tables/table54.xml><?xml version="1.0" encoding="utf-8"?>
<table xmlns="http://schemas.openxmlformats.org/spreadsheetml/2006/main" id="54" name="tblDimBoons" displayName="tblDimBoons" ref="E26:F36" totalsRowShown="0" headerRowDxfId="125" dataDxfId="124">
  <autoFilter ref="E26:F36"/>
  <tableColumns count="2">
    <tableColumn id="1" name="Score" dataDxfId="123" dataCellStyle="Percent">
      <calculatedColumnFormula>IF(NOT(ISNUMBER(OFFSET(tblDimBoons[[#This Row],[Score]],-1,0))),1,SUM(OFFSET(tblDimBoons[[#This Row],[Score]],-1,0),-1/ROWS(tblDimBoons[Score])))</calculatedColumnFormula>
    </tableColumn>
    <tableColumn id="2" name="Boon" dataDxfId="122"/>
  </tableColumns>
  <tableStyleInfo name="TableStyleMedium2" showFirstColumn="0" showLastColumn="0" showRowStripes="1" showColumnStripes="0"/>
</table>
</file>

<file path=xl/tables/table55.xml><?xml version="1.0" encoding="utf-8"?>
<table xmlns="http://schemas.openxmlformats.org/spreadsheetml/2006/main" id="55" name="tblDimArcaneMatters" displayName="tblDimArcaneMatters" ref="E14:F24" totalsRowShown="0" headerRowDxfId="121" dataDxfId="120">
  <autoFilter ref="E14:F24"/>
  <tableColumns count="2">
    <tableColumn id="1" name="Score" dataDxfId="119" dataCellStyle="Percent">
      <calculatedColumnFormula>IF(NOT(ISNUMBER(OFFSET(tblDimArcaneMatters[[#This Row],[Score]],-1,0))),1,SUM(OFFSET(tblDimArcaneMatters[[#This Row],[Score]],-1,0),-1/ROWS(tblDimArcaneMatters[Score])))</calculatedColumnFormula>
    </tableColumn>
    <tableColumn id="2" name="Magical Effect" dataDxfId="118"/>
  </tableColumns>
  <tableStyleInfo name="TableStyleMedium2" showFirstColumn="0" showLastColumn="0" showRowStripes="1" showColumnStripes="0"/>
</table>
</file>

<file path=xl/tables/table56.xml><?xml version="1.0" encoding="utf-8"?>
<table xmlns="http://schemas.openxmlformats.org/spreadsheetml/2006/main" id="56" name="tblDimCauseOfDeath" displayName="tblDimCauseOfDeath" ref="H31:I42" totalsRowShown="0" headerRowDxfId="117" dataDxfId="116">
  <autoFilter ref="H31:I42"/>
  <tableColumns count="2">
    <tableColumn id="1" name="Score" dataDxfId="115" dataCellStyle="Percent">
      <calculatedColumnFormula>IF(NOT(ISNUMBER(OFFSET(tblDimCauseOfDeath[[#This Row],[Score]],-1,0))),1,SUM(OFFSET(tblDimCauseOfDeath[[#This Row],[Score]],-1,0),-1/ROWS(tblDimCauseOfDeath[Score])))</calculatedColumnFormula>
    </tableColumn>
    <tableColumn id="2" name="Cause of Death" dataDxfId="114"/>
  </tableColumns>
  <tableStyleInfo name="TableStyleMedium2" showFirstColumn="0" showLastColumn="0" showRowStripes="1" showColumnStripes="0"/>
</table>
</file>

<file path=xl/tables/table57.xml><?xml version="1.0" encoding="utf-8"?>
<table xmlns="http://schemas.openxmlformats.org/spreadsheetml/2006/main" id="57" name="tblDimStatus" displayName="tblDimStatus" ref="K1:L8" totalsRowShown="0" headerRowDxfId="113" dataDxfId="112">
  <autoFilter ref="K1:L8"/>
  <tableColumns count="2">
    <tableColumn id="1" name="Score" dataDxfId="111" dataCellStyle="Percent">
      <calculatedColumnFormula>IF(NOT(ISNUMBER(OFFSET(tblDimStatus[[#This Row],[Score]],-1,0))),1,SUM(OFFSET(tblDimStatus[[#This Row],[Score]],-1,0),-1/ROWS(tblDimStatus[Score])))</calculatedColumnFormula>
    </tableColumn>
    <tableColumn id="2" name="Status" dataDxfId="110"/>
  </tableColumns>
  <tableStyleInfo name="TableStyleMedium2" showFirstColumn="0" showLastColumn="0" showRowStripes="1" showColumnStripes="0"/>
</table>
</file>

<file path=xl/tables/table58.xml><?xml version="1.0" encoding="utf-8"?>
<table xmlns="http://schemas.openxmlformats.org/spreadsheetml/2006/main" id="58" name="tblDimImageUrl" displayName="tblDimImageUrl" ref="A1:B2" totalsRowShown="0" headerRowDxfId="109" dataDxfId="108">
  <autoFilter ref="A1:B2"/>
  <tableColumns count="2">
    <tableColumn id="1" name="Score" dataDxfId="6" dataCellStyle="Percent">
      <calculatedColumnFormula>IF(NOT(ISNUMBER(OFFSET(tblDimImageUrl[[#This Row],[Score]],-1,0))),1,SUM(OFFSET(tblDimImageUrl[[#This Row],[Score]],-1,0),-1/ROWS(tblDimImageUrl[Score])))</calculatedColumnFormula>
    </tableColumn>
    <tableColumn id="2" name="ImageURL" dataDxfId="107"/>
  </tableColumns>
  <tableStyleInfo name="TableStyleMedium2" showFirstColumn="0" showLastColumn="0" showRowStripes="1" showColumnStripes="0"/>
</table>
</file>

<file path=xl/tables/table59.xml><?xml version="1.0" encoding="utf-8"?>
<table xmlns="http://schemas.openxmlformats.org/spreadsheetml/2006/main" id="59" name="tblDimBaseStatBlock" displayName="tblDimBaseStatBlock" ref="A1:B2" totalsRowShown="0" headerRowDxfId="106" dataDxfId="105">
  <autoFilter ref="A1:B2"/>
  <tableColumns count="2">
    <tableColumn id="1" name="Score" dataDxfId="15" dataCellStyle="Percent">
      <calculatedColumnFormula>IF(NOT(ISNUMBER(OFFSET(tblDimBaseStatBlock[[#This Row],[Score]],-1,0))),1,SUM(OFFSET(tblDimBaseStatBlock[[#This Row],[Score]],-1,0),-1/ROWS(tblDimBaseStatBlock[Score])))</calculatedColumnFormula>
    </tableColumn>
    <tableColumn id="2" name="BaseStatBlock" dataDxfId="104"/>
  </tableColumns>
  <tableStyleInfo name="TableStyleMedium2" showFirstColumn="0" showLastColumn="0" showRowStripes="1" showColumnStripes="0"/>
</table>
</file>

<file path=xl/tables/table60.xml><?xml version="1.0" encoding="utf-8"?>
<table xmlns="http://schemas.openxmlformats.org/spreadsheetml/2006/main" id="60" name="tblDimOrcNameMale" displayName="tblDimOrcNameMale" ref="A1:B13" totalsRowShown="0" headerRowDxfId="103" dataDxfId="102">
  <autoFilter ref="A1:B13"/>
  <tableColumns count="2">
    <tableColumn id="1" name="Score" dataDxfId="101" dataCellStyle="Percent"/>
    <tableColumn id="2" name="OrcNameMale" dataDxfId="100"/>
  </tableColumns>
  <tableStyleInfo name="TableStyleMedium2" showFirstColumn="0" showLastColumn="0" showRowStripes="1" showColumnStripes="0"/>
</table>
</file>

<file path=xl/tables/table61.xml><?xml version="1.0" encoding="utf-8"?>
<table xmlns="http://schemas.openxmlformats.org/spreadsheetml/2006/main" id="61" name="tblDimOrcLastName" displayName="tblDimOrcLastName" ref="G1:H13" totalsRowShown="0" headerRowDxfId="99" dataDxfId="98">
  <autoFilter ref="G1:H13"/>
  <tableColumns count="2">
    <tableColumn id="1" name="Score" dataDxfId="8" dataCellStyle="Percent">
      <calculatedColumnFormula>IF(NOT(ISNUMBER(OFFSET(tblDimOrcLastName[[#This Row],[Score]],-1,0))),1,SUM(OFFSET(tblDimOrcLastName[[#This Row],[Score]],-1,0),-1/ROWS(tblDimOrcLastName[Score])))</calculatedColumnFormula>
    </tableColumn>
    <tableColumn id="2" name="Orc Last Name" dataDxfId="97"/>
  </tableColumns>
  <tableStyleInfo name="TableStyleMedium2" showFirstColumn="0" showLastColumn="0" showRowStripes="1" showColumnStripes="0"/>
</table>
</file>

<file path=xl/tables/table62.xml><?xml version="1.0" encoding="utf-8"?>
<table xmlns="http://schemas.openxmlformats.org/spreadsheetml/2006/main" id="62" name="tblDimOrcPersonalityTrait" displayName="tblDimOrcPersonalityTrait" ref="J1:K7" totalsRowShown="0" headerRowDxfId="96" dataDxfId="95">
  <autoFilter ref="J1:K7"/>
  <tableColumns count="2">
    <tableColumn id="1" name="Score" dataDxfId="9" dataCellStyle="Percent">
      <calculatedColumnFormula>IF(NOT(ISNUMBER(OFFSET(tblDimOrcPersonalityTrait[[#This Row],[Score]],-1,0))),1,SUM(OFFSET(tblDimOrcPersonalityTrait[[#This Row],[Score]],-1,0),-1/ROWS(tblDimOrcPersonalityTrait[Score])))</calculatedColumnFormula>
    </tableColumn>
    <tableColumn id="2" name="OrcPersonalityTrait" dataDxfId="94"/>
  </tableColumns>
  <tableStyleInfo name="TableStyleMedium2" showFirstColumn="0" showLastColumn="0" showRowStripes="1" showColumnStripes="0"/>
</table>
</file>

<file path=xl/tables/table63.xml><?xml version="1.0" encoding="utf-8"?>
<table xmlns="http://schemas.openxmlformats.org/spreadsheetml/2006/main" id="63" name="tblDimOrcIdeal" displayName="tblDimOrcIdeal" ref="M1:N7" totalsRowShown="0" headerRowDxfId="93" dataDxfId="92">
  <autoFilter ref="M1:N7"/>
  <tableColumns count="2">
    <tableColumn id="1" name="Score" dataDxfId="10" dataCellStyle="Percent">
      <calculatedColumnFormula>IF(NOT(ISNUMBER(OFFSET(tblDimOrcIdeal[[#This Row],[Score]],-1,0))),1,SUM(OFFSET(tblDimOrcIdeal[[#This Row],[Score]],-1,0),-1/ROWS(tblDimOrcIdeal[Score])))</calculatedColumnFormula>
    </tableColumn>
    <tableColumn id="2" name="OrcIdeal" dataDxfId="91"/>
  </tableColumns>
  <tableStyleInfo name="TableStyleMedium2" showFirstColumn="0" showLastColumn="0" showRowStripes="1" showColumnStripes="0"/>
</table>
</file>

<file path=xl/tables/table64.xml><?xml version="1.0" encoding="utf-8"?>
<table xmlns="http://schemas.openxmlformats.org/spreadsheetml/2006/main" id="64" name="tblDimOrcBond" displayName="tblDimOrcBond" ref="P1:Q7" totalsRowShown="0" headerRowDxfId="90" dataDxfId="89">
  <autoFilter ref="P1:Q7"/>
  <tableColumns count="2">
    <tableColumn id="1" name="Score" dataDxfId="11" dataCellStyle="Percent">
      <calculatedColumnFormula>IF(NOT(ISNUMBER(OFFSET(tblDimOrcBond[[#This Row],[Score]],-1,0))),1,SUM(OFFSET(tblDimOrcBond[[#This Row],[Score]],-1,0),-1/ROWS(tblDimOrcBond[Score])))</calculatedColumnFormula>
    </tableColumn>
    <tableColumn id="2" name="OrcBond" dataDxfId="88"/>
  </tableColumns>
  <tableStyleInfo name="TableStyleMedium2" showFirstColumn="0" showLastColumn="0" showRowStripes="1" showColumnStripes="0"/>
</table>
</file>

<file path=xl/tables/table65.xml><?xml version="1.0" encoding="utf-8"?>
<table xmlns="http://schemas.openxmlformats.org/spreadsheetml/2006/main" id="65" name="tblDimOrcFlaw" displayName="tblDimOrcFlaw" ref="S1:T7" totalsRowShown="0" headerRowDxfId="87" dataDxfId="86">
  <autoFilter ref="S1:T7"/>
  <tableColumns count="2">
    <tableColumn id="1" name="Score" dataDxfId="12" dataCellStyle="Percent">
      <calculatedColumnFormula>IF(NOT(ISNUMBER(OFFSET(tblDimOrcFlaw[[#This Row],[Score]],-1,0))),1,SUM(OFFSET(tblDimOrcFlaw[[#This Row],[Score]],-1,0),-1/ROWS(tblDimOrcFlaw[Score])))</calculatedColumnFormula>
    </tableColumn>
    <tableColumn id="2" name="OrcFlaw" dataDxfId="85"/>
  </tableColumns>
  <tableStyleInfo name="TableStyleMedium2" showFirstColumn="0" showLastColumn="0" showRowStripes="1" showColumnStripes="0"/>
</table>
</file>

<file path=xl/tables/table66.xml><?xml version="1.0" encoding="utf-8"?>
<table xmlns="http://schemas.openxmlformats.org/spreadsheetml/2006/main" id="66" name="tblDimOrcNameFemale" displayName="tblDimOrcNameFemale" ref="D1:E13" totalsRowShown="0" headerRowDxfId="84" dataDxfId="83">
  <autoFilter ref="D1:E13"/>
  <tableColumns count="2">
    <tableColumn id="1" name="Score" dataDxfId="7" dataCellStyle="Percent">
      <calculatedColumnFormula>IF(NOT(ISNUMBER(OFFSET(tblDimOrcNameFemale[[#This Row],[Score]],-1,0))),1,SUM(OFFSET(tblDimOrcNameFemale[[#This Row],[Score]],-1,0),-1/ROWS(tblDimOrcNameFemale[Score])))</calculatedColumnFormula>
    </tableColumn>
    <tableColumn id="2" name="OrcNameFemale" dataDxfId="82"/>
  </tableColumns>
  <tableStyleInfo name="TableStyleMedium2" showFirstColumn="0" showLastColumn="0" showRowStripes="1" showColumnStripes="0"/>
</table>
</file>

<file path=xl/tables/table67.xml><?xml version="1.0" encoding="utf-8"?>
<table xmlns="http://schemas.openxmlformats.org/spreadsheetml/2006/main" id="67" name="tblDimOrcBaseStatBlock" displayName="tblDimOrcBaseStatBlock" ref="V1:W10" totalsRowShown="0" headerRowDxfId="81" dataDxfId="80">
  <autoFilter ref="V1:W10"/>
  <tableColumns count="2">
    <tableColumn id="1" name="Score" dataDxfId="13" dataCellStyle="Percent">
      <calculatedColumnFormula>IF(NOT(ISNUMBER(OFFSET(tblDimOrcBaseStatBlock[[#This Row],[Score]],-1,0))),1,SUM(OFFSET(tblDimOrcBaseStatBlock[[#This Row],[Score]],-1,0),-1/ROWS(tblDimOrcBaseStatBlock[Score])))</calculatedColumnFormula>
    </tableColumn>
    <tableColumn id="2" name="OrcBaseStatBlock" dataDxfId="79"/>
  </tableColumns>
  <tableStyleInfo name="TableStyleMedium2" showFirstColumn="0" showLastColumn="0" showRowStripes="1" showColumnStripes="0"/>
</table>
</file>

<file path=xl/tables/table68.xml><?xml version="1.0" encoding="utf-8"?>
<table xmlns="http://schemas.openxmlformats.org/spreadsheetml/2006/main" id="68" name="tblDimOrcImageUrl" displayName="tblDimOrcImageUrl" ref="Y1:Z15" totalsRowShown="0" headerRowDxfId="78" dataDxfId="77">
  <autoFilter ref="Y1:Z15"/>
  <tableColumns count="2">
    <tableColumn id="1" name="Score" dataDxfId="14" dataCellStyle="Percent">
      <calculatedColumnFormula>IF(NOT(ISNUMBER(OFFSET(tblDimOrcImageUrl[[#This Row],[Score]],-1,0))),1,SUM(OFFSET(tblDimOrcImageUrl[[#This Row],[Score]],-1,0),-1/ROWS(tblDimOrcImageUrl[Score])))</calculatedColumnFormula>
    </tableColumn>
    <tableColumn id="2" name="OrcImageURL" dataDxfId="76"/>
  </tableColumns>
  <tableStyleInfo name="TableStyleMedium2" showFirstColumn="0" showLastColumn="0" showRowStripes="1" showColumnStripes="0"/>
</table>
</file>

<file path=xl/tables/table69.xml><?xml version="1.0" encoding="utf-8"?>
<table xmlns="http://schemas.openxmlformats.org/spreadsheetml/2006/main" id="69" name="tblDimDemonPersonalityTrait" displayName="tblDimDemonPersonalityTrait" ref="A1:B7" totalsRowShown="0" headerRowDxfId="75" dataDxfId="74">
  <autoFilter ref="A1:B7"/>
  <tableColumns count="2">
    <tableColumn id="1" name="Score" dataDxfId="16" dataCellStyle="Percent">
      <calculatedColumnFormula>IF(NOT(ISNUMBER(OFFSET(tblDimDemonPersonalityTrait[[#This Row],[Score]],-1,0))),1,SUM(OFFSET(tblDimDemonPersonalityTrait[[#This Row],[Score]],-1,0),-1/ROWS(tblDimDemonPersonalityTrait[Score])))</calculatedColumnFormula>
    </tableColumn>
    <tableColumn id="2" name="Demon Personality Trait" dataDxfId="73"/>
  </tableColumns>
  <tableStyleInfo name="TableStyleMedium2" showFirstColumn="0" showLastColumn="0" showRowStripes="1" showColumnStripes="0"/>
</table>
</file>

<file path=xl/tables/table70.xml><?xml version="1.0" encoding="utf-8"?>
<table xmlns="http://schemas.openxmlformats.org/spreadsheetml/2006/main" id="70" name="tblDimDemonIdeal" displayName="tblDimDemonIdeal" ref="D1:E7" totalsRowShown="0" headerRowDxfId="72" dataDxfId="71">
  <autoFilter ref="D1:E7"/>
  <tableColumns count="2">
    <tableColumn id="1" name="Score" dataDxfId="17" dataCellStyle="Percent">
      <calculatedColumnFormula>IF(NOT(ISNUMBER(OFFSET(tblDimDemonIdeal[[#This Row],[Score]],-1,0))),1,SUM(OFFSET(tblDimDemonIdeal[[#This Row],[Score]],-1,0),-1/ROWS(tblDimDemonIdeal[Score])))</calculatedColumnFormula>
    </tableColumn>
    <tableColumn id="2" name="Demon Ideal" dataDxfId="70"/>
  </tableColumns>
  <tableStyleInfo name="TableStyleMedium2" showFirstColumn="0" showLastColumn="0" showRowStripes="1" showColumnStripes="0"/>
</table>
</file>

<file path=xl/tables/table71.xml><?xml version="1.0" encoding="utf-8"?>
<table xmlns="http://schemas.openxmlformats.org/spreadsheetml/2006/main" id="71" name="tblDimDemonBond" displayName="tblDimDemonBond" ref="G1:H2" totalsRowShown="0" headerRowDxfId="69" dataDxfId="68">
  <autoFilter ref="G1:H2"/>
  <tableColumns count="2">
    <tableColumn id="1" name="Score" dataDxfId="20" dataCellStyle="Percent">
      <calculatedColumnFormula>IF(NOT(ISNUMBER(OFFSET(tblDimDemonBond[[#This Row],[Score]],-1,0))),1,SUM(OFFSET(tblDimDemonBond[[#This Row],[Score]],-1,0),-1/ROWS(tblDimDemonBond[Score])))</calculatedColumnFormula>
    </tableColumn>
    <tableColumn id="2" name="Demon Bond" dataDxfId="67"/>
  </tableColumns>
  <tableStyleInfo name="TableStyleMedium2" showFirstColumn="0" showLastColumn="0" showRowStripes="1" showColumnStripes="0"/>
</table>
</file>

<file path=xl/tables/table72.xml><?xml version="1.0" encoding="utf-8"?>
<table xmlns="http://schemas.openxmlformats.org/spreadsheetml/2006/main" id="72" name="tblDimDemonFlaw" displayName="tblDimDemonFlaw" ref="J1:K7" totalsRowShown="0" headerRowDxfId="66" dataDxfId="65">
  <autoFilter ref="J1:K7"/>
  <tableColumns count="2">
    <tableColumn id="1" name="Score" dataDxfId="18" dataCellStyle="Percent">
      <calculatedColumnFormula>IF(NOT(ISNUMBER(OFFSET(tblDimDemonFlaw[[#This Row],[Score]],-1,0))),1,SUM(OFFSET(tblDimDemonFlaw[[#This Row],[Score]],-1,0),-1/ROWS(tblDimDemonFlaw[Score])))</calculatedColumnFormula>
    </tableColumn>
    <tableColumn id="2" name="Demon Flaw" dataDxfId="64"/>
  </tableColumns>
  <tableStyleInfo name="TableStyleMedium2" showFirstColumn="0" showLastColumn="0" showRowStripes="1" showColumnStripes="0"/>
</table>
</file>

<file path=xl/tables/table73.xml><?xml version="1.0" encoding="utf-8"?>
<table xmlns="http://schemas.openxmlformats.org/spreadsheetml/2006/main" id="73" name="tblDimDemonQuirk" displayName="tblDimDemonQuirk" ref="M1:N21" totalsRowShown="0" headerRowDxfId="63" dataDxfId="62">
  <autoFilter ref="M1:N21"/>
  <tableColumns count="2">
    <tableColumn id="1" name="Score" dataDxfId="19" dataCellStyle="Percent">
      <calculatedColumnFormula>IF(NOT(ISNUMBER(OFFSET(tblDimDemonQuirk[[#This Row],[Score]],-1,0))),1,SUM(OFFSET(tblDimDemonQuirk[[#This Row],[Score]],-1,0),-1/ROWS(tblDimDemonQuirk[Score])))</calculatedColumnFormula>
    </tableColumn>
    <tableColumn id="2" name="Demon Quirk " dataDxfId="61"/>
  </tableColumns>
  <tableStyleInfo name="TableStyleMedium2" showFirstColumn="0" showLastColumn="0" showRowStripes="1" showColumnStripes="0"/>
</table>
</file>

<file path=xl/tables/table74.xml><?xml version="1.0" encoding="utf-8"?>
<table xmlns="http://schemas.openxmlformats.org/spreadsheetml/2006/main" id="74" name="tblDimCultOrganization" displayName="tblDimCultOrganization" ref="G1:H7" totalsRowShown="0" headerRowDxfId="60" dataDxfId="59">
  <autoFilter ref="G1:H7"/>
  <tableColumns count="2">
    <tableColumn id="1" name="Score" dataDxfId="26" dataCellStyle="Percent">
      <calculatedColumnFormula>IF(NOT(ISNUMBER(OFFSET(tblDimCultOrganization[[#This Row],[Score]],-1,0))),1,SUM(OFFSET(tblDimCultOrganization[[#This Row],[Score]],-1,0),-1/ROWS(tblDimCultOrganization[Score])))</calculatedColumnFormula>
    </tableColumn>
    <tableColumn id="2" name="Cult Organization" dataDxfId="58"/>
  </tableColumns>
  <tableStyleInfo name="TableStyleMedium2" showFirstColumn="0" showLastColumn="0" showRowStripes="1" showColumnStripes="0"/>
</table>
</file>

<file path=xl/tables/table75.xml><?xml version="1.0" encoding="utf-8"?>
<table xmlns="http://schemas.openxmlformats.org/spreadsheetml/2006/main" id="75" name="tblDimCultGoal" displayName="tblDimCultGoal" ref="A1:B7" totalsRowShown="0" headerRowDxfId="57" dataDxfId="56">
  <autoFilter ref="A1:B7"/>
  <tableColumns count="2">
    <tableColumn id="1" name="Score" dataDxfId="28" dataCellStyle="Percent">
      <calculatedColumnFormula>IF(NOT(ISNUMBER(OFFSET(tblDimCultGoal[[#This Row],[Score]],-1,0))),1,SUM(OFFSET(tblDimCultGoal[[#This Row],[Score]],-1,0),-1/ROWS(tblDimCultGoal[Score])))</calculatedColumnFormula>
    </tableColumn>
    <tableColumn id="2" name="Cult Goal" dataDxfId="55"/>
  </tableColumns>
  <tableStyleInfo name="TableStyleMedium2" showFirstColumn="0" showLastColumn="0" showRowStripes="1" showColumnStripes="0"/>
</table>
</file>

<file path=xl/tables/table76.xml><?xml version="1.0" encoding="utf-8"?>
<table xmlns="http://schemas.openxmlformats.org/spreadsheetml/2006/main" id="76" name="tblDimCultResource" displayName="tblDimCultResource" ref="D1:E7" totalsRowShown="0" headerRowDxfId="54" dataDxfId="53">
  <autoFilter ref="D1:E7"/>
  <tableColumns count="2">
    <tableColumn id="1" name="Score" dataDxfId="27" dataCellStyle="Percent">
      <calculatedColumnFormula>IF(NOT(ISNUMBER(OFFSET(tblDimCultResource[[#This Row],[Score]],-1,0))),1,SUM(OFFSET(tblDimCultResource[[#This Row],[Score]],-1,0),-1/ROWS(tblDimCultResource[Score])))</calculatedColumnFormula>
    </tableColumn>
    <tableColumn id="2" name="Cult Resource" dataDxfId="52"/>
  </tableColumns>
  <tableStyleInfo name="TableStyleMedium2" showFirstColumn="0" showLastColumn="0" showRowStripes="1" showColumnStripes="0"/>
</table>
</file>

<file path=xl/tables/table77.xml><?xml version="1.0" encoding="utf-8"?>
<table xmlns="http://schemas.openxmlformats.org/spreadsheetml/2006/main" id="77" name="tblDimCultHardship" displayName="tblDimCultHardship" ref="J1:K6" totalsRowShown="0" headerRowDxfId="51" dataDxfId="50">
  <autoFilter ref="J1:K6"/>
  <tableColumns count="2">
    <tableColumn id="1" name="Score" dataDxfId="25" dataCellStyle="Percent">
      <calculatedColumnFormula>IF(NOT(ISNUMBER(OFFSET(tblDimCultHardship[[#This Row],[Score]],-1,0))),1,SUM(OFFSET(tblDimCultHardship[[#This Row],[Score]],-1,0),-1/ROWS(tblDimCultHardship[Score])))</calculatedColumnFormula>
    </tableColumn>
    <tableColumn id="2" name="Cult Hardship" dataDxfId="49"/>
  </tableColumns>
  <tableStyleInfo name="TableStyleMedium2" showFirstColumn="0" showLastColumn="0" showRowStripes="1" showColumnStripes="0"/>
</table>
</file>

<file path=xl/tables/table78.xml><?xml version="1.0" encoding="utf-8"?>
<table xmlns="http://schemas.openxmlformats.org/spreadsheetml/2006/main" id="78" name="tblDimCultLeader" displayName="tblDimCultLeader" ref="M1:N9" totalsRowShown="0" headerRowDxfId="48" dataDxfId="47">
  <autoFilter ref="M1:N9"/>
  <tableColumns count="2">
    <tableColumn id="1" name="Score" dataDxfId="24" dataCellStyle="Percent">
      <calculatedColumnFormula>IF(NOT(ISNUMBER(OFFSET(tblDimCultLeader[[#This Row],[Score]],-1,0))),1,SUM(OFFSET(tblDimCultLeader[[#This Row],[Score]],-1,0),-1/ROWS(tblDimCultLeader[Score])))</calculatedColumnFormula>
    </tableColumn>
    <tableColumn id="2" name="Cult Leader" dataDxfId="46"/>
  </tableColumns>
  <tableStyleInfo name="TableStyleMedium2" showFirstColumn="0" showLastColumn="0" showRowStripes="1" showColumnStripes="0"/>
</table>
</file>

<file path=xl/tables/table79.xml><?xml version="1.0" encoding="utf-8"?>
<table xmlns="http://schemas.openxmlformats.org/spreadsheetml/2006/main" id="79" name="tblDimCultSize" displayName="tblDimCultSize" ref="P1:S7" totalsRowShown="0" headerRowDxfId="45" dataDxfId="44">
  <autoFilter ref="P1:S7"/>
  <tableColumns count="4">
    <tableColumn id="1" name="Score" dataDxfId="23" dataCellStyle="Percent">
      <calculatedColumnFormula>IF(NOT(ISNUMBER(OFFSET(tblDimCultSize[[#This Row],[Score]],-1,0))),1,SUM(OFFSET(tblDimCultSize[[#This Row],[Score]],-1,0),-1/ROWS(tblDimCultSize[Score])))</calculatedColumnFormula>
    </tableColumn>
    <tableColumn id="2" name="Cult Size" dataDxfId="43"/>
    <tableColumn id="3" name="Min Followers" dataDxfId="42"/>
    <tableColumn id="4" name="Max Followers" dataDxfId="41"/>
  </tableColumns>
  <tableStyleInfo name="TableStyleMedium2" showFirstColumn="0" showLastColumn="0" showRowStripes="1" showColumnStripes="0"/>
</table>
</file>

<file path=xl/tables/table80.xml><?xml version="1.0" encoding="utf-8"?>
<table xmlns="http://schemas.openxmlformats.org/spreadsheetml/2006/main" id="80" name="tblDimCultFanaticism" displayName="tblDimCultFanaticism" ref="U1:V5" totalsRowShown="0" headerRowDxfId="40" dataDxfId="39">
  <autoFilter ref="U1:V5"/>
  <tableColumns count="2">
    <tableColumn id="1" name="Score" dataDxfId="22" dataCellStyle="Percent">
      <calculatedColumnFormula>IF(NOT(ISNUMBER(OFFSET(tblDimCultFanaticism[[#This Row],[Score]],-1,0))),1,SUM(OFFSET(tblDimCultFanaticism[[#This Row],[Score]],-1,0),-1/ROWS(tblDimCultFanaticism[Score])))</calculatedColumnFormula>
    </tableColumn>
    <tableColumn id="2" name="Cult Fanaticism" dataDxfId="38"/>
  </tableColumns>
  <tableStyleInfo name="TableStyleMedium2" showFirstColumn="0" showLastColumn="0" showRowStripes="1" showColumnStripes="0"/>
</table>
</file>

<file path=xl/tables/table81.xml><?xml version="1.0" encoding="utf-8"?>
<table xmlns="http://schemas.openxmlformats.org/spreadsheetml/2006/main" id="81" name="tblDimCultName" displayName="tblDimCultName" ref="X1:Y41" totalsRowShown="0" headerRowDxfId="37" dataDxfId="36">
  <autoFilter ref="X1:Y41"/>
  <tableColumns count="2">
    <tableColumn id="1" name="Score" dataDxfId="21" dataCellStyle="Percent">
      <calculatedColumnFormula>IF(NOT(ISNUMBER(OFFSET(tblDimCultName[[#This Row],[Score]],-1,0))),1,SUM(OFFSET(tblDimCultName[[#This Row],[Score]],-1,0),-1/ROWS(tblDimCultName[Score])))</calculatedColumnFormula>
    </tableColumn>
    <tableColumn id="2" name="Cult Name" dataDxfId="35"/>
  </tableColumns>
  <tableStyleInfo name="TableStyleMedium2" showFirstColumn="0" showLastColumn="0" showRowStripes="1" showColumnStripes="0"/>
</table>
</file>

<file path=xl/tables/table82.xml><?xml version="1.0" encoding="utf-8"?>
<table xmlns="http://schemas.openxmlformats.org/spreadsheetml/2006/main" id="82" name="tblDimDiety" displayName="tblDimDiety" ref="A1:E38" totalsRowShown="0" headerRowDxfId="34" dataDxfId="33">
  <autoFilter ref="A1:E38"/>
  <tableColumns count="5">
    <tableColumn id="1" name="Score" dataDxfId="5" dataCellStyle="Percent">
      <calculatedColumnFormula>IF(NOT(ISNUMBER(OFFSET(tblDimDiety[[#This Row],[Score]],-1,0))),1,SUM(OFFSET(tblDimDiety[[#This Row],[Score]],-1,0),-1/ROWS(tblDimDiety[Score])))</calculatedColumnFormula>
    </tableColumn>
    <tableColumn id="2" name="Deity" dataDxfId="32"/>
    <tableColumn id="3" name="Alignment" dataDxfId="31"/>
    <tableColumn id="4" name="Suggested Domains" dataDxfId="30"/>
    <tableColumn id="5" name="Symbol" dataDxfId="2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5" Type="http://schemas.openxmlformats.org/officeDocument/2006/relationships/table" Target="../tables/table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4" Type="http://schemas.openxmlformats.org/officeDocument/2006/relationships/table" Target="../tables/table4.xml"/><Relationship Id="rId5" Type="http://schemas.openxmlformats.org/officeDocument/2006/relationships/table" Target="../tables/table5.xml"/><Relationship Id="rId6" Type="http://schemas.openxmlformats.org/officeDocument/2006/relationships/table" Target="../tables/table6.xml"/><Relationship Id="rId7" Type="http://schemas.openxmlformats.org/officeDocument/2006/relationships/table" Target="../tables/table7.xml"/><Relationship Id="rId1" Type="http://schemas.openxmlformats.org/officeDocument/2006/relationships/drawing" Target="../drawings/drawing2.xml"/><Relationship Id="rId2"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8.xml"/><Relationship Id="rId2" Type="http://schemas.openxmlformats.org/officeDocument/2006/relationships/table" Target="../tables/table9.xml"/><Relationship Id="rId3" Type="http://schemas.openxmlformats.org/officeDocument/2006/relationships/table" Target="../tables/table10.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3.xml"/><Relationship Id="rId4" Type="http://schemas.openxmlformats.org/officeDocument/2006/relationships/table" Target="../tables/table14.xml"/><Relationship Id="rId5" Type="http://schemas.openxmlformats.org/officeDocument/2006/relationships/table" Target="../tables/table15.xml"/><Relationship Id="rId6" Type="http://schemas.openxmlformats.org/officeDocument/2006/relationships/table" Target="../tables/table16.xml"/><Relationship Id="rId1" Type="http://schemas.openxmlformats.org/officeDocument/2006/relationships/table" Target="../tables/table11.xml"/><Relationship Id="rId2" Type="http://schemas.openxmlformats.org/officeDocument/2006/relationships/table" Target="../tables/table1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1.xml"/><Relationship Id="rId4" Type="http://schemas.openxmlformats.org/officeDocument/2006/relationships/table" Target="../tables/table22.xml"/><Relationship Id="rId5" Type="http://schemas.openxmlformats.org/officeDocument/2006/relationships/table" Target="../tables/table23.xml"/><Relationship Id="rId6" Type="http://schemas.openxmlformats.org/officeDocument/2006/relationships/table" Target="../tables/table24.xml"/><Relationship Id="rId7" Type="http://schemas.openxmlformats.org/officeDocument/2006/relationships/table" Target="../tables/table25.xml"/><Relationship Id="rId1" Type="http://schemas.openxmlformats.org/officeDocument/2006/relationships/table" Target="../tables/table19.xml"/><Relationship Id="rId2" Type="http://schemas.openxmlformats.org/officeDocument/2006/relationships/table" Target="../tables/table20.xml"/></Relationships>
</file>

<file path=xl/worksheets/_rels/sheet8.xml.rels><?xml version="1.0" encoding="UTF-8" standalone="yes"?>
<Relationships xmlns="http://schemas.openxmlformats.org/package/2006/relationships"><Relationship Id="rId11" Type="http://schemas.openxmlformats.org/officeDocument/2006/relationships/table" Target="../tables/table36.xml"/><Relationship Id="rId12" Type="http://schemas.openxmlformats.org/officeDocument/2006/relationships/table" Target="../tables/table37.xml"/><Relationship Id="rId13" Type="http://schemas.openxmlformats.org/officeDocument/2006/relationships/table" Target="../tables/table38.xml"/><Relationship Id="rId14" Type="http://schemas.openxmlformats.org/officeDocument/2006/relationships/table" Target="../tables/table39.xml"/><Relationship Id="rId1" Type="http://schemas.openxmlformats.org/officeDocument/2006/relationships/table" Target="../tables/table26.xml"/><Relationship Id="rId2" Type="http://schemas.openxmlformats.org/officeDocument/2006/relationships/table" Target="../tables/table27.xml"/><Relationship Id="rId3" Type="http://schemas.openxmlformats.org/officeDocument/2006/relationships/table" Target="../tables/table28.xml"/><Relationship Id="rId4" Type="http://schemas.openxmlformats.org/officeDocument/2006/relationships/table" Target="../tables/table29.xml"/><Relationship Id="rId5" Type="http://schemas.openxmlformats.org/officeDocument/2006/relationships/table" Target="../tables/table30.xml"/><Relationship Id="rId6" Type="http://schemas.openxmlformats.org/officeDocument/2006/relationships/table" Target="../tables/table31.xml"/><Relationship Id="rId7" Type="http://schemas.openxmlformats.org/officeDocument/2006/relationships/table" Target="../tables/table32.xml"/><Relationship Id="rId8" Type="http://schemas.openxmlformats.org/officeDocument/2006/relationships/table" Target="../tables/table33.xml"/><Relationship Id="rId9" Type="http://schemas.openxmlformats.org/officeDocument/2006/relationships/table" Target="../tables/table34.xml"/><Relationship Id="rId10" Type="http://schemas.openxmlformats.org/officeDocument/2006/relationships/table" Target="../tables/table3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42.xml"/><Relationship Id="rId4" Type="http://schemas.openxmlformats.org/officeDocument/2006/relationships/table" Target="../tables/table43.xml"/><Relationship Id="rId5" Type="http://schemas.openxmlformats.org/officeDocument/2006/relationships/table" Target="../tables/table44.xml"/><Relationship Id="rId6" Type="http://schemas.openxmlformats.org/officeDocument/2006/relationships/table" Target="../tables/table45.xml"/><Relationship Id="rId7" Type="http://schemas.openxmlformats.org/officeDocument/2006/relationships/table" Target="../tables/table46.xml"/><Relationship Id="rId8" Type="http://schemas.openxmlformats.org/officeDocument/2006/relationships/table" Target="../tables/table47.xml"/><Relationship Id="rId1" Type="http://schemas.openxmlformats.org/officeDocument/2006/relationships/table" Target="../tables/table40.xml"/><Relationship Id="rId2" Type="http://schemas.openxmlformats.org/officeDocument/2006/relationships/table" Target="../tables/table4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50.xml"/><Relationship Id="rId4" Type="http://schemas.openxmlformats.org/officeDocument/2006/relationships/table" Target="../tables/table51.xml"/><Relationship Id="rId5" Type="http://schemas.openxmlformats.org/officeDocument/2006/relationships/table" Target="../tables/table52.xml"/><Relationship Id="rId6" Type="http://schemas.openxmlformats.org/officeDocument/2006/relationships/table" Target="../tables/table53.xml"/><Relationship Id="rId7" Type="http://schemas.openxmlformats.org/officeDocument/2006/relationships/table" Target="../tables/table54.xml"/><Relationship Id="rId8" Type="http://schemas.openxmlformats.org/officeDocument/2006/relationships/table" Target="../tables/table55.xml"/><Relationship Id="rId9" Type="http://schemas.openxmlformats.org/officeDocument/2006/relationships/table" Target="../tables/table56.xml"/><Relationship Id="rId10" Type="http://schemas.openxmlformats.org/officeDocument/2006/relationships/table" Target="../tables/table57.xml"/><Relationship Id="rId1" Type="http://schemas.openxmlformats.org/officeDocument/2006/relationships/table" Target="../tables/table48.xml"/><Relationship Id="rId2" Type="http://schemas.openxmlformats.org/officeDocument/2006/relationships/table" Target="../tables/table4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5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59.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62.xml"/><Relationship Id="rId4" Type="http://schemas.openxmlformats.org/officeDocument/2006/relationships/table" Target="../tables/table63.xml"/><Relationship Id="rId5" Type="http://schemas.openxmlformats.org/officeDocument/2006/relationships/table" Target="../tables/table64.xml"/><Relationship Id="rId6" Type="http://schemas.openxmlformats.org/officeDocument/2006/relationships/table" Target="../tables/table65.xml"/><Relationship Id="rId7" Type="http://schemas.openxmlformats.org/officeDocument/2006/relationships/table" Target="../tables/table66.xml"/><Relationship Id="rId8" Type="http://schemas.openxmlformats.org/officeDocument/2006/relationships/table" Target="../tables/table67.xml"/><Relationship Id="rId9" Type="http://schemas.openxmlformats.org/officeDocument/2006/relationships/table" Target="../tables/table68.xml"/><Relationship Id="rId1" Type="http://schemas.openxmlformats.org/officeDocument/2006/relationships/table" Target="../tables/table60.xml"/><Relationship Id="rId2" Type="http://schemas.openxmlformats.org/officeDocument/2006/relationships/table" Target="../tables/table61.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71.xml"/><Relationship Id="rId4" Type="http://schemas.openxmlformats.org/officeDocument/2006/relationships/table" Target="../tables/table72.xml"/><Relationship Id="rId5" Type="http://schemas.openxmlformats.org/officeDocument/2006/relationships/table" Target="../tables/table73.xml"/><Relationship Id="rId1" Type="http://schemas.openxmlformats.org/officeDocument/2006/relationships/table" Target="../tables/table69.xml"/><Relationship Id="rId2" Type="http://schemas.openxmlformats.org/officeDocument/2006/relationships/table" Target="../tables/table70.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76.xml"/><Relationship Id="rId4" Type="http://schemas.openxmlformats.org/officeDocument/2006/relationships/table" Target="../tables/table77.xml"/><Relationship Id="rId5" Type="http://schemas.openxmlformats.org/officeDocument/2006/relationships/table" Target="../tables/table78.xml"/><Relationship Id="rId6" Type="http://schemas.openxmlformats.org/officeDocument/2006/relationships/table" Target="../tables/table79.xml"/><Relationship Id="rId7" Type="http://schemas.openxmlformats.org/officeDocument/2006/relationships/table" Target="../tables/table80.xml"/><Relationship Id="rId8" Type="http://schemas.openxmlformats.org/officeDocument/2006/relationships/table" Target="../tables/table81.xml"/><Relationship Id="rId1" Type="http://schemas.openxmlformats.org/officeDocument/2006/relationships/table" Target="../tables/table74.xml"/><Relationship Id="rId2" Type="http://schemas.openxmlformats.org/officeDocument/2006/relationships/table" Target="../tables/table7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pageSetUpPr fitToPage="1"/>
  </sheetPr>
  <dimension ref="A1:N36"/>
  <sheetViews>
    <sheetView showGridLines="0" tabSelected="1" workbookViewId="0">
      <selection activeCell="H3" sqref="H3"/>
    </sheetView>
  </sheetViews>
  <sheetFormatPr baseColWidth="10" defaultColWidth="9" defaultRowHeight="15" outlineLevelCol="1" x14ac:dyDescent="0.2"/>
  <cols>
    <col min="1" max="1" width="23.59765625" style="20" bestFit="1" customWidth="1"/>
    <col min="2" max="2" width="30.796875" style="20" hidden="1" customWidth="1" outlineLevel="1"/>
    <col min="3" max="3" width="24" style="20" hidden="1" customWidth="1" outlineLevel="1"/>
    <col min="4" max="4" width="12.59765625" style="20" hidden="1" customWidth="1" outlineLevel="1"/>
    <col min="5" max="5" width="14.59765625" style="20" hidden="1" customWidth="1" outlineLevel="1"/>
    <col min="6" max="6" width="9.19921875" style="20" hidden="1" customWidth="1" outlineLevel="1"/>
    <col min="7" max="7" width="8.796875" style="20" hidden="1" customWidth="1" outlineLevel="1"/>
    <col min="8" max="8" width="14.796875" style="20" hidden="1" customWidth="1" outlineLevel="1"/>
    <col min="9" max="9" width="16.3984375" style="20" hidden="1" customWidth="1" outlineLevel="1"/>
    <col min="10" max="10" width="9.59765625" style="20" hidden="1" customWidth="1" outlineLevel="1"/>
    <col min="11" max="11" width="88" style="20" bestFit="1" customWidth="1" collapsed="1"/>
    <col min="12" max="12" width="8.59765625" style="2" bestFit="1" customWidth="1"/>
    <col min="13" max="13" width="15.796875" style="2" customWidth="1"/>
    <col min="14" max="14" width="105.59765625" style="2" bestFit="1" customWidth="1"/>
    <col min="15" max="16384" width="9" style="2"/>
  </cols>
  <sheetData>
    <row r="1" spans="1:14" x14ac:dyDescent="0.2">
      <c r="N1" s="2" t="str">
        <f>CONCATENATE("|",tblNPCGenerator[[#Headers],[Character Dimension]],"|",tblNPCGenerator[[#Headers],[Detail]],"|")</f>
        <v>|Character Dimension|Detail|</v>
      </c>
    </row>
    <row r="2" spans="1:14" x14ac:dyDescent="0.2">
      <c r="A2" s="1" t="s">
        <v>33</v>
      </c>
      <c r="B2" s="1" t="s">
        <v>34</v>
      </c>
      <c r="C2" s="1" t="s">
        <v>35</v>
      </c>
      <c r="D2" s="41" t="s">
        <v>1252</v>
      </c>
      <c r="E2" s="41" t="s">
        <v>1251</v>
      </c>
      <c r="F2" s="1" t="s">
        <v>14</v>
      </c>
      <c r="G2" s="1" t="s">
        <v>36</v>
      </c>
      <c r="H2" s="1" t="s">
        <v>37</v>
      </c>
      <c r="I2" s="1" t="s">
        <v>38</v>
      </c>
      <c r="J2" s="1" t="s">
        <v>0</v>
      </c>
      <c r="K2" s="1" t="s">
        <v>39</v>
      </c>
      <c r="L2" s="1" t="s">
        <v>40</v>
      </c>
      <c r="M2" s="14"/>
      <c r="N2" s="40" t="s">
        <v>1250</v>
      </c>
    </row>
    <row r="3" spans="1:14" x14ac:dyDescent="0.2">
      <c r="A3" s="18" t="str">
        <f ca="1">CONCATENATE("Name ",K4)</f>
        <v>Name Male</v>
      </c>
      <c r="B3" s="11" t="str">
        <f ca="1">SUBSTITUTE(CONCATENATE("tblDim",$K$5,tblNPCGenerator[[#This Row],[Character Dimension]])," ","")</f>
        <v>tblDimElfNameMale</v>
      </c>
      <c r="C3" s="11" t="str">
        <f ca="1">SUBSTITUTE(CONCATENATE("tblDim",tblNPCGenerator[[#This Row],[Character Dimension]])," ","")</f>
        <v>tblDimNameMale</v>
      </c>
      <c r="D3" s="11">
        <f ca="1">MIN(INDIRECT(tblNPCGenerator[[#This Row],[tblLookupB]]&amp;"[Score]"))</f>
        <v>1.7241379310344106E-2</v>
      </c>
      <c r="E3" s="11">
        <f ca="1">MAX(INDIRECT(tblNPCGenerator[[#This Row],[tblLookupB]]&amp;"[Score]"))</f>
        <v>1</v>
      </c>
      <c r="F3" s="11">
        <v>0.68</v>
      </c>
      <c r="G3" s="11"/>
      <c r="H3" s="11">
        <f ca="1">IF(SUM(tblNPCGenerator[[#This Row],[Rand]:[Mod]])&gt;=tblNPCGenerator[[#This Row],[Table Min]],IF(SUM(tblNPCGenerator[[#This Row],[Rand]:[Mod]])&lt;=tblNPCGenerator[[#This Row],[Table Max]],SUM(tblNPCGenerator[[#This Row],[Rand]:[Mod]]),tblNPCGenerator[[#This Row],[Table Max]]),tblNPCGenerator[[#This Row],[Table Min]])</f>
        <v>0.68</v>
      </c>
      <c r="I3" s="11"/>
      <c r="J3" s="11">
        <f ca="1">IF(ISBLANK(tblNPCGenerator[[#This Row],[Locked Score]]),tblNPCGenerator[[#This Row],[Rand Score]],tblNPCGenerator[[#This Row],[Locked Score]])</f>
        <v>0.68</v>
      </c>
      <c r="K3" s="1" t="str">
        <f ca="1">INDEX(INDIRECT(tblNPCGenerator[[#This Row],[tblLookupB]]),MATCH(tblNPCGenerator[[#This Row],[Score]],INDIRECT(tblNPCGenerator[[#This Row],[tblLookupB]]&amp;"[Score]"),-1),2)</f>
        <v>Diggory</v>
      </c>
      <c r="L3" s="1"/>
      <c r="N3" s="2" t="str">
        <f ca="1">CONCATENATE("|",A3,"|",K3,"|")</f>
        <v>|Name Male|Diggory|</v>
      </c>
    </row>
    <row r="4" spans="1:14" x14ac:dyDescent="0.2">
      <c r="A4" s="18" t="s">
        <v>41</v>
      </c>
      <c r="B4" s="11" t="str">
        <f ca="1">SUBSTITUTE(CONCATENATE("tblDim",$K$5,tblNPCGenerator[[#This Row],[Character Dimension]])," ","")</f>
        <v>tblDimElfGender</v>
      </c>
      <c r="C4" s="11" t="str">
        <f>SUBSTITUTE(CONCATENATE("tblDim",tblNPCGenerator[[#This Row],[Character Dimension]])," ","")</f>
        <v>tblDimGender</v>
      </c>
      <c r="D4" s="11">
        <f ca="1">MIN(INDIRECT(tblNPCGenerator[[#This Row],[tblLookupB]]&amp;"[Score]"))</f>
        <v>0.5</v>
      </c>
      <c r="E4" s="11">
        <f ca="1">MAX(INDIRECT(tblNPCGenerator[[#This Row],[tblLookupB]]&amp;"[Score]"))</f>
        <v>1</v>
      </c>
      <c r="F4" s="11">
        <v>0.66</v>
      </c>
      <c r="G4" s="11"/>
      <c r="H4" s="11">
        <f ca="1">IF(SUM(tblNPCGenerator[[#This Row],[Rand]:[Mod]])&gt;=tblNPCGenerator[[#This Row],[Table Min]],IF(SUM(tblNPCGenerator[[#This Row],[Rand]:[Mod]])&lt;=tblNPCGenerator[[#This Row],[Table Max]],SUM(tblNPCGenerator[[#This Row],[Rand]:[Mod]]),tblNPCGenerator[[#This Row],[Table Max]]),tblNPCGenerator[[#This Row],[Table Min]])</f>
        <v>0.66</v>
      </c>
      <c r="I4" s="11"/>
      <c r="J4" s="11">
        <f ca="1">IF(ISBLANK(tblNPCGenerator[[#This Row],[Locked Score]]),tblNPCGenerator[[#This Row],[Rand Score]],tblNPCGenerator[[#This Row],[Locked Score]])</f>
        <v>0.66</v>
      </c>
      <c r="K4" s="1" t="str">
        <f ca="1">INDEX(INDIRECT(tblNPCGenerator[[#This Row],[tblLookupB]]),MATCH(tblNPCGenerator[[#This Row],[Score]],INDIRECT(tblNPCGenerator[[#This Row],[tblLookupB]]&amp;"[Score]"),-1),2)</f>
        <v>Male</v>
      </c>
      <c r="L4" s="1"/>
      <c r="N4" s="2" t="str">
        <f ca="1">CONCATENATE("|",A4,"|",K4,"|")</f>
        <v>|Gender|Male|</v>
      </c>
    </row>
    <row r="5" spans="1:14" x14ac:dyDescent="0.2">
      <c r="A5" s="18" t="s">
        <v>42</v>
      </c>
      <c r="B5" s="11" t="str">
        <f ca="1">SUBSTITUTE(CONCATENATE("tblDim",$K$5,tblNPCGenerator[[#This Row],[Character Dimension]])," ","")</f>
        <v>tblDimElfRace</v>
      </c>
      <c r="C5" s="11" t="str">
        <f>SUBSTITUTE(CONCATENATE("tblDim",tblNPCGenerator[[#This Row],[Character Dimension]])," ","")</f>
        <v>tblDimRace</v>
      </c>
      <c r="D5" s="11">
        <f ca="1">MIN(INDIRECT(tblNPCGenerator[[#This Row],[tblLookupB]]&amp;"[Score]"))</f>
        <v>1.3498980316301035E-3</v>
      </c>
      <c r="E5" s="11">
        <f ca="1">MAX(INDIRECT(tblNPCGenerator[[#This Row],[tblLookupB]]&amp;"[Score]"))</f>
        <v>0.99018467137135469</v>
      </c>
      <c r="F5" s="11">
        <v>0.13</v>
      </c>
      <c r="G5" s="11"/>
      <c r="H5" s="11">
        <f ca="1">IF(SUM(tblNPCGenerator[[#This Row],[Rand]:[Mod]])&gt;=tblNPCGenerator[[#This Row],[Table Min]],IF(SUM(tblNPCGenerator[[#This Row],[Rand]:[Mod]])&lt;=tblNPCGenerator[[#This Row],[Table Max]],SUM(tblNPCGenerator[[#This Row],[Rand]:[Mod]]),tblNPCGenerator[[#This Row],[Table Max]]),tblNPCGenerator[[#This Row],[Table Min]])</f>
        <v>0.13</v>
      </c>
      <c r="I5" s="11"/>
      <c r="J5" s="11">
        <f ca="1">IF(ISBLANK(tblNPCGenerator[[#This Row],[Locked Score]]),tblNPCGenerator[[#This Row],[Rand Score]],tblNPCGenerator[[#This Row],[Locked Score]])</f>
        <v>0.13</v>
      </c>
      <c r="K5" s="1" t="str">
        <f ca="1">INDEX(INDIRECT(tblNPCGenerator[[#This Row],[tblLookupB]]),MATCH(tblNPCGenerator[[#This Row],[Score]],INDIRECT(tblNPCGenerator[[#This Row],[tblLookupB]]&amp;"[Score]"),-1),2)</f>
        <v>Elf</v>
      </c>
      <c r="L5" s="1"/>
      <c r="N5" s="2" t="str">
        <f ca="1">CONCATENATE("|",A5,"|",K5,"|")</f>
        <v>|Race|Elf|</v>
      </c>
    </row>
    <row r="6" spans="1:14" x14ac:dyDescent="0.2">
      <c r="A6" s="18" t="s">
        <v>43</v>
      </c>
      <c r="B6" s="11" t="str">
        <f ca="1">SUBSTITUTE(CONCATENATE("tblDim",$K$5,tblNPCGenerator[[#This Row],[Character Dimension]])," ","")</f>
        <v>tblDimElfCurrentAge</v>
      </c>
      <c r="C6" s="11" t="str">
        <f>SUBSTITUTE(CONCATENATE("tblDim",tblNPCGenerator[[#This Row],[Character Dimension]])," ","")</f>
        <v>tblDimCurrentAge</v>
      </c>
      <c r="D6" s="11">
        <f ca="1">MIN(INDIRECT(tblNPCGenerator[[#This Row],[tblLookupB]]&amp;"[Score]"))</f>
        <v>1.3498980316301035E-3</v>
      </c>
      <c r="E6" s="11">
        <f ca="1">MAX(INDIRECT(tblNPCGenerator[[#This Row],[tblLookupB]]&amp;"[Score]"))</f>
        <v>0.97724986805182079</v>
      </c>
      <c r="F6" s="11">
        <v>0.93</v>
      </c>
      <c r="G6" s="11"/>
      <c r="H6" s="11">
        <f ca="1">IF(SUM(tblNPCGenerator[[#This Row],[Rand]:[Mod]])&gt;=tblNPCGenerator[[#This Row],[Table Min]],IF(SUM(tblNPCGenerator[[#This Row],[Rand]:[Mod]])&lt;=tblNPCGenerator[[#This Row],[Table Max]],SUM(tblNPCGenerator[[#This Row],[Rand]:[Mod]]),tblNPCGenerator[[#This Row],[Table Max]]),tblNPCGenerator[[#This Row],[Table Min]])</f>
        <v>0.93</v>
      </c>
      <c r="I6" s="11"/>
      <c r="J6" s="11">
        <f ca="1">IF(ISBLANK(tblNPCGenerator[[#This Row],[Locked Score]]),tblNPCGenerator[[#This Row],[Rand Score]],tblNPCGenerator[[#This Row],[Locked Score]])</f>
        <v>0.93</v>
      </c>
      <c r="K6" s="1">
        <f ca="1">INDEX(INDIRECT(tblNPCGenerator[[#This Row],[tblLookupB]]),MATCH(tblNPCGenerator[[#This Row],[Score]],INDIRECT(tblNPCGenerator[[#This Row],[tblLookupB]]&amp;"[Score]"),-1),2)</f>
        <v>19</v>
      </c>
      <c r="L6" s="1"/>
      <c r="N6" s="2" t="str">
        <f ca="1">CONCATENATE("|",A6,"|",K6,"|")</f>
        <v>|Current Age|19|</v>
      </c>
    </row>
    <row r="7" spans="1:14" x14ac:dyDescent="0.2">
      <c r="A7" s="18" t="s">
        <v>44</v>
      </c>
      <c r="B7" s="11" t="str">
        <f ca="1">SUBSTITUTE(CONCATENATE("tblDim",$K$5,tblNPCGenerator[[#This Row],[Character Dimension]])," ","")</f>
        <v>tblDimElfAppearance</v>
      </c>
      <c r="C7" s="11" t="str">
        <f>SUBSTITUTE(CONCATENATE("tblDim",tblNPCGenerator[[#This Row],[Character Dimension]])," ","")</f>
        <v>tblDimAppearance</v>
      </c>
      <c r="D7" s="11">
        <f ca="1">MIN(INDIRECT(tblNPCGenerator[[#This Row],[tblLookupB]]&amp;"[Score]"))</f>
        <v>4.9999999999999684E-2</v>
      </c>
      <c r="E7" s="11">
        <f ca="1">MAX(INDIRECT(tblNPCGenerator[[#This Row],[tblLookupB]]&amp;"[Score]"))</f>
        <v>1</v>
      </c>
      <c r="F7" s="11">
        <v>0.61</v>
      </c>
      <c r="G7" s="11"/>
      <c r="H7" s="11">
        <f ca="1">IF(SUM(tblNPCGenerator[[#This Row],[Rand]:[Mod]])&gt;=tblNPCGenerator[[#This Row],[Table Min]],IF(SUM(tblNPCGenerator[[#This Row],[Rand]:[Mod]])&lt;=tblNPCGenerator[[#This Row],[Table Max]],SUM(tblNPCGenerator[[#This Row],[Rand]:[Mod]]),tblNPCGenerator[[#This Row],[Table Max]]),tblNPCGenerator[[#This Row],[Table Min]])</f>
        <v>0.61</v>
      </c>
      <c r="I7" s="11"/>
      <c r="J7" s="11">
        <f ca="1">IF(ISBLANK(tblNPCGenerator[[#This Row],[Locked Score]]),tblNPCGenerator[[#This Row],[Rand Score]],tblNPCGenerator[[#This Row],[Locked Score]])</f>
        <v>0.61</v>
      </c>
      <c r="K7" s="1" t="str">
        <f ca="1">INDEX(INDIRECT(tblNPCGenerator[[#This Row],[tblLookupB]]),MATCH(tblNPCGenerator[[#This Row],[Score]],INDIRECT(tblNPCGenerator[[#This Row],[tblLookupB]]&amp;"[Score]"),-1),2)</f>
        <v>Missing fingers </v>
      </c>
      <c r="L7" s="1"/>
      <c r="N7" s="2" t="str">
        <f ca="1">CONCATENATE("|",A7,"|",K7,"|")</f>
        <v>|Appearance|Missing fingers |</v>
      </c>
    </row>
    <row r="8" spans="1:14" x14ac:dyDescent="0.2">
      <c r="A8" s="19" t="s">
        <v>44</v>
      </c>
      <c r="B8" s="11" t="str">
        <f ca="1">SUBSTITUTE(CONCATENATE("tblDim",$K$5,tblNPCGenerator[[#This Row],[Character Dimension]])," ","")</f>
        <v>tblDimElfAppearance</v>
      </c>
      <c r="C8" s="11" t="str">
        <f>SUBSTITUTE(CONCATENATE("tblDim",tblNPCGenerator[[#This Row],[Character Dimension]])," ","")</f>
        <v>tblDimAppearance</v>
      </c>
      <c r="D8" s="11">
        <f ca="1">MIN(INDIRECT(tblNPCGenerator[[#This Row],[tblLookupB]]&amp;"[Score]"))</f>
        <v>4.9999999999999684E-2</v>
      </c>
      <c r="E8" s="11">
        <f ca="1">MAX(INDIRECT(tblNPCGenerator[[#This Row],[tblLookupB]]&amp;"[Score]"))</f>
        <v>1</v>
      </c>
      <c r="F8" s="11">
        <v>0.88</v>
      </c>
      <c r="G8" s="11"/>
      <c r="H8" s="11">
        <f ca="1">IF(SUM(tblNPCGenerator[[#This Row],[Rand]:[Mod]])&gt;=tblNPCGenerator[[#This Row],[Table Min]],IF(SUM(tblNPCGenerator[[#This Row],[Rand]:[Mod]])&lt;=tblNPCGenerator[[#This Row],[Table Max]],SUM(tblNPCGenerator[[#This Row],[Rand]:[Mod]]),tblNPCGenerator[[#This Row],[Table Max]]),tblNPCGenerator[[#This Row],[Table Min]])</f>
        <v>0.88</v>
      </c>
      <c r="I8" s="11"/>
      <c r="J8" s="11">
        <f ca="1">IF(ISBLANK(tblNPCGenerator[[#This Row],[Locked Score]]),tblNPCGenerator[[#This Row],[Rand Score]],tblNPCGenerator[[#This Row],[Locked Score]])</f>
        <v>0.88</v>
      </c>
      <c r="K8" s="1" t="str">
        <f ca="1">INDEX(INDIRECT(tblNPCGenerator[[#This Row],[tblLookupB]]),MATCH(tblNPCGenerator[[#This Row],[Score]],INDIRECT(tblNPCGenerator[[#This Row],[tblLookupB]]&amp;"[Score]"),-1),2)</f>
        <v>Flamboyant or outlandish clothes</v>
      </c>
      <c r="L8" s="1"/>
      <c r="N8" s="2" t="str">
        <f ca="1">CONCATENATE("|",A8,"|",K8,"|")</f>
        <v>|Appearance|Flamboyant or outlandish clothes|</v>
      </c>
    </row>
    <row r="9" spans="1:14" x14ac:dyDescent="0.2">
      <c r="A9" s="18" t="s">
        <v>45</v>
      </c>
      <c r="B9" s="11" t="str">
        <f ca="1">SUBSTITUTE(CONCATENATE("tblDim",$K$5,tblNPCGenerator[[#This Row],[Character Dimension]])," ","")</f>
        <v>tblDimElfHighAbility</v>
      </c>
      <c r="C9" s="11" t="str">
        <f>SUBSTITUTE(CONCATENATE("tblDim",tblNPCGenerator[[#This Row],[Character Dimension]])," ","")</f>
        <v>tblDimHighAbility</v>
      </c>
      <c r="D9" s="11">
        <f ca="1">MIN(INDIRECT(tblNPCGenerator[[#This Row],[tblLookupB]]&amp;"[Score]"))</f>
        <v>0.16666666666666682</v>
      </c>
      <c r="E9" s="11">
        <f ca="1">MAX(INDIRECT(tblNPCGenerator[[#This Row],[tblLookupB]]&amp;"[Score]"))</f>
        <v>1</v>
      </c>
      <c r="F9" s="11">
        <v>0.47</v>
      </c>
      <c r="G9" s="11"/>
      <c r="H9" s="11">
        <f ca="1">IF(SUM(tblNPCGenerator[[#This Row],[Rand]:[Mod]])&gt;=tblNPCGenerator[[#This Row],[Table Min]],IF(SUM(tblNPCGenerator[[#This Row],[Rand]:[Mod]])&lt;=tblNPCGenerator[[#This Row],[Table Max]],SUM(tblNPCGenerator[[#This Row],[Rand]:[Mod]]),tblNPCGenerator[[#This Row],[Table Max]]),tblNPCGenerator[[#This Row],[Table Min]])</f>
        <v>0.47</v>
      </c>
      <c r="I9" s="11"/>
      <c r="J9" s="11">
        <f ca="1">IF(ISBLANK(tblNPCGenerator[[#This Row],[Locked Score]]),tblNPCGenerator[[#This Row],[Rand Score]],tblNPCGenerator[[#This Row],[Locked Score]])</f>
        <v>0.47</v>
      </c>
      <c r="K9" s="1" t="str">
        <f ca="1">INDEX(INDIRECT(tblNPCGenerator[[#This Row],[tblLookupB]]),MATCH(tblNPCGenerator[[#This Row],[Score]],INDIRECT(tblNPCGenerator[[#This Row],[tblLookupB]]&amp;"[Score]"),-1),2)</f>
        <v>Intelligence - studious, learned, inquisitive</v>
      </c>
      <c r="L9" s="1"/>
      <c r="N9" s="2" t="str">
        <f ca="1">CONCATENATE("|",A9,"|",K9,"|")</f>
        <v>|High Ability|Intelligence - studious, learned, inquisitive|</v>
      </c>
    </row>
    <row r="10" spans="1:14" x14ac:dyDescent="0.2">
      <c r="A10" s="18" t="s">
        <v>46</v>
      </c>
      <c r="B10" s="11" t="str">
        <f ca="1">SUBSTITUTE(CONCATENATE("tblDim",$K$5,tblNPCGenerator[[#This Row],[Character Dimension]])," ","")</f>
        <v>tblDimElfLowAbility</v>
      </c>
      <c r="C10" s="11" t="str">
        <f>SUBSTITUTE(CONCATENATE("tblDim",tblNPCGenerator[[#This Row],[Character Dimension]])," ","")</f>
        <v>tblDimLowAbility</v>
      </c>
      <c r="D10" s="11">
        <f ca="1">MIN(INDIRECT(tblNPCGenerator[[#This Row],[tblLookupB]]&amp;"[Score]"))</f>
        <v>0.16666666666666682</v>
      </c>
      <c r="E10" s="11">
        <f ca="1">MAX(INDIRECT(tblNPCGenerator[[#This Row],[tblLookupB]]&amp;"[Score]"))</f>
        <v>1</v>
      </c>
      <c r="F10" s="11">
        <v>0.26</v>
      </c>
      <c r="G10" s="11"/>
      <c r="H10" s="11">
        <f ca="1">IF(SUM(tblNPCGenerator[[#This Row],[Rand]:[Mod]])&gt;=tblNPCGenerator[[#This Row],[Table Min]],IF(SUM(tblNPCGenerator[[#This Row],[Rand]:[Mod]])&lt;=tblNPCGenerator[[#This Row],[Table Max]],SUM(tblNPCGenerator[[#This Row],[Rand]:[Mod]]),tblNPCGenerator[[#This Row],[Table Max]]),tblNPCGenerator[[#This Row],[Table Min]])</f>
        <v>0.26</v>
      </c>
      <c r="I10" s="11"/>
      <c r="J10" s="11">
        <f ca="1">IF(ISBLANK(tblNPCGenerator[[#This Row],[Locked Score]]),tblNPCGenerator[[#This Row],[Rand Score]],tblNPCGenerator[[#This Row],[Locked Score]])</f>
        <v>0.26</v>
      </c>
      <c r="K10" s="1" t="str">
        <f ca="1">INDEX(INDIRECT(tblNPCGenerator[[#This Row],[tblLookupB]]),MATCH(tblNPCGenerator[[#This Row],[Score]],INDIRECT(tblNPCGenerator[[#This Row],[tblLookupB]]&amp;"[Score]"),-1),2)</f>
        <v>Wisdom - oblivious, absent-minded</v>
      </c>
      <c r="L10" s="1"/>
      <c r="N10" s="2" t="str">
        <f ca="1">CONCATENATE("|",A10,"|",K10,"|")</f>
        <v>|Low Ability|Wisdom - oblivious, absent-minded|</v>
      </c>
    </row>
    <row r="11" spans="1:14" x14ac:dyDescent="0.2">
      <c r="A11" s="18" t="s">
        <v>47</v>
      </c>
      <c r="B11" s="11" t="str">
        <f ca="1">SUBSTITUTE(CONCATENATE("tblDim",$K$5,tblNPCGenerator[[#This Row],[Character Dimension]])," ","")</f>
        <v>tblDimElfClass</v>
      </c>
      <c r="C11" s="11" t="str">
        <f>SUBSTITUTE(CONCATENATE("tblDim",tblNPCGenerator[[#This Row],[Character Dimension]])," ","")</f>
        <v>tblDimClass</v>
      </c>
      <c r="D11" s="11">
        <f ca="1">MIN(INDIRECT(tblNPCGenerator[[#This Row],[tblLookupB]]&amp;"[Score]"))</f>
        <v>8.3333333333333245E-2</v>
      </c>
      <c r="E11" s="11">
        <f ca="1">MAX(INDIRECT(tblNPCGenerator[[#This Row],[tblLookupB]]&amp;"[Score]"))</f>
        <v>1</v>
      </c>
      <c r="F11" s="11">
        <v>0.18</v>
      </c>
      <c r="G11" s="11"/>
      <c r="H11" s="11">
        <f ca="1">IF(SUM(tblNPCGenerator[[#This Row],[Rand]:[Mod]])&gt;=tblNPCGenerator[[#This Row],[Table Min]],IF(SUM(tblNPCGenerator[[#This Row],[Rand]:[Mod]])&lt;=tblNPCGenerator[[#This Row],[Table Max]],SUM(tblNPCGenerator[[#This Row],[Rand]:[Mod]]),tblNPCGenerator[[#This Row],[Table Max]]),tblNPCGenerator[[#This Row],[Table Min]])</f>
        <v>0.18</v>
      </c>
      <c r="I11" s="11"/>
      <c r="J11" s="11">
        <f ca="1">IF(ISBLANK(tblNPCGenerator[[#This Row],[Locked Score]]),tblNPCGenerator[[#This Row],[Rand Score]],tblNPCGenerator[[#This Row],[Locked Score]])</f>
        <v>0.18</v>
      </c>
      <c r="K11" s="1" t="str">
        <f ca="1">INDEX(INDIRECT(tblNPCGenerator[[#This Row],[tblLookupB]]),MATCH(tblNPCGenerator[[#This Row],[Score]],INDIRECT(tblNPCGenerator[[#This Row],[tblLookupB]]&amp;"[Score]"),-1),2)</f>
        <v>Sorcerer</v>
      </c>
      <c r="L11" s="1"/>
      <c r="N11" s="2" t="str">
        <f ca="1">CONCATENATE("|",A11,"|",K11,"|")</f>
        <v>|Class|Sorcerer|</v>
      </c>
    </row>
    <row r="12" spans="1:14" x14ac:dyDescent="0.2">
      <c r="A12" s="18" t="s">
        <v>48</v>
      </c>
      <c r="B12" s="11" t="str">
        <f ca="1">SUBSTITUTE(CONCATENATE("tblDim",$K$5,tblNPCGenerator[[#This Row],[Character Dimension]])," ","")</f>
        <v>tblDimElfAlignment</v>
      </c>
      <c r="C12" s="11" t="str">
        <f>SUBSTITUTE(CONCATENATE("tblDim",tblNPCGenerator[[#This Row],[Character Dimension]])," ","")</f>
        <v>tblDimAlignment</v>
      </c>
      <c r="D12" s="11">
        <f ca="1">MIN(INDIRECT(tblNPCGenerator[[#This Row],[tblLookupB]]&amp;"[Score]"))</f>
        <v>1.3498980316301035E-3</v>
      </c>
      <c r="E12" s="11">
        <f ca="1">MAX(INDIRECT(tblNPCGenerator[[#This Row],[tblLookupB]]&amp;"[Score]"))</f>
        <v>0.98393771439617173</v>
      </c>
      <c r="F12" s="11">
        <v>0.12</v>
      </c>
      <c r="G12" s="11"/>
      <c r="H12" s="11">
        <f ca="1">IF(SUM(tblNPCGenerator[[#This Row],[Rand]:[Mod]])&gt;=tblNPCGenerator[[#This Row],[Table Min]],IF(SUM(tblNPCGenerator[[#This Row],[Rand]:[Mod]])&lt;=tblNPCGenerator[[#This Row],[Table Max]],SUM(tblNPCGenerator[[#This Row],[Rand]:[Mod]]),tblNPCGenerator[[#This Row],[Table Max]]),tblNPCGenerator[[#This Row],[Table Min]])</f>
        <v>0.12</v>
      </c>
      <c r="I12" s="11"/>
      <c r="J12" s="11">
        <f ca="1">IF(ISBLANK(tblNPCGenerator[[#This Row],[Locked Score]]),tblNPCGenerator[[#This Row],[Rand Score]],tblNPCGenerator[[#This Row],[Locked Score]])</f>
        <v>0.12</v>
      </c>
      <c r="K12" s="1" t="str">
        <f ca="1">INDEX(INDIRECT(tblNPCGenerator[[#This Row],[tblLookupB]]),MATCH(tblNPCGenerator[[#This Row],[Score]],INDIRECT(tblNPCGenerator[[#This Row],[tblLookupB]]&amp;"[Score]"),-1),2)</f>
        <v>Chaotic good</v>
      </c>
      <c r="L12" s="1"/>
      <c r="N12" s="2" t="str">
        <f ca="1">CONCATENATE("|",A12,"|",K12,"|")</f>
        <v>|Alignment|Chaotic good|</v>
      </c>
    </row>
    <row r="13" spans="1:14" x14ac:dyDescent="0.2">
      <c r="A13" s="18" t="s">
        <v>49</v>
      </c>
      <c r="B13" s="11" t="str">
        <f ca="1">SUBSTITUTE(CONCATENATE("tblDim",$K$5,tblNPCGenerator[[#This Row],[Character Dimension]])," ","")</f>
        <v>tblDimElfDiety</v>
      </c>
      <c r="C13" s="11" t="str">
        <f>SUBSTITUTE(CONCATENATE("tblDim",tblNPCGenerator[[#This Row],[Character Dimension]])," ","")</f>
        <v>tblDimDiety</v>
      </c>
      <c r="D13" s="11">
        <f ca="1">MIN(INDIRECT(tblNPCGenerator[[#This Row],[tblLookupB]]&amp;"[Score]"))</f>
        <v>2.7027027027027972E-2</v>
      </c>
      <c r="E13" s="11">
        <f ca="1">MAX(INDIRECT(tblNPCGenerator[[#This Row],[tblLookupB]]&amp;"[Score]"))</f>
        <v>1</v>
      </c>
      <c r="F13" s="11">
        <v>0.82</v>
      </c>
      <c r="G13" s="11"/>
      <c r="H13" s="11">
        <f ca="1">IF(SUM(tblNPCGenerator[[#This Row],[Rand]:[Mod]])&gt;=tblNPCGenerator[[#This Row],[Table Min]],IF(SUM(tblNPCGenerator[[#This Row],[Rand]:[Mod]])&lt;=tblNPCGenerator[[#This Row],[Table Max]],SUM(tblNPCGenerator[[#This Row],[Rand]:[Mod]]),tblNPCGenerator[[#This Row],[Table Max]]),tblNPCGenerator[[#This Row],[Table Min]])</f>
        <v>0.82</v>
      </c>
      <c r="I13" s="11"/>
      <c r="J13" s="11">
        <f ca="1">IF(ISBLANK(tblNPCGenerator[[#This Row],[Locked Score]]),tblNPCGenerator[[#This Row],[Rand Score]],tblNPCGenerator[[#This Row],[Locked Score]])</f>
        <v>0.82</v>
      </c>
      <c r="K13" s="1" t="str">
        <f ca="1">INDEX(INDIRECT(tblNPCGenerator[[#This Row],[tblLookupB]]),MATCH(tblNPCGenerator[[#This Row],[Score]],INDIRECT(tblNPCGenerator[[#This Row],[tblLookupB]]&amp;"[Score]"),-1),2)</f>
        <v>Cyric, god of lies</v>
      </c>
      <c r="L13" s="1"/>
      <c r="N13" s="2" t="str">
        <f ca="1">CONCATENATE("|",A13,"|",K13,"|")</f>
        <v>|Diety|Cyric, god of lies|</v>
      </c>
    </row>
    <row r="14" spans="1:14" x14ac:dyDescent="0.2">
      <c r="A14" s="18" t="s">
        <v>50</v>
      </c>
      <c r="B14" s="11" t="str">
        <f ca="1">SUBSTITUTE(CONCATENATE("tblDim",$K$5,tblNPCGenerator[[#This Row],[Character Dimension]])," ","")</f>
        <v>tblDimElfPersonalityTrait</v>
      </c>
      <c r="C14" s="11" t="str">
        <f>SUBSTITUTE(CONCATENATE("tblDim",tblNPCGenerator[[#This Row],[Character Dimension]])," ","")</f>
        <v>tblDimPersonalityTrait</v>
      </c>
      <c r="D14" s="11">
        <f ca="1">MIN(INDIRECT(tblNPCGenerator[[#This Row],[tblLookupB]]&amp;"[Score]"))</f>
        <v>9.6153846153859551E-3</v>
      </c>
      <c r="E14" s="11">
        <f ca="1">MAX(INDIRECT(tblNPCGenerator[[#This Row],[tblLookupB]]&amp;"[Score]"))</f>
        <v>1</v>
      </c>
      <c r="F14" s="11">
        <v>0.99</v>
      </c>
      <c r="G14" s="11"/>
      <c r="H14" s="11">
        <f ca="1">IF(SUM(tblNPCGenerator[[#This Row],[Rand]:[Mod]])&gt;=tblNPCGenerator[[#This Row],[Table Min]],IF(SUM(tblNPCGenerator[[#This Row],[Rand]:[Mod]])&lt;=tblNPCGenerator[[#This Row],[Table Max]],SUM(tblNPCGenerator[[#This Row],[Rand]:[Mod]]),tblNPCGenerator[[#This Row],[Table Max]]),tblNPCGenerator[[#This Row],[Table Min]])</f>
        <v>0.99</v>
      </c>
      <c r="I14" s="11"/>
      <c r="J14" s="11">
        <f ca="1">IF(ISBLANK(tblNPCGenerator[[#This Row],[Locked Score]]),tblNPCGenerator[[#This Row],[Rand Score]],tblNPCGenerator[[#This Row],[Locked Score]])</f>
        <v>0.99</v>
      </c>
      <c r="K14" s="1" t="str">
        <f ca="1">INDEX(INDIRECT(tblNPCGenerator[[#This Row],[tblLookupB]]),MATCH(tblNPCGenerator[[#This Row],[Score]],INDIRECT(tblNPCGenerator[[#This Row],[tblLookupB]]&amp;"[Score]"),-1),2)</f>
        <v>I can find common ground between the fiercest enemies, empathizing with them and always working toward peace.</v>
      </c>
      <c r="L14" s="1"/>
      <c r="N14" s="2" t="str">
        <f ca="1">CONCATENATE("|",A14,"|",K14,"|")</f>
        <v>|Personality Trait|I can find common ground between the fiercest enemies, empathizing with them and always working toward peace.|</v>
      </c>
    </row>
    <row r="15" spans="1:14" x14ac:dyDescent="0.2">
      <c r="A15" s="19" t="s">
        <v>50</v>
      </c>
      <c r="B15" s="11" t="str">
        <f ca="1">SUBSTITUTE(CONCATENATE("tblDim",$K$5,tblNPCGenerator[[#This Row],[Character Dimension]])," ","")</f>
        <v>tblDimElfPersonalityTrait</v>
      </c>
      <c r="C15" s="11" t="str">
        <f>SUBSTITUTE(CONCATENATE("tblDim",tblNPCGenerator[[#This Row],[Character Dimension]])," ","")</f>
        <v>tblDimPersonalityTrait</v>
      </c>
      <c r="D15" s="11">
        <f ca="1">MIN(INDIRECT(tblNPCGenerator[[#This Row],[tblLookupB]]&amp;"[Score]"))</f>
        <v>9.6153846153859551E-3</v>
      </c>
      <c r="E15" s="11">
        <f ca="1">MAX(INDIRECT(tblNPCGenerator[[#This Row],[tblLookupB]]&amp;"[Score]"))</f>
        <v>1</v>
      </c>
      <c r="F15" s="11">
        <v>0.02</v>
      </c>
      <c r="G15" s="11"/>
      <c r="H15" s="11">
        <f ca="1">IF(SUM(tblNPCGenerator[[#This Row],[Rand]:[Mod]])&gt;=tblNPCGenerator[[#This Row],[Table Min]],IF(SUM(tblNPCGenerator[[#This Row],[Rand]:[Mod]])&lt;=tblNPCGenerator[[#This Row],[Table Max]],SUM(tblNPCGenerator[[#This Row],[Rand]:[Mod]]),tblNPCGenerator[[#This Row],[Table Max]]),tblNPCGenerator[[#This Row],[Table Min]])</f>
        <v>0.02</v>
      </c>
      <c r="I15" s="11"/>
      <c r="J15" s="11">
        <f ca="1">IF(ISBLANK(tblNPCGenerator[[#This Row],[Locked Score]]),tblNPCGenerator[[#This Row],[Rand Score]],tblNPCGenerator[[#This Row],[Locked Score]])</f>
        <v>0.02</v>
      </c>
      <c r="K15" s="1" t="str">
        <f ca="1">INDEX(INDIRECT(tblNPCGenerator[[#This Row],[tblLookupB]]),MATCH(tblNPCGenerator[[#This Row],[Score]],INDIRECT(tblNPCGenerator[[#This Row],[tblLookupB]]&amp;"[Score]"),-1),2)</f>
        <v>I think anyone who's nice to me is hiding evil intent.</v>
      </c>
      <c r="L15" s="1"/>
      <c r="N15" s="2" t="str">
        <f ca="1">CONCATENATE("|",A15,"|",K15,"|")</f>
        <v>|Personality Trait|I think anyone who's nice to me is hiding evil intent.|</v>
      </c>
    </row>
    <row r="16" spans="1:14" x14ac:dyDescent="0.2">
      <c r="A16" s="18" t="s">
        <v>51</v>
      </c>
      <c r="B16" s="11" t="str">
        <f ca="1">SUBSTITUTE(CONCATENATE("tblDim",$K$5,tblNPCGenerator[[#This Row],[Character Dimension]])," ","")</f>
        <v>tblDimElfIdeal</v>
      </c>
      <c r="C16" s="11" t="str">
        <f>SUBSTITUTE(CONCATENATE("tblDim",tblNPCGenerator[[#This Row],[Character Dimension]])," ","")</f>
        <v>tblDimIdeal</v>
      </c>
      <c r="D16" s="11">
        <f ca="1">MIN(INDIRECT(tblNPCGenerator[[#This Row],[tblLookupB]]&amp;"[Score]"))</f>
        <v>1.2820512820514336E-2</v>
      </c>
      <c r="E16" s="11">
        <f ca="1">MAX(INDIRECT(tblNPCGenerator[[#This Row],[tblLookupB]]&amp;"[Score]"))</f>
        <v>1</v>
      </c>
      <c r="F16" s="11">
        <v>0.09</v>
      </c>
      <c r="G16" s="11"/>
      <c r="H16" s="11">
        <f ca="1">IF(SUM(tblNPCGenerator[[#This Row],[Rand]:[Mod]])&gt;=tblNPCGenerator[[#This Row],[Table Min]],IF(SUM(tblNPCGenerator[[#This Row],[Rand]:[Mod]])&lt;=tblNPCGenerator[[#This Row],[Table Max]],SUM(tblNPCGenerator[[#This Row],[Rand]:[Mod]]),tblNPCGenerator[[#This Row],[Table Max]]),tblNPCGenerator[[#This Row],[Table Min]])</f>
        <v>0.09</v>
      </c>
      <c r="I16" s="11"/>
      <c r="J16" s="11">
        <f ca="1">IF(ISBLANK(tblNPCGenerator[[#This Row],[Locked Score]]),tblNPCGenerator[[#This Row],[Rand Score]],tblNPCGenerator[[#This Row],[Locked Score]])</f>
        <v>0.09</v>
      </c>
      <c r="K16" s="1" t="str">
        <f ca="1">INDEX(INDIRECT(tblNPCGenerator[[#This Row],[tblLookupB]]),MATCH(tblNPCGenerator[[#This Row],[Score]],INDIRECT(tblNPCGenerator[[#This Row],[tblLookupB]]&amp;"[Score]"),-1),2)</f>
        <v>Ideals aren't worth killing for or going to war for. (Neutral)</v>
      </c>
      <c r="L16" s="1"/>
      <c r="N16" s="2" t="str">
        <f ca="1">CONCATENATE("|",A16,"|",K16,"|")</f>
        <v>|Ideal|Ideals aren't worth killing for or going to war for. (Neutral)|</v>
      </c>
    </row>
    <row r="17" spans="1:14" x14ac:dyDescent="0.2">
      <c r="A17" s="18" t="s">
        <v>52</v>
      </c>
      <c r="B17" s="11" t="str">
        <f ca="1">SUBSTITUTE(CONCATENATE("tblDim",$K$5,tblNPCGenerator[[#This Row],[Character Dimension]])," ","")</f>
        <v>tblDimElfBond</v>
      </c>
      <c r="C17" s="11" t="str">
        <f>SUBSTITUTE(CONCATENATE("tblDim",tblNPCGenerator[[#This Row],[Character Dimension]])," ","")</f>
        <v>tblDimBond</v>
      </c>
      <c r="D17" s="11">
        <f ca="1">MIN(INDIRECT(tblNPCGenerator[[#This Row],[tblLookupB]]&amp;"[Score]"))</f>
        <v>1.2820512820514336E-2</v>
      </c>
      <c r="E17" s="11">
        <f ca="1">MAX(INDIRECT(tblNPCGenerator[[#This Row],[tblLookupB]]&amp;"[Score]"))</f>
        <v>1</v>
      </c>
      <c r="F17" s="11">
        <v>0.39</v>
      </c>
      <c r="G17" s="11"/>
      <c r="H17" s="11">
        <f ca="1">IF(SUM(tblNPCGenerator[[#This Row],[Rand]:[Mod]])&gt;=tblNPCGenerator[[#This Row],[Table Min]],IF(SUM(tblNPCGenerator[[#This Row],[Rand]:[Mod]])&lt;=tblNPCGenerator[[#This Row],[Table Max]],SUM(tblNPCGenerator[[#This Row],[Rand]:[Mod]]),tblNPCGenerator[[#This Row],[Table Max]]),tblNPCGenerator[[#This Row],[Table Min]])</f>
        <v>0.39</v>
      </c>
      <c r="I17" s="11"/>
      <c r="J17" s="11">
        <f ca="1">IF(ISBLANK(tblNPCGenerator[[#This Row],[Locked Score]]),tblNPCGenerator[[#This Row],[Rand Score]],tblNPCGenerator[[#This Row],[Locked Score]])</f>
        <v>0.39</v>
      </c>
      <c r="K17" s="1" t="str">
        <f ca="1">INDEX(INDIRECT(tblNPCGenerator[[#This Row],[tblLookupB]]),MATCH(tblNPCGenerator[[#This Row],[Score]],INDIRECT(tblNPCGenerator[[#This Row],[tblLookupB]]&amp;"[Score]"),-1),2)</f>
        <v>The common folk must see me as a hero of the people.</v>
      </c>
      <c r="L17" s="1"/>
      <c r="M17" s="24"/>
      <c r="N17" s="2" t="str">
        <f ca="1">CONCATENATE("|",A17,"|",K17,"|")</f>
        <v>|Bond|The common folk must see me as a hero of the people.|</v>
      </c>
    </row>
    <row r="18" spans="1:14" x14ac:dyDescent="0.2">
      <c r="A18" s="18" t="s">
        <v>53</v>
      </c>
      <c r="B18" s="11" t="str">
        <f ca="1">SUBSTITUTE(CONCATENATE("tblDim",$K$5,tblNPCGenerator[[#This Row],[Character Dimension]])," ","")</f>
        <v>tblDimElfFlaw</v>
      </c>
      <c r="C18" s="11" t="str">
        <f>SUBSTITUTE(CONCATENATE("tblDim",tblNPCGenerator[[#This Row],[Character Dimension]])," ","")</f>
        <v>tblDimFlaw</v>
      </c>
      <c r="D18" s="11">
        <f ca="1">MIN(INDIRECT(tblNPCGenerator[[#This Row],[tblLookupB]]&amp;"[Score]"))</f>
        <v>1.2820512820514336E-2</v>
      </c>
      <c r="E18" s="11">
        <f ca="1">MAX(INDIRECT(tblNPCGenerator[[#This Row],[tblLookupB]]&amp;"[Score]"))</f>
        <v>1</v>
      </c>
      <c r="F18" s="11">
        <v>0.42</v>
      </c>
      <c r="G18" s="11"/>
      <c r="H18" s="11">
        <f ca="1">IF(SUM(tblNPCGenerator[[#This Row],[Rand]:[Mod]])&gt;=tblNPCGenerator[[#This Row],[Table Min]],IF(SUM(tblNPCGenerator[[#This Row],[Rand]:[Mod]])&lt;=tblNPCGenerator[[#This Row],[Table Max]],SUM(tblNPCGenerator[[#This Row],[Rand]:[Mod]]),tblNPCGenerator[[#This Row],[Table Max]]),tblNPCGenerator[[#This Row],[Table Min]])</f>
        <v>0.42</v>
      </c>
      <c r="I18" s="11"/>
      <c r="J18" s="11">
        <f ca="1">IF(ISBLANK(tblNPCGenerator[[#This Row],[Locked Score]]),tblNPCGenerator[[#This Row],[Rand Score]],tblNPCGenerator[[#This Row],[Locked Score]])</f>
        <v>0.42</v>
      </c>
      <c r="K18" s="1" t="str">
        <f ca="1">INDEX(INDIRECT(tblNPCGenerator[[#This Row],[tblLookupB]]),MATCH(tblNPCGenerator[[#This Row],[Score]],INDIRECT(tblNPCGenerator[[#This Row],[tblLookupB]]&amp;"[Score]"),-1),2)</f>
        <v>I have an insatiable desire for carnal pleasures.</v>
      </c>
      <c r="L18" s="1"/>
      <c r="N18" s="2" t="str">
        <f ca="1">CONCATENATE("|",A18,"|",K18,"|")</f>
        <v>|Flaw|I have an insatiable desire for carnal pleasures.|</v>
      </c>
    </row>
    <row r="19" spans="1:14" x14ac:dyDescent="0.2">
      <c r="A19" s="18" t="s">
        <v>54</v>
      </c>
      <c r="B19" s="11" t="str">
        <f ca="1">SUBSTITUTE(CONCATENATE("tblDim",$K$5,tblNPCGenerator[[#This Row],[Character Dimension]])," ","")</f>
        <v>tblDimElfTalents</v>
      </c>
      <c r="C19" s="11" t="str">
        <f>SUBSTITUTE(CONCATENATE("tblDim",tblNPCGenerator[[#This Row],[Character Dimension]])," ","")</f>
        <v>tblDimTalents</v>
      </c>
      <c r="D19" s="11">
        <f ca="1">MIN(INDIRECT(tblNPCGenerator[[#This Row],[tblLookupB]]&amp;"[Score]"))</f>
        <v>4.9999999999999684E-2</v>
      </c>
      <c r="E19" s="11">
        <f ca="1">MAX(INDIRECT(tblNPCGenerator[[#This Row],[tblLookupB]]&amp;"[Score]"))</f>
        <v>1</v>
      </c>
      <c r="F19" s="11">
        <v>0.02</v>
      </c>
      <c r="G19" s="11"/>
      <c r="H19" s="11">
        <f ca="1">IF(SUM(tblNPCGenerator[[#This Row],[Rand]:[Mod]])&gt;=tblNPCGenerator[[#This Row],[Table Min]],IF(SUM(tblNPCGenerator[[#This Row],[Rand]:[Mod]])&lt;=tblNPCGenerator[[#This Row],[Table Max]],SUM(tblNPCGenerator[[#This Row],[Rand]:[Mod]]),tblNPCGenerator[[#This Row],[Table Max]]),tblNPCGenerator[[#This Row],[Table Min]])</f>
        <v>4.9999999999999684E-2</v>
      </c>
      <c r="I19" s="11"/>
      <c r="J19" s="11">
        <f ca="1">IF(ISBLANK(tblNPCGenerator[[#This Row],[Locked Score]]),tblNPCGenerator[[#This Row],[Rand Score]],tblNPCGenerator[[#This Row],[Locked Score]])</f>
        <v>4.9999999999999684E-2</v>
      </c>
      <c r="K19" s="1" t="str">
        <f ca="1">INDEX(INDIRECT(tblNPCGenerator[[#This Row],[tblLookupB]]),MATCH(tblNPCGenerator[[#This Row],[Score]],INDIRECT(tblNPCGenerator[[#This Row],[tblLookupB]]&amp;"[Score]"),-1),2)</f>
        <v>Plays a musical instrument </v>
      </c>
      <c r="L19" s="1"/>
      <c r="N19" s="2" t="str">
        <f ca="1">CONCATENATE("|",A19,"|",K19,"|")</f>
        <v>|Talents|Plays a musical instrument |</v>
      </c>
    </row>
    <row r="20" spans="1:14" x14ac:dyDescent="0.2">
      <c r="A20" s="18" t="s">
        <v>55</v>
      </c>
      <c r="B20" s="11" t="str">
        <f ca="1">SUBSTITUTE(CONCATENATE("tblDim",$K$5,tblNPCGenerator[[#This Row],[Character Dimension]])," ","")</f>
        <v>tblDimElfMannerisms</v>
      </c>
      <c r="C20" s="11" t="str">
        <f>SUBSTITUTE(CONCATENATE("tblDim",tblNPCGenerator[[#This Row],[Character Dimension]])," ","")</f>
        <v>tblDimMannerisms</v>
      </c>
      <c r="D20" s="11">
        <f ca="1">MIN(INDIRECT(tblNPCGenerator[[#This Row],[tblLookupB]]&amp;"[Score]"))</f>
        <v>4.5454545454545775E-2</v>
      </c>
      <c r="E20" s="11">
        <f ca="1">MAX(INDIRECT(tblNPCGenerator[[#This Row],[tblLookupB]]&amp;"[Score]"))</f>
        <v>1</v>
      </c>
      <c r="F20" s="11">
        <v>0.44</v>
      </c>
      <c r="G20" s="11"/>
      <c r="H20" s="11">
        <f ca="1">IF(SUM(tblNPCGenerator[[#This Row],[Rand]:[Mod]])&gt;=tblNPCGenerator[[#This Row],[Table Min]],IF(SUM(tblNPCGenerator[[#This Row],[Rand]:[Mod]])&lt;=tblNPCGenerator[[#This Row],[Table Max]],SUM(tblNPCGenerator[[#This Row],[Rand]:[Mod]]),tblNPCGenerator[[#This Row],[Table Max]]),tblNPCGenerator[[#This Row],[Table Min]])</f>
        <v>0.44</v>
      </c>
      <c r="I20" s="11"/>
      <c r="J20" s="11">
        <f ca="1">IF(ISBLANK(tblNPCGenerator[[#This Row],[Locked Score]]),tblNPCGenerator[[#This Row],[Rand Score]],tblNPCGenerator[[#This Row],[Locked Score]])</f>
        <v>0.44</v>
      </c>
      <c r="K20" s="1" t="str">
        <f ca="1">INDEX(INDIRECT(tblNPCGenerator[[#This Row],[tblLookupB]]),MATCH(tblNPCGenerator[[#This Row],[Score]],INDIRECT(tblNPCGenerator[[#This Row],[tblLookupB]]&amp;"[Score]"),-1),2)</f>
        <v>Bites fingernails</v>
      </c>
      <c r="L20" s="1"/>
      <c r="N20" s="2" t="str">
        <f ca="1">CONCATENATE("|",A20,"|",K20,"|")</f>
        <v>|Mannerisms|Bites fingernails|</v>
      </c>
    </row>
    <row r="21" spans="1:14" x14ac:dyDescent="0.2">
      <c r="A21" s="18" t="s">
        <v>56</v>
      </c>
      <c r="B21" s="11" t="str">
        <f ca="1">SUBSTITUTE(CONCATENATE("tblDim",$K$5,tblNPCGenerator[[#This Row],[Character Dimension]])," ","")</f>
        <v>tblDimElfInteractionTraits</v>
      </c>
      <c r="C21" s="11" t="str">
        <f>SUBSTITUTE(CONCATENATE("tblDim",tblNPCGenerator[[#This Row],[Character Dimension]])," ","")</f>
        <v>tblDimInteractionTraits</v>
      </c>
      <c r="D21" s="11">
        <f ca="1">MIN(INDIRECT(tblNPCGenerator[[#This Row],[tblLookupB]]&amp;"[Score]"))</f>
        <v>8.3333333333333245E-2</v>
      </c>
      <c r="E21" s="11">
        <f ca="1">MAX(INDIRECT(tblNPCGenerator[[#This Row],[tblLookupB]]&amp;"[Score]"))</f>
        <v>1</v>
      </c>
      <c r="F21" s="11">
        <v>0.37</v>
      </c>
      <c r="G21" s="11"/>
      <c r="H21" s="11">
        <f ca="1">IF(SUM(tblNPCGenerator[[#This Row],[Rand]:[Mod]])&gt;=tblNPCGenerator[[#This Row],[Table Min]],IF(SUM(tblNPCGenerator[[#This Row],[Rand]:[Mod]])&lt;=tblNPCGenerator[[#This Row],[Table Max]],SUM(tblNPCGenerator[[#This Row],[Rand]:[Mod]]),tblNPCGenerator[[#This Row],[Table Max]]),tblNPCGenerator[[#This Row],[Table Min]])</f>
        <v>0.37</v>
      </c>
      <c r="I21" s="11"/>
      <c r="J21" s="11">
        <f ca="1">IF(ISBLANK(tblNPCGenerator[[#This Row],[Locked Score]]),tblNPCGenerator[[#This Row],[Rand Score]],tblNPCGenerator[[#This Row],[Locked Score]])</f>
        <v>0.37</v>
      </c>
      <c r="K21" s="1" t="str">
        <f ca="1">INDEX(INDIRECT(tblNPCGenerator[[#This Row],[tblLookupB]]),MATCH(tblNPCGenerator[[#This Row],[Score]],INDIRECT(tblNPCGenerator[[#This Row],[tblLookupB]]&amp;"[Score]"),-1),2)</f>
        <v>Hot tempered</v>
      </c>
      <c r="L21" s="1"/>
      <c r="N21" s="2" t="str">
        <f ca="1">CONCATENATE("|",A21,"|",K21,"|")</f>
        <v>|Interaction Traits|Hot tempered|</v>
      </c>
    </row>
    <row r="22" spans="1:14" x14ac:dyDescent="0.2">
      <c r="A22" s="18" t="s">
        <v>56</v>
      </c>
      <c r="B22" s="11" t="str">
        <f ca="1">SUBSTITUTE(CONCATENATE("tblDim",$K$5,tblNPCGenerator[[#This Row],[Character Dimension]])," ","")</f>
        <v>tblDimElfInteractionTraits</v>
      </c>
      <c r="C22" s="11" t="str">
        <f>SUBSTITUTE(CONCATENATE("tblDim",tblNPCGenerator[[#This Row],[Character Dimension]])," ","")</f>
        <v>tblDimInteractionTraits</v>
      </c>
      <c r="D22" s="11">
        <f ca="1">MIN(INDIRECT(tblNPCGenerator[[#This Row],[tblLookupB]]&amp;"[Score]"))</f>
        <v>8.3333333333333245E-2</v>
      </c>
      <c r="E22" s="11">
        <f ca="1">MAX(INDIRECT(tblNPCGenerator[[#This Row],[tblLookupB]]&amp;"[Score]"))</f>
        <v>1</v>
      </c>
      <c r="F22" s="11">
        <v>0.15</v>
      </c>
      <c r="G22" s="11"/>
      <c r="H22" s="11">
        <f ca="1">IF(SUM(tblNPCGenerator[[#This Row],[Rand]:[Mod]])&gt;=tblNPCGenerator[[#This Row],[Table Min]],IF(SUM(tblNPCGenerator[[#This Row],[Rand]:[Mod]])&lt;=tblNPCGenerator[[#This Row],[Table Max]],SUM(tblNPCGenerator[[#This Row],[Rand]:[Mod]]),tblNPCGenerator[[#This Row],[Table Max]]),tblNPCGenerator[[#This Row],[Table Min]])</f>
        <v>0.15</v>
      </c>
      <c r="I22" s="11"/>
      <c r="J22" s="11">
        <f ca="1">IF(ISBLANK(tblNPCGenerator[[#This Row],[Locked Score]]),tblNPCGenerator[[#This Row],[Rand Score]],tblNPCGenerator[[#This Row],[Locked Score]])</f>
        <v>0.15</v>
      </c>
      <c r="K22" s="1" t="str">
        <f ca="1">INDEX(INDIRECT(tblNPCGenerator[[#This Row],[tblLookupB]]),MATCH(tblNPCGenerator[[#This Row],[Score]],INDIRECT(tblNPCGenerator[[#This Row],[tblLookupB]]&amp;"[Score]"),-1),2)</f>
        <v>Quiet</v>
      </c>
      <c r="L22" s="1"/>
      <c r="N22" s="2" t="str">
        <f ca="1">CONCATENATE("|",A22,"|",K22,"|")</f>
        <v>|Interaction Traits|Quiet|</v>
      </c>
    </row>
    <row r="23" spans="1:14" x14ac:dyDescent="0.2">
      <c r="A23" s="18" t="s">
        <v>57</v>
      </c>
      <c r="B23" s="11" t="str">
        <f ca="1">SUBSTITUTE(CONCATENATE("tblDim",$K$5,tblNPCGenerator[[#This Row],[Character Dimension]])," ","")</f>
        <v>tblDimElfBackground</v>
      </c>
      <c r="C23" s="11" t="str">
        <f>SUBSTITUTE(CONCATENATE("tblDim",tblNPCGenerator[[#This Row],[Character Dimension]])," ","")</f>
        <v>tblDimBackground</v>
      </c>
      <c r="D23" s="11">
        <f ca="1">MIN(INDIRECT(tblNPCGenerator[[#This Row],[tblLookupB]]&amp;"[Score]"))</f>
        <v>7.6923076923077205E-2</v>
      </c>
      <c r="E23" s="11">
        <f ca="1">MAX(INDIRECT(tblNPCGenerator[[#This Row],[tblLookupB]]&amp;"[Score]"))</f>
        <v>1</v>
      </c>
      <c r="F23" s="11">
        <v>0.61</v>
      </c>
      <c r="G23" s="11"/>
      <c r="H23" s="11">
        <f ca="1">IF(SUM(tblNPCGenerator[[#This Row],[Rand]:[Mod]])&gt;=tblNPCGenerator[[#This Row],[Table Min]],IF(SUM(tblNPCGenerator[[#This Row],[Rand]:[Mod]])&lt;=tblNPCGenerator[[#This Row],[Table Max]],SUM(tblNPCGenerator[[#This Row],[Rand]:[Mod]]),tblNPCGenerator[[#This Row],[Table Max]]),tblNPCGenerator[[#This Row],[Table Min]])</f>
        <v>0.61</v>
      </c>
      <c r="I23" s="11"/>
      <c r="J23" s="11">
        <f ca="1">IF(ISBLANK(tblNPCGenerator[[#This Row],[Locked Score]]),tblNPCGenerator[[#This Row],[Rand Score]],tblNPCGenerator[[#This Row],[Locked Score]])</f>
        <v>0.61</v>
      </c>
      <c r="K23" s="1" t="str">
        <f ca="1">INDEX(INDIRECT(tblNPCGenerator[[#This Row],[tblLookupB]]),MATCH(tblNPCGenerator[[#This Row],[Score]],INDIRECT(tblNPCGenerator[[#This Row],[tblLookupB]]&amp;"[Score]"),-1),2)</f>
        <v>Guild Artisan</v>
      </c>
      <c r="L23" s="1"/>
      <c r="N23" s="2" t="str">
        <f ca="1">CONCATENATE("|",A23,"|",K23,"|")</f>
        <v>|Background|Guild Artisan|</v>
      </c>
    </row>
    <row r="24" spans="1:14" x14ac:dyDescent="0.2">
      <c r="A24" s="18" t="str">
        <f ca="1">CONCATENATE(K23," Reason")</f>
        <v>Guild Artisan Reason</v>
      </c>
      <c r="B24" s="11" t="str">
        <f ca="1">SUBSTITUTE(CONCATENATE("tblDim",$K$5,tblNPCGenerator[[#This Row],[Character Dimension]])," ","")</f>
        <v>tblDimElfGuildArtisanReason</v>
      </c>
      <c r="C24" s="11" t="str">
        <f ca="1">SUBSTITUTE(CONCATENATE("tblDim",tblNPCGenerator[[#This Row],[Character Dimension]])," ","")</f>
        <v>tblDimGuildArtisanReason</v>
      </c>
      <c r="D24" s="11">
        <f ca="1">MIN(INDIRECT(tblNPCGenerator[[#This Row],[tblLookupB]]&amp;"[Score]"))</f>
        <v>0.16666666666666682</v>
      </c>
      <c r="E24" s="11">
        <f ca="1">MAX(INDIRECT(tblNPCGenerator[[#This Row],[tblLookupB]]&amp;"[Score]"))</f>
        <v>1</v>
      </c>
      <c r="F24" s="11">
        <v>0.45</v>
      </c>
      <c r="G24" s="11"/>
      <c r="H24" s="11">
        <f ca="1">IF(SUM(tblNPCGenerator[[#This Row],[Rand]:[Mod]])&gt;=tblNPCGenerator[[#This Row],[Table Min]],IF(SUM(tblNPCGenerator[[#This Row],[Rand]:[Mod]])&lt;=tblNPCGenerator[[#This Row],[Table Max]],SUM(tblNPCGenerator[[#This Row],[Rand]:[Mod]]),tblNPCGenerator[[#This Row],[Table Max]]),tblNPCGenerator[[#This Row],[Table Min]])</f>
        <v>0.45</v>
      </c>
      <c r="I24" s="11"/>
      <c r="J24" s="11">
        <f ca="1">IF(ISBLANK(tblNPCGenerator[[#This Row],[Locked Score]]),tblNPCGenerator[[#This Row],[Rand Score]],tblNPCGenerator[[#This Row],[Locked Score]])</f>
        <v>0.45</v>
      </c>
      <c r="K24" s="1" t="str">
        <f ca="1">INDEX(INDIRECT(tblNPCGenerator[[#This Row],[tblLookupB]]),MATCH(tblNPCGenerator[[#This Row],[Score]],INDIRECT(tblNPCGenerator[[#This Row],[tblLookupB]]&amp;"[Score]"),-1),2)</f>
        <v>I was always good with my hands, so I took the opportunity to learn a trade.</v>
      </c>
      <c r="L24" s="1"/>
      <c r="N24" s="2" t="str">
        <f ca="1">CONCATENATE("|",A24,"|",K24,"|")</f>
        <v>|Guild Artisan Reason|I was always good with my hands, so I took the opportunity to learn a trade.|</v>
      </c>
    </row>
    <row r="25" spans="1:14" x14ac:dyDescent="0.2">
      <c r="A25" s="18" t="s">
        <v>58</v>
      </c>
      <c r="B25" s="11" t="str">
        <f ca="1">SUBSTITUTE(CONCATENATE("tblDim",$K$5,tblNPCGenerator[[#This Row],[Character Dimension]])," ","")</f>
        <v>tblDimElfStatus</v>
      </c>
      <c r="C25" s="11" t="str">
        <f>SUBSTITUTE(CONCATENATE("tblDim",tblNPCGenerator[[#This Row],[Character Dimension]])," ","")</f>
        <v>tblDimStatus</v>
      </c>
      <c r="D25" s="11">
        <f ca="1">MIN(INDIRECT(tblNPCGenerator[[#This Row],[tblLookupB]]&amp;"[Score]"))</f>
        <v>0.14285714285714307</v>
      </c>
      <c r="E25" s="11">
        <f ca="1">MAX(INDIRECT(tblNPCGenerator[[#This Row],[tblLookupB]]&amp;"[Score]"))</f>
        <v>1</v>
      </c>
      <c r="F25" s="11">
        <v>0.34</v>
      </c>
      <c r="G25" s="11"/>
      <c r="H25" s="11">
        <f ca="1">IF(SUM(tblNPCGenerator[[#This Row],[Rand]:[Mod]])&gt;=tblNPCGenerator[[#This Row],[Table Min]],IF(SUM(tblNPCGenerator[[#This Row],[Rand]:[Mod]])&lt;=tblNPCGenerator[[#This Row],[Table Max]],SUM(tblNPCGenerator[[#This Row],[Rand]:[Mod]]),tblNPCGenerator[[#This Row],[Table Max]]),tblNPCGenerator[[#This Row],[Table Min]])</f>
        <v>0.34</v>
      </c>
      <c r="I25" s="11"/>
      <c r="J25" s="11">
        <f ca="1">IF(ISBLANK(tblNPCGenerator[[#This Row],[Locked Score]]),tblNPCGenerator[[#This Row],[Rand Score]],tblNPCGenerator[[#This Row],[Locked Score]])</f>
        <v>0.34</v>
      </c>
      <c r="K25" s="1" t="str">
        <f ca="1">INDEX(INDIRECT(tblNPCGenerator[[#This Row],[tblLookupB]]),MATCH(tblNPCGenerator[[#This Row],[Score]],INDIRECT(tblNPCGenerator[[#This Row],[tblLookupB]]&amp;"[Score]"),-1),2)</f>
        <v>Alive and quite successful</v>
      </c>
      <c r="L25" s="1"/>
      <c r="N25" s="2" t="str">
        <f ca="1">CONCATENATE("|",A25,"|",K25,"|")</f>
        <v>|Status|Alive and quite successful|</v>
      </c>
    </row>
    <row r="26" spans="1:14" x14ac:dyDescent="0.2">
      <c r="A26" s="18" t="s">
        <v>59</v>
      </c>
      <c r="B26" s="11" t="str">
        <f ca="1">SUBSTITUTE(CONCATENATE("tblDim",$K$5,tblNPCGenerator[[#This Row],[Character Dimension]])," ","")</f>
        <v>tblDimElfLifestyle</v>
      </c>
      <c r="C26" s="11" t="str">
        <f>SUBSTITUTE(CONCATENATE("tblDim",tblNPCGenerator[[#This Row],[Character Dimension]])," ","")</f>
        <v>tblDimLifestyle</v>
      </c>
      <c r="D26" s="11">
        <f ca="1">MIN(INDIRECT(tblNPCGenerator[[#This Row],[tblLookupB]]&amp;"[Score]"))</f>
        <v>1.3498980316301035E-3</v>
      </c>
      <c r="E26" s="11">
        <f ca="1">MAX(INDIRECT(tblNPCGenerator[[#This Row],[tblLookupB]]&amp;"[Score]"))</f>
        <v>0.98393771439617173</v>
      </c>
      <c r="F26" s="11">
        <v>0.59</v>
      </c>
      <c r="G26" s="11"/>
      <c r="H26" s="11">
        <f ca="1">IF(SUM(tblNPCGenerator[[#This Row],[Rand]:[Mod]])&gt;=tblNPCGenerator[[#This Row],[Table Min]],IF(SUM(tblNPCGenerator[[#This Row],[Rand]:[Mod]])&lt;=tblNPCGenerator[[#This Row],[Table Max]],SUM(tblNPCGenerator[[#This Row],[Rand]:[Mod]]),tblNPCGenerator[[#This Row],[Table Max]]),tblNPCGenerator[[#This Row],[Table Min]])</f>
        <v>0.59</v>
      </c>
      <c r="I26" s="11"/>
      <c r="J26" s="11">
        <f ca="1">IF(ISBLANK(tblNPCGenerator[[#This Row],[Locked Score]]),tblNPCGenerator[[#This Row],[Rand Score]],tblNPCGenerator[[#This Row],[Locked Score]])</f>
        <v>0.59</v>
      </c>
      <c r="K26" s="1" t="str">
        <f ca="1">INDEX(INDIRECT(tblNPCGenerator[[#This Row],[tblLookupB]]),MATCH(tblNPCGenerator[[#This Row],[Score]],INDIRECT(tblNPCGenerator[[#This Row],[tblLookupB]]&amp;"[Score]"),-1),2)</f>
        <v>Poor (-10)</v>
      </c>
      <c r="L26" s="1"/>
      <c r="N26" s="2" t="str">
        <f ca="1">CONCATENATE("|",A26,"|",K26,"|")</f>
        <v>|Lifestyle|Poor (-10)|</v>
      </c>
    </row>
    <row r="27" spans="1:14" x14ac:dyDescent="0.2">
      <c r="A27" s="18" t="s">
        <v>60</v>
      </c>
      <c r="B27" s="11" t="str">
        <f ca="1">SUBSTITUTE(CONCATENATE("tblDim",$K$5,tblNPCGenerator[[#This Row],[Character Dimension]])," ","")</f>
        <v>tblDimElfChildhoodHome</v>
      </c>
      <c r="C27" s="11" t="str">
        <f>SUBSTITUTE(CONCATENATE("tblDim",tblNPCGenerator[[#This Row],[Character Dimension]])," ","")</f>
        <v>tblDimChildhoodHome</v>
      </c>
      <c r="D27" s="11">
        <f ca="1">MIN(INDIRECT(tblNPCGenerator[[#This Row],[tblLookupB]]&amp;"[Score]"))</f>
        <v>1.3498980316301035E-3</v>
      </c>
      <c r="E27" s="11">
        <f ca="1">MAX(INDIRECT(tblNPCGenerator[[#This Row],[tblLookupB]]&amp;"[Score]"))</f>
        <v>0.99018467137135469</v>
      </c>
      <c r="F27" s="11">
        <v>0.56000000000000005</v>
      </c>
      <c r="G27" s="11"/>
      <c r="H27" s="11">
        <f ca="1">IF(SUM(tblNPCGenerator[[#This Row],[Rand]:[Mod]])&gt;=tblNPCGenerator[[#This Row],[Table Min]],IF(SUM(tblNPCGenerator[[#This Row],[Rand]:[Mod]])&lt;=tblNPCGenerator[[#This Row],[Table Max]],SUM(tblNPCGenerator[[#This Row],[Rand]:[Mod]]),tblNPCGenerator[[#This Row],[Table Max]]),tblNPCGenerator[[#This Row],[Table Min]])</f>
        <v>0.56000000000000005</v>
      </c>
      <c r="I27" s="11"/>
      <c r="J27" s="11">
        <f ca="1">IF(ISBLANK(tblNPCGenerator[[#This Row],[Locked Score]]),tblNPCGenerator[[#This Row],[Rand Score]],tblNPCGenerator[[#This Row],[Locked Score]])</f>
        <v>0.56000000000000005</v>
      </c>
      <c r="K27" s="1" t="str">
        <f ca="1">INDEX(INDIRECT(tblNPCGenerator[[#This Row],[tblLookupB]]),MATCH(tblNPCGenerator[[#This Row],[Score]],INDIRECT(tblNPCGenerator[[#This Row],[tblLookupB]]&amp;"[Score]"),-1),2)</f>
        <v>Encampment or village in the wilderness</v>
      </c>
      <c r="L27" s="1"/>
      <c r="N27" s="2" t="str">
        <f ca="1">CONCATENATE("|",A27,"|",K27,"|")</f>
        <v>|Childhood Home|Encampment or village in the wilderness|</v>
      </c>
    </row>
    <row r="28" spans="1:14" x14ac:dyDescent="0.2">
      <c r="A28" s="18" t="s">
        <v>61</v>
      </c>
      <c r="B28" s="11" t="str">
        <f ca="1">SUBSTITUTE(CONCATENATE("tblDim",$K$5,tblNPCGenerator[[#This Row],[Character Dimension]])," ","")</f>
        <v>tblDimElfFamily</v>
      </c>
      <c r="C28" s="11" t="str">
        <f>SUBSTITUTE(CONCATENATE("tblDim",tblNPCGenerator[[#This Row],[Character Dimension]])," ","")</f>
        <v>tblDimFamily</v>
      </c>
      <c r="D28" s="11">
        <f ca="1">MIN(INDIRECT(tblNPCGenerator[[#This Row],[tblLookupB]]&amp;"[Score]"))</f>
        <v>9.0909090909090662E-2</v>
      </c>
      <c r="E28" s="11">
        <f ca="1">MAX(INDIRECT(tblNPCGenerator[[#This Row],[tblLookupB]]&amp;"[Score]"))</f>
        <v>1</v>
      </c>
      <c r="F28" s="11">
        <v>0.19</v>
      </c>
      <c r="G28" s="11"/>
      <c r="H28" s="11">
        <f ca="1">IF(SUM(tblNPCGenerator[[#This Row],[Rand]:[Mod]])&gt;=tblNPCGenerator[[#This Row],[Table Min]],IF(SUM(tblNPCGenerator[[#This Row],[Rand]:[Mod]])&lt;=tblNPCGenerator[[#This Row],[Table Max]],SUM(tblNPCGenerator[[#This Row],[Rand]:[Mod]]),tblNPCGenerator[[#This Row],[Table Max]]),tblNPCGenerator[[#This Row],[Table Min]])</f>
        <v>0.19</v>
      </c>
      <c r="I28" s="11"/>
      <c r="J28" s="11">
        <f ca="1">IF(ISBLANK(tblNPCGenerator[[#This Row],[Locked Score]]),tblNPCGenerator[[#This Row],[Rand Score]],tblNPCGenerator[[#This Row],[Locked Score]])</f>
        <v>0.19</v>
      </c>
      <c r="K28" s="1" t="str">
        <f ca="1">INDEX(INDIRECT(tblNPCGenerator[[#This Row],[tblLookupB]]),MATCH(tblNPCGenerator[[#This Row],[Score]],INDIRECT(tblNPCGenerator[[#This Row],[tblLookupB]]&amp;"[Score]"),-1),2)</f>
        <v>Single father or stepfather</v>
      </c>
      <c r="L28" s="1"/>
      <c r="N28" s="2" t="str">
        <f ca="1">CONCATENATE("|",A28,"|",K28,"|")</f>
        <v>|Family|Single father or stepfather|</v>
      </c>
    </row>
    <row r="29" spans="1:14" x14ac:dyDescent="0.2">
      <c r="A29" s="18" t="s">
        <v>62</v>
      </c>
      <c r="B29" s="11" t="str">
        <f ca="1">SUBSTITUTE(CONCATENATE("tblDim",$K$5,tblNPCGenerator[[#This Row],[Character Dimension]])," ","")</f>
        <v>tblDimElfBirthplace</v>
      </c>
      <c r="C29" s="11" t="str">
        <f>SUBSTITUTE(CONCATENATE("tblDim",tblNPCGenerator[[#This Row],[Character Dimension]])," ","")</f>
        <v>tblDimBirthplace</v>
      </c>
      <c r="D29" s="11">
        <f ca="1">MIN(INDIRECT(tblNPCGenerator[[#This Row],[tblLookupB]]&amp;"[Score]"))</f>
        <v>4.3478260869565716E-2</v>
      </c>
      <c r="E29" s="11">
        <f ca="1">MAX(INDIRECT(tblNPCGenerator[[#This Row],[tblLookupB]]&amp;"[Score]"))</f>
        <v>1</v>
      </c>
      <c r="F29" s="11">
        <v>0.09</v>
      </c>
      <c r="G29" s="11"/>
      <c r="H29" s="11">
        <f ca="1">IF(SUM(tblNPCGenerator[[#This Row],[Rand]:[Mod]])&gt;=tblNPCGenerator[[#This Row],[Table Min]],IF(SUM(tblNPCGenerator[[#This Row],[Rand]:[Mod]])&lt;=tblNPCGenerator[[#This Row],[Table Max]],SUM(tblNPCGenerator[[#This Row],[Rand]:[Mod]]),tblNPCGenerator[[#This Row],[Table Max]]),tblNPCGenerator[[#This Row],[Table Min]])</f>
        <v>0.09</v>
      </c>
      <c r="I29" s="11"/>
      <c r="J29" s="11">
        <f ca="1">IF(ISBLANK(tblNPCGenerator[[#This Row],[Locked Score]]),tblNPCGenerator[[#This Row],[Rand Score]],tblNPCGenerator[[#This Row],[Locked Score]])</f>
        <v>0.09</v>
      </c>
      <c r="K29" s="1" t="str">
        <f ca="1">INDEX(INDIRECT(tblNPCGenerator[[#This Row],[tblLookupB]]),MATCH(tblNPCGenerator[[#This Row],[Score]],INDIRECT(tblNPCGenerator[[#This Row],[tblLookupB]]&amp;"[Score]"),-1),2)</f>
        <v>On the Astral Plane or the Ethereal Plane</v>
      </c>
      <c r="L29" s="1"/>
      <c r="N29" s="2" t="str">
        <f ca="1">CONCATENATE("|",A29,"|",K29,"|")</f>
        <v>|Birthplace|On the Astral Plane or the Ethereal Plane|</v>
      </c>
    </row>
    <row r="30" spans="1:14" x14ac:dyDescent="0.2">
      <c r="A30" s="18" t="s">
        <v>63</v>
      </c>
      <c r="B30" s="11" t="str">
        <f ca="1">SUBSTITUTE(CONCATENATE("tblDim",$K$5,tblNPCGenerator[[#This Row],[Character Dimension]])," ","")</f>
        <v>tblDimElfAbsentParent</v>
      </c>
      <c r="C30" s="11" t="str">
        <f>SUBSTITUTE(CONCATENATE("tblDim",tblNPCGenerator[[#This Row],[Character Dimension]])," ","")</f>
        <v>tblDimAbsentParent</v>
      </c>
      <c r="D30" s="11">
        <f ca="1">MIN(INDIRECT(tblNPCGenerator[[#This Row],[tblLookupB]]&amp;"[Score]"))</f>
        <v>0.25</v>
      </c>
      <c r="E30" s="11">
        <f ca="1">MAX(INDIRECT(tblNPCGenerator[[#This Row],[tblLookupB]]&amp;"[Score]"))</f>
        <v>1</v>
      </c>
      <c r="F30" s="11">
        <v>0.62</v>
      </c>
      <c r="G30" s="11"/>
      <c r="H30" s="11">
        <f ca="1">IF(SUM(tblNPCGenerator[[#This Row],[Rand]:[Mod]])&gt;=tblNPCGenerator[[#This Row],[Table Min]],IF(SUM(tblNPCGenerator[[#This Row],[Rand]:[Mod]])&lt;=tblNPCGenerator[[#This Row],[Table Max]],SUM(tblNPCGenerator[[#This Row],[Rand]:[Mod]]),tblNPCGenerator[[#This Row],[Table Max]]),tblNPCGenerator[[#This Row],[Table Min]])</f>
        <v>0.62</v>
      </c>
      <c r="I30" s="11"/>
      <c r="J30" s="11">
        <f ca="1">IF(ISBLANK(tblNPCGenerator[[#This Row],[Locked Score]]),tblNPCGenerator[[#This Row],[Rand Score]],tblNPCGenerator[[#This Row],[Locked Score]])</f>
        <v>0.62</v>
      </c>
      <c r="K30" s="1" t="str">
        <f ca="1">INDEX(INDIRECT(tblNPCGenerator[[#This Row],[tblLookupB]]),MATCH(tblNPCGenerator[[#This Row],[Score]],INDIRECT(tblNPCGenerator[[#This Row],[tblLookupB]]&amp;"[Score]"),-1),2)</f>
        <v>Your parent was imprisoned, enslaved, or otherwise taken away.</v>
      </c>
      <c r="L30" s="1"/>
      <c r="N30" s="2" t="str">
        <f ca="1">CONCATENATE("|",A30,"|",K30,"|")</f>
        <v>|Absent Parent|Your parent was imprisoned, enslaved, or otherwise taken away.|</v>
      </c>
    </row>
    <row r="31" spans="1:14" x14ac:dyDescent="0.2">
      <c r="A31" s="18" t="s">
        <v>64</v>
      </c>
      <c r="B31" s="11" t="str">
        <f ca="1">SUBSTITUTE(CONCATENATE("tblDim",$K$5,tblNPCGenerator[[#This Row],[Character Dimension]])," ","")</f>
        <v>tblDimElfCauseofDeath</v>
      </c>
      <c r="C31" s="11" t="str">
        <f>SUBSTITUTE(CONCATENATE("tblDim",tblNPCGenerator[[#This Row],[Character Dimension]])," ","")</f>
        <v>tblDimCauseofDeath</v>
      </c>
      <c r="D31" s="11">
        <f ca="1">MIN(INDIRECT(tblNPCGenerator[[#This Row],[tblLookupB]]&amp;"[Score]"))</f>
        <v>9.0909090909090662E-2</v>
      </c>
      <c r="E31" s="11">
        <f ca="1">MAX(INDIRECT(tblNPCGenerator[[#This Row],[tblLookupB]]&amp;"[Score]"))</f>
        <v>1</v>
      </c>
      <c r="F31" s="11">
        <v>0.59</v>
      </c>
      <c r="G31" s="11"/>
      <c r="H31" s="11">
        <f ca="1">IF(SUM(tblNPCGenerator[[#This Row],[Rand]:[Mod]])&gt;=tblNPCGenerator[[#This Row],[Table Min]],IF(SUM(tblNPCGenerator[[#This Row],[Rand]:[Mod]])&lt;=tblNPCGenerator[[#This Row],[Table Max]],SUM(tblNPCGenerator[[#This Row],[Rand]:[Mod]]),tblNPCGenerator[[#This Row],[Table Max]]),tblNPCGenerator[[#This Row],[Table Min]])</f>
        <v>0.59</v>
      </c>
      <c r="I31" s="11"/>
      <c r="J31" s="11">
        <f ca="1">IF(ISBLANK(tblNPCGenerator[[#This Row],[Locked Score]]),tblNPCGenerator[[#This Row],[Rand Score]],tblNPCGenerator[[#This Row],[Locked Score]])</f>
        <v>0.59</v>
      </c>
      <c r="K31" s="1" t="str">
        <f ca="1">INDEX(INDIRECT(tblNPCGenerator[[#This Row],[tblLookupB]]),MATCH(tblNPCGenerator[[#This Row],[Score]],INDIRECT(tblNPCGenerator[[#This Row],[tblLookupB]]&amp;"[Score]"),-1),2)</f>
        <v>Accident unrelated to class or occupation</v>
      </c>
      <c r="L31" s="1"/>
      <c r="N31" s="2" t="str">
        <f ca="1">CONCATENATE("|",A31,"|",K31,"|")</f>
        <v>|Cause of Death|Accident unrelated to class or occupation|</v>
      </c>
    </row>
    <row r="32" spans="1:14" x14ac:dyDescent="0.2">
      <c r="A32" s="18" t="s">
        <v>65</v>
      </c>
      <c r="B32" s="11" t="str">
        <f ca="1">SUBSTITUTE(CONCATENATE("tblDim",$K$5,tblNPCGenerator[[#This Row],[Character Dimension]])," ","")</f>
        <v>tblDimElfParentsKnown</v>
      </c>
      <c r="C32" s="11" t="str">
        <f>SUBSTITUTE(CONCATENATE("tblDim",tblNPCGenerator[[#This Row],[Character Dimension]])," ","")</f>
        <v>tblDimParentsKnown</v>
      </c>
      <c r="D32" s="11">
        <f ca="1">MIN(INDIRECT(tblNPCGenerator[[#This Row],[tblLookupB]]&amp;"[Score]"))</f>
        <v>0.25</v>
      </c>
      <c r="E32" s="11">
        <f ca="1">MAX(INDIRECT(tblNPCGenerator[[#This Row],[tblLookupB]]&amp;"[Score]"))</f>
        <v>1</v>
      </c>
      <c r="F32" s="11">
        <v>0.48</v>
      </c>
      <c r="G32" s="11"/>
      <c r="H32" s="11">
        <f ca="1">IF(SUM(tblNPCGenerator[[#This Row],[Rand]:[Mod]])&gt;=tblNPCGenerator[[#This Row],[Table Min]],IF(SUM(tblNPCGenerator[[#This Row],[Rand]:[Mod]])&lt;=tblNPCGenerator[[#This Row],[Table Max]],SUM(tblNPCGenerator[[#This Row],[Rand]:[Mod]]),tblNPCGenerator[[#This Row],[Table Max]]),tblNPCGenerator[[#This Row],[Table Min]])</f>
        <v>0.48</v>
      </c>
      <c r="I32" s="11"/>
      <c r="J32" s="11">
        <f ca="1">IF(ISBLANK(tblNPCGenerator[[#This Row],[Locked Score]]),tblNPCGenerator[[#This Row],[Rand Score]],tblNPCGenerator[[#This Row],[Locked Score]])</f>
        <v>0.48</v>
      </c>
      <c r="K32" s="1" t="str">
        <f ca="1">INDEX(INDIRECT(tblNPCGenerator[[#This Row],[tblLookupB]]),MATCH(tblNPCGenerator[[#This Row],[Score]],INDIRECT(tblNPCGenerator[[#This Row],[tblLookupB]]&amp;"[Score]"),-1),2)</f>
        <v>You know who your parents are or were.</v>
      </c>
      <c r="L32" s="1"/>
      <c r="N32" s="2" t="str">
        <f ca="1">CONCATENATE("|",A32,"|",K32,"|")</f>
        <v>|Parents Known|You know who your parents are or were.|</v>
      </c>
    </row>
    <row r="33" spans="1:14" x14ac:dyDescent="0.2">
      <c r="A33" s="18" t="s">
        <v>66</v>
      </c>
      <c r="B33" s="11" t="str">
        <f ca="1">SUBSTITUTE(CONCATENATE("tblDim",$K$5,tblNPCGenerator[[#This Row],[Character Dimension]])," ","")</f>
        <v>tblDimElfNumberofSiblings</v>
      </c>
      <c r="C33" s="11" t="str">
        <f>SUBSTITUTE(CONCATENATE("tblDim",tblNPCGenerator[[#This Row],[Character Dimension]])," ","")</f>
        <v>tblDimNumberofSiblings</v>
      </c>
      <c r="D33" s="11">
        <f ca="1">MIN(INDIRECT(tblNPCGenerator[[#This Row],[tblLookupB]]&amp;"[Score]"))</f>
        <v>1.3498980316301035E-3</v>
      </c>
      <c r="E33" s="11">
        <f ca="1">MAX(INDIRECT(tblNPCGenerator[[#This Row],[tblLookupB]]&amp;"[Score]"))</f>
        <v>0.96406968088707423</v>
      </c>
      <c r="F33" s="11">
        <v>0.93</v>
      </c>
      <c r="G33" s="11"/>
      <c r="H33" s="11">
        <f ca="1">IF(SUM(tblNPCGenerator[[#This Row],[Rand]:[Mod]])&gt;=tblNPCGenerator[[#This Row],[Table Min]],IF(SUM(tblNPCGenerator[[#This Row],[Rand]:[Mod]])&lt;=tblNPCGenerator[[#This Row],[Table Max]],SUM(tblNPCGenerator[[#This Row],[Rand]:[Mod]]),tblNPCGenerator[[#This Row],[Table Max]]),tblNPCGenerator[[#This Row],[Table Min]])</f>
        <v>0.93</v>
      </c>
      <c r="I33" s="11"/>
      <c r="J33" s="11">
        <f ca="1">IF(ISBLANK(tblNPCGenerator[[#This Row],[Locked Score]]),tblNPCGenerator[[#This Row],[Rand Score]],tblNPCGenerator[[#This Row],[Locked Score]])</f>
        <v>0.93</v>
      </c>
      <c r="K33" s="1">
        <f ca="1">INDEX(INDIRECT(tblNPCGenerator[[#This Row],[tblLookupB]]),MATCH(tblNPCGenerator[[#This Row],[Score]],INDIRECT(tblNPCGenerator[[#This Row],[tblLookupB]]&amp;"[Score]"),-1),2)</f>
        <v>0</v>
      </c>
      <c r="L33" s="1"/>
      <c r="N33" s="2" t="str">
        <f ca="1">CONCATENATE("|",A33,"|",K33,"|")</f>
        <v>|Number of Siblings|0|</v>
      </c>
    </row>
    <row r="34" spans="1:14" x14ac:dyDescent="0.2">
      <c r="A34" s="18" t="s">
        <v>67</v>
      </c>
      <c r="B34" s="11" t="str">
        <f ca="1">SUBSTITUTE(CONCATENATE("tblDim",$K$5,tblNPCGenerator[[#This Row],[Character Dimension]])," ","")</f>
        <v>tblDimElfChildhoodMemory</v>
      </c>
      <c r="C34" s="11" t="str">
        <f>SUBSTITUTE(CONCATENATE("tblDim",tblNPCGenerator[[#This Row],[Character Dimension]])," ","")</f>
        <v>tblDimChildhoodMemory</v>
      </c>
      <c r="D34" s="11">
        <f ca="1">MIN(INDIRECT(tblNPCGenerator[[#This Row],[tblLookupB]]&amp;"[Score]"))</f>
        <v>0.14285714285714307</v>
      </c>
      <c r="E34" s="11">
        <f ca="1">MAX(INDIRECT(tblNPCGenerator[[#This Row],[tblLookupB]]&amp;"[Score]"))</f>
        <v>1</v>
      </c>
      <c r="F34" s="11">
        <v>0.46</v>
      </c>
      <c r="G34" s="11"/>
      <c r="H34" s="11">
        <f ca="1">IF(SUM(tblNPCGenerator[[#This Row],[Rand]:[Mod]])&gt;=tblNPCGenerator[[#This Row],[Table Min]],IF(SUM(tblNPCGenerator[[#This Row],[Rand]:[Mod]])&lt;=tblNPCGenerator[[#This Row],[Table Max]],SUM(tblNPCGenerator[[#This Row],[Rand]:[Mod]]),tblNPCGenerator[[#This Row],[Table Max]]),tblNPCGenerator[[#This Row],[Table Min]])</f>
        <v>0.46</v>
      </c>
      <c r="I34" s="11"/>
      <c r="J34" s="11">
        <f ca="1">IF(ISBLANK(tblNPCGenerator[[#This Row],[Locked Score]]),tblNPCGenerator[[#This Row],[Rand Score]],tblNPCGenerator[[#This Row],[Locked Score]])</f>
        <v>0.46</v>
      </c>
      <c r="K34" s="1" t="str">
        <f ca="1">INDEX(INDIRECT(tblNPCGenerator[[#This Row],[tblLookupB]]),MATCH(tblNPCGenerator[[#This Row],[Score]],INDIRECT(tblNPCGenerator[[#This Row],[tblLookupB]]&amp;"[Score]"),-1),2)</f>
        <v>I had a few close friends and lived an ordinary childhood.</v>
      </c>
      <c r="L34" s="1"/>
      <c r="N34" s="2" t="str">
        <f ca="1">CONCATENATE("|",A34,"|",K34,"|")</f>
        <v>|Childhood Memory|I had a few close friends and lived an ordinary childhood.|</v>
      </c>
    </row>
    <row r="35" spans="1:14" x14ac:dyDescent="0.2">
      <c r="A35" s="18" t="s">
        <v>68</v>
      </c>
      <c r="B35" s="11" t="str">
        <f ca="1">SUBSTITUTE(CONCATENATE("tblDim",$K$5,tblNPCGenerator[[#This Row],[Character Dimension]])," ","")</f>
        <v>tblDimElfBaseStatBlock</v>
      </c>
      <c r="C35" s="11" t="str">
        <f>SUBSTITUTE(CONCATENATE("tblDim",tblNPCGenerator[[#This Row],[Character Dimension]])," ","")</f>
        <v>tblDimBaseStatBlock</v>
      </c>
      <c r="D35" s="11">
        <f ca="1">MIN(INDIRECT(tblNPCGenerator[[#This Row],[tblLookupB]]&amp;"[Score]"))</f>
        <v>1</v>
      </c>
      <c r="E35" s="11">
        <f ca="1">MAX(INDIRECT(tblNPCGenerator[[#This Row],[tblLookupB]]&amp;"[Score]"))</f>
        <v>1</v>
      </c>
      <c r="F35" s="11">
        <v>0.11</v>
      </c>
      <c r="G35" s="11"/>
      <c r="H35" s="11">
        <f ca="1">IF(SUM(tblNPCGenerator[[#This Row],[Rand]:[Mod]])&gt;=tblNPCGenerator[[#This Row],[Table Min]],IF(SUM(tblNPCGenerator[[#This Row],[Rand]:[Mod]])&lt;=tblNPCGenerator[[#This Row],[Table Max]],SUM(tblNPCGenerator[[#This Row],[Rand]:[Mod]]),tblNPCGenerator[[#This Row],[Table Max]]),tblNPCGenerator[[#This Row],[Table Min]])</f>
        <v>1</v>
      </c>
      <c r="I35" s="11"/>
      <c r="J35" s="11">
        <f ca="1">IF(ISBLANK(tblNPCGenerator[[#This Row],[Locked Score]]),tblNPCGenerator[[#This Row],[Rand Score]],tblNPCGenerator[[#This Row],[Locked Score]])</f>
        <v>1</v>
      </c>
      <c r="K35" s="1">
        <f ca="1">INDEX(INDIRECT(tblNPCGenerator[[#This Row],[tblLookupB]]),MATCH(tblNPCGenerator[[#This Row],[Score]],INDIRECT(tblNPCGenerator[[#This Row],[tblLookupB]]&amp;"[Score]"),-1),2)</f>
        <v>0</v>
      </c>
      <c r="L35" s="1"/>
      <c r="N35" s="2" t="str">
        <f ca="1">CONCATENATE("|",A35,"|",K35,"|")</f>
        <v>|Base Stat Block|0|</v>
      </c>
    </row>
    <row r="36" spans="1:14" x14ac:dyDescent="0.2">
      <c r="A36" s="18" t="s">
        <v>69</v>
      </c>
      <c r="B36" s="11" t="str">
        <f ca="1">SUBSTITUTE(CONCATENATE("tblDim",$K$5,tblNPCGenerator[[#This Row],[Character Dimension]])," ","")</f>
        <v>tblDimElfImageURL</v>
      </c>
      <c r="C36" s="11" t="str">
        <f>SUBSTITUTE(CONCATENATE("tblDim",tblNPCGenerator[[#This Row],[Character Dimension]])," ","")</f>
        <v>tblDimImageURL</v>
      </c>
      <c r="D36" s="11">
        <f ca="1">MIN(INDIRECT(tblNPCGenerator[[#This Row],[tblLookupB]]&amp;"[Score]"))</f>
        <v>1</v>
      </c>
      <c r="E36" s="11">
        <f ca="1">MAX(INDIRECT(tblNPCGenerator[[#This Row],[tblLookupB]]&amp;"[Score]"))</f>
        <v>1</v>
      </c>
      <c r="F36" s="11">
        <v>0.1</v>
      </c>
      <c r="G36" s="11"/>
      <c r="H36" s="11">
        <f ca="1">IF(SUM(tblNPCGenerator[[#This Row],[Rand]:[Mod]])&gt;=tblNPCGenerator[[#This Row],[Table Min]],IF(SUM(tblNPCGenerator[[#This Row],[Rand]:[Mod]])&lt;=tblNPCGenerator[[#This Row],[Table Max]],SUM(tblNPCGenerator[[#This Row],[Rand]:[Mod]]),tblNPCGenerator[[#This Row],[Table Max]]),tblNPCGenerator[[#This Row],[Table Min]])</f>
        <v>1</v>
      </c>
      <c r="I36" s="11"/>
      <c r="J36" s="11">
        <f ca="1">IF(ISBLANK(tblNPCGenerator[[#This Row],[Locked Score]]),tblNPCGenerator[[#This Row],[Rand Score]],tblNPCGenerator[[#This Row],[Locked Score]])</f>
        <v>1</v>
      </c>
      <c r="K36" s="1">
        <f ca="1">INDEX(INDIRECT(tblNPCGenerator[[#This Row],[tblLookupB]]),MATCH(tblNPCGenerator[[#This Row],[Score]],INDIRECT(tblNPCGenerator[[#This Row],[tblLookupB]]&amp;"[Score]"),-1),2)</f>
        <v>0</v>
      </c>
      <c r="L36" s="1"/>
      <c r="N36" s="2" t="str">
        <f ca="1">CONCATENATE("|",A36,"|",K36,"|")</f>
        <v>|Image URL|0|</v>
      </c>
    </row>
  </sheetData>
  <phoneticPr fontId="9" type="noConversion"/>
  <pageMargins left="0.7" right="0.7" top="0.75" bottom="0.75" header="0.3" footer="0.3"/>
  <pageSetup scale="8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3.RefreshButton">
                <anchor moveWithCells="1">
                  <from>
                    <xdr:col>0</xdr:col>
                    <xdr:colOff>241300</xdr:colOff>
                    <xdr:row>37</xdr:row>
                    <xdr:rowOff>12700</xdr:rowOff>
                  </from>
                  <to>
                    <xdr:col>0</xdr:col>
                    <xdr:colOff>1397000</xdr:colOff>
                    <xdr:row>40</xdr:row>
                    <xdr:rowOff>12700</xdr:rowOff>
                  </to>
                </anchor>
              </controlPr>
            </control>
          </mc:Choice>
          <mc:Fallback/>
        </mc:AlternateContent>
      </controls>
    </mc:Choice>
    <mc:Fallback/>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Y1038"/>
  <sheetViews>
    <sheetView workbookViewId="0">
      <selection activeCell="O33" sqref="O33"/>
    </sheetView>
  </sheetViews>
  <sheetFormatPr baseColWidth="10" defaultColWidth="9" defaultRowHeight="15" x14ac:dyDescent="0.2"/>
  <cols>
    <col min="1" max="1" width="8" style="2" bestFit="1" customWidth="1"/>
    <col min="2" max="2" width="54.796875" style="2" customWidth="1"/>
    <col min="3" max="3" width="9" style="2"/>
    <col min="4" max="4" width="18.19921875" style="2" customWidth="1"/>
    <col min="5" max="5" width="10.19921875" style="2" customWidth="1"/>
    <col min="6" max="12" width="9" style="2"/>
    <col min="13" max="13" width="12" style="2" bestFit="1" customWidth="1"/>
    <col min="14" max="14" width="9" style="2"/>
    <col min="15" max="15" width="9.19921875" style="2" bestFit="1"/>
    <col min="16" max="17" width="9" style="2"/>
    <col min="18" max="18" width="9.3984375" style="2" bestFit="1" customWidth="1"/>
    <col min="19" max="19" width="9.796875" style="2" customWidth="1"/>
    <col min="20" max="20" width="8.796875" style="2" bestFit="1" customWidth="1"/>
    <col min="21" max="21" width="8.796875" style="2" customWidth="1"/>
    <col min="22" max="23" width="9" style="2"/>
    <col min="24" max="24" width="9.59765625" style="2" customWidth="1"/>
    <col min="25" max="16384" width="9" style="2"/>
  </cols>
  <sheetData>
    <row r="1" spans="1:25" x14ac:dyDescent="0.2">
      <c r="A1" s="1" t="s">
        <v>0</v>
      </c>
      <c r="B1" s="1" t="s">
        <v>1</v>
      </c>
      <c r="D1" s="1" t="s">
        <v>2</v>
      </c>
      <c r="E1" s="1" t="s">
        <v>3</v>
      </c>
      <c r="O1" s="2" t="s">
        <v>6</v>
      </c>
    </row>
    <row r="2" spans="1:25" x14ac:dyDescent="0.2">
      <c r="A2" s="3"/>
      <c r="B2" s="1"/>
      <c r="D2" s="1" t="s">
        <v>4</v>
      </c>
      <c r="E2" s="33" t="s">
        <v>1248</v>
      </c>
      <c r="O2" s="2" t="s">
        <v>7</v>
      </c>
    </row>
    <row r="3" spans="1:25" x14ac:dyDescent="0.2">
      <c r="D3" s="1" t="s">
        <v>5</v>
      </c>
      <c r="E3" s="33" t="s">
        <v>1249</v>
      </c>
      <c r="W3" s="5">
        <f ca="1">SUMPRODUCT(--ISERROR(tblDistributionTests[Fair]))</f>
        <v>502</v>
      </c>
      <c r="X3" s="5">
        <f ca="1">SUMPRODUCT(--ISERROR(tblDistributionTests[Normal A]))</f>
        <v>13</v>
      </c>
      <c r="Y3" s="5">
        <f ca="1">SUMPRODUCT(--ISERROR(tblDistributionTests[Normal B]))</f>
        <v>24</v>
      </c>
    </row>
    <row r="5" spans="1:25" x14ac:dyDescent="0.2">
      <c r="O5" s="2" t="s">
        <v>8</v>
      </c>
      <c r="T5" s="6">
        <f ca="1">AVERAGE(tblFairTest[Delta])</f>
        <v>29.851176042677015</v>
      </c>
      <c r="U5" s="6"/>
    </row>
    <row r="7" spans="1:25" ht="30" x14ac:dyDescent="0.2">
      <c r="O7" s="23" t="s">
        <v>0</v>
      </c>
      <c r="P7" s="23" t="s">
        <v>9</v>
      </c>
      <c r="Q7" s="23" t="s">
        <v>10</v>
      </c>
      <c r="R7" s="23" t="s">
        <v>11</v>
      </c>
      <c r="S7" s="23" t="s">
        <v>12</v>
      </c>
      <c r="T7" s="23" t="s">
        <v>13</v>
      </c>
      <c r="U7" s="8"/>
      <c r="V7" s="1" t="s">
        <v>14</v>
      </c>
      <c r="W7" s="1" t="s">
        <v>4</v>
      </c>
      <c r="X7" s="1" t="s">
        <v>15</v>
      </c>
      <c r="Y7" s="1" t="s">
        <v>16</v>
      </c>
    </row>
    <row r="8" spans="1:25" x14ac:dyDescent="0.2">
      <c r="O8" s="35">
        <f ca="1">IF(NOT(ISNUMBER(OFFSET(tblFairTest[[#This Row],[Score]],-1,0))),1,SUM(OFFSET(tblFairTest[[#This Row],[Score]],-1,0),-1/ROWS(tblFairTest[Score])))</f>
        <v>1</v>
      </c>
      <c r="P8" s="1" t="s">
        <v>17</v>
      </c>
      <c r="Q8" s="3">
        <f ca="1">SUM(tblFairTest[[#This Row],[Score]],IF(ISNUMBER(OFFSET(tblFairTest[[#This Row],[Score]],-1,0)),-OFFSET(tblFairTest[[#This Row],[Score]],-1,0),0))</f>
        <v>1</v>
      </c>
      <c r="R8" s="28">
        <f ca="1">COUNTIF(tblDistributionTests[Fair],tblFairTest[[#This Row],[Result]])</f>
        <v>0</v>
      </c>
      <c r="S8" s="3">
        <f ca="1">tblFairTest[[#This Row],[Test Count]]/ROWS(tblDistributionTests[Fair])</f>
        <v>0</v>
      </c>
      <c r="T8" s="29">
        <f ca="1">ABS(tblFairTest[[#This Row],[Actual Weight]]-tblFairTest[[#This Row],[Weight]])*100</f>
        <v>100</v>
      </c>
      <c r="U8" s="10"/>
      <c r="V8" s="1">
        <f t="shared" ref="V8:V71" ca="1" si="0">RANDBETWEEN(1,100)/100</f>
        <v>0.33</v>
      </c>
      <c r="W8" s="1" t="e">
        <f ca="1">VLOOKUP(tblDistributionTests[[#This Row],[Rand]]+MIN(tblFairTest[Score]),tblFairTest[],2,TRUE)</f>
        <v>#N/A</v>
      </c>
      <c r="X8" s="1" t="str">
        <f ca="1">VLOOKUP(tblDistributionTests[[#This Row],[Rand]],tblNormalTestVl[],2,TRUE)</f>
        <v>Luke</v>
      </c>
      <c r="Y8" s="11" t="str">
        <f ca="1">INDEX(tblNormalTestIM[],MATCH(tblDistributionTests[[#This Row],[Rand]],tblNormalTestIM[Score],-1),2)</f>
        <v>Riley</v>
      </c>
    </row>
    <row r="9" spans="1:25" x14ac:dyDescent="0.2">
      <c r="M9" s="7"/>
      <c r="O9" s="9">
        <f ca="1">IF(NOT(ISNUMBER(OFFSET(tblFairTest[[#This Row],[Score]],-1,0))),1,SUM(OFFSET(tblFairTest[[#This Row],[Score]],-1,0),-1/ROWS(tblFairTest[Score])))</f>
        <v>0.875</v>
      </c>
      <c r="P9" s="1" t="s">
        <v>18</v>
      </c>
      <c r="Q9" s="3">
        <f ca="1">SUM(tblFairTest[[#This Row],[Score]],IF(ISNUMBER(OFFSET(tblFairTest[[#This Row],[Score]],-1,0)),-OFFSET(tblFairTest[[#This Row],[Score]],-1,0),0))</f>
        <v>-0.125</v>
      </c>
      <c r="R9" s="28">
        <f ca="1">COUNTIF(tblDistributionTests[Fair],tblFairTest[[#This Row],[Result]])</f>
        <v>0</v>
      </c>
      <c r="S9" s="3">
        <f ca="1">tblFairTest[[#This Row],[Test Count]]/ROWS(tblDistributionTests[Fair])</f>
        <v>0</v>
      </c>
      <c r="T9" s="29">
        <f ca="1">ABS(tblFairTest[[#This Row],[Actual Weight]]-tblFairTest[[#This Row],[Weight]])*100</f>
        <v>12.5</v>
      </c>
      <c r="U9" s="10"/>
      <c r="V9" s="1">
        <f t="shared" ca="1" si="0"/>
        <v>0.74</v>
      </c>
      <c r="W9" s="1" t="str">
        <f ca="1">VLOOKUP(tblDistributionTests[[#This Row],[Rand]]+MIN(tblFairTest[Score]),tblFairTest[],2,TRUE)</f>
        <v>Todd</v>
      </c>
      <c r="X9" s="1" t="str">
        <f ca="1">VLOOKUP(tblDistributionTests[[#This Row],[Rand]],tblNormalTestVl[],2,TRUE)</f>
        <v>Riley</v>
      </c>
      <c r="Y9" s="11" t="str">
        <f ca="1">INDEX(tblNormalTestIM[],MATCH(tblDistributionTests[[#This Row],[Rand]],tblNormalTestIM[Score],-1),2)</f>
        <v>Luke</v>
      </c>
    </row>
    <row r="10" spans="1:25" x14ac:dyDescent="0.2">
      <c r="M10" s="7"/>
      <c r="O10" s="9">
        <f ca="1">IF(NOT(ISNUMBER(OFFSET(tblFairTest[[#This Row],[Score]],-1,0))),1,SUM(OFFSET(tblFairTest[[#This Row],[Score]],-1,0),-1/ROWS(tblFairTest[Score])))</f>
        <v>0.75</v>
      </c>
      <c r="P10" s="1" t="s">
        <v>19</v>
      </c>
      <c r="Q10" s="3">
        <f ca="1">SUM(tblFairTest[[#This Row],[Score]],IF(ISNUMBER(OFFSET(tblFairTest[[#This Row],[Score]],-1,0)),-OFFSET(tblFairTest[[#This Row],[Score]],-1,0),0))</f>
        <v>-0.125</v>
      </c>
      <c r="R10" s="28">
        <f ca="1">COUNTIF(tblDistributionTests[Fair],tblFairTest[[#This Row],[Result]])</f>
        <v>0</v>
      </c>
      <c r="S10" s="3">
        <f ca="1">tblFairTest[[#This Row],[Test Count]]/ROWS(tblDistributionTests[Fair])</f>
        <v>0</v>
      </c>
      <c r="T10" s="29">
        <f ca="1">ABS(tblFairTest[[#This Row],[Actual Weight]]-tblFairTest[[#This Row],[Weight]])*100</f>
        <v>12.5</v>
      </c>
      <c r="U10" s="10"/>
      <c r="V10" s="1">
        <f t="shared" ca="1" si="0"/>
        <v>0.53</v>
      </c>
      <c r="W10" s="1" t="str">
        <f ca="1">VLOOKUP(tblDistributionTests[[#This Row],[Rand]]+MIN(tblFairTest[Score]),tblFairTest[],2,TRUE)</f>
        <v>Todd</v>
      </c>
      <c r="X10" s="1" t="str">
        <f ca="1">VLOOKUP(tblDistributionTests[[#This Row],[Rand]],tblNormalTestVl[],2,TRUE)</f>
        <v>Riley</v>
      </c>
      <c r="Y10" s="11" t="str">
        <f ca="1">INDEX(tblNormalTestIM[],MATCH(tblDistributionTests[[#This Row],[Rand]],tblNormalTestIM[Score],-1),2)</f>
        <v>Luke</v>
      </c>
    </row>
    <row r="11" spans="1:25" x14ac:dyDescent="0.2">
      <c r="M11" s="7"/>
      <c r="O11" s="9">
        <f ca="1">IF(NOT(ISNUMBER(OFFSET(tblFairTest[[#This Row],[Score]],-1,0))),1,SUM(OFFSET(tblFairTest[[#This Row],[Score]],-1,0),-1/ROWS(tblFairTest[Score])))</f>
        <v>0.625</v>
      </c>
      <c r="P11" s="1" t="s">
        <v>20</v>
      </c>
      <c r="Q11" s="3">
        <f ca="1">SUM(tblFairTest[[#This Row],[Score]],IF(ISNUMBER(OFFSET(tblFairTest[[#This Row],[Score]],-1,0)),-OFFSET(tblFairTest[[#This Row],[Score]],-1,0),0))</f>
        <v>-0.125</v>
      </c>
      <c r="R11" s="28">
        <f ca="1">COUNTIF(tblDistributionTests[Fair],tblFairTest[[#This Row],[Result]])</f>
        <v>14</v>
      </c>
      <c r="S11" s="3">
        <f ca="1">tblFairTest[[#This Row],[Test Count]]/ROWS(tblDistributionTests[Fair])</f>
        <v>1.3579049466537343E-2</v>
      </c>
      <c r="T11" s="29">
        <f ca="1">ABS(tblFairTest[[#This Row],[Actual Weight]]-tblFairTest[[#This Row],[Weight]])*100</f>
        <v>13.857904946653735</v>
      </c>
      <c r="U11" s="10"/>
      <c r="V11" s="1">
        <f t="shared" ca="1" si="0"/>
        <v>0.98</v>
      </c>
      <c r="W11" s="1" t="str">
        <f ca="1">VLOOKUP(tblDistributionTests[[#This Row],[Rand]]+MIN(tblFairTest[Score]),tblFairTest[],2,TRUE)</f>
        <v>Todd</v>
      </c>
      <c r="X11" s="1" t="str">
        <f ca="1">VLOOKUP(tblDistributionTests[[#This Row],[Rand]],tblNormalTestVl[],2,TRUE)</f>
        <v>Eric</v>
      </c>
      <c r="Y11" s="11" t="str">
        <f ca="1">INDEX(tblNormalTestIM[],MATCH(tblDistributionTests[[#This Row],[Rand]],tblNormalTestIM[Score],-1),2)</f>
        <v>Bill</v>
      </c>
    </row>
    <row r="12" spans="1:25" x14ac:dyDescent="0.2">
      <c r="M12" s="7"/>
      <c r="O12" s="9">
        <f ca="1">IF(NOT(ISNUMBER(OFFSET(tblFairTest[[#This Row],[Score]],-1,0))),1,SUM(OFFSET(tblFairTest[[#This Row],[Score]],-1,0),-1/ROWS(tblFairTest[Score])))</f>
        <v>0.5</v>
      </c>
      <c r="P12" s="1" t="s">
        <v>21</v>
      </c>
      <c r="Q12" s="3">
        <f ca="1">SUM(tblFairTest[[#This Row],[Score]],IF(ISNUMBER(OFFSET(tblFairTest[[#This Row],[Score]],-1,0)),-OFFSET(tblFairTest[[#This Row],[Score]],-1,0),0))</f>
        <v>-0.125</v>
      </c>
      <c r="R12" s="28">
        <f ca="1">COUNTIF(tblDistributionTests[Fair],tblFairTest[[#This Row],[Result]])</f>
        <v>0</v>
      </c>
      <c r="S12" s="3">
        <f ca="1">tblFairTest[[#This Row],[Test Count]]/ROWS(tblDistributionTests[Fair])</f>
        <v>0</v>
      </c>
      <c r="T12" s="29">
        <f ca="1">ABS(tblFairTest[[#This Row],[Actual Weight]]-tblFairTest[[#This Row],[Weight]])*100</f>
        <v>12.5</v>
      </c>
      <c r="U12" s="10"/>
      <c r="V12" s="1">
        <f t="shared" ca="1" si="0"/>
        <v>0.76</v>
      </c>
      <c r="W12" s="1" t="str">
        <f ca="1">VLOOKUP(tblDistributionTests[[#This Row],[Rand]]+MIN(tblFairTest[Score]),tblFairTest[],2,TRUE)</f>
        <v>Todd</v>
      </c>
      <c r="X12" s="1" t="str">
        <f ca="1">VLOOKUP(tblDistributionTests[[#This Row],[Rand]],tblNormalTestVl[],2,TRUE)</f>
        <v>Riley</v>
      </c>
      <c r="Y12" s="11" t="str">
        <f ca="1">INDEX(tblNormalTestIM[],MATCH(tblDistributionTests[[#This Row],[Rand]],tblNormalTestIM[Score],-1),2)</f>
        <v>Luke</v>
      </c>
    </row>
    <row r="13" spans="1:25" x14ac:dyDescent="0.2">
      <c r="M13" s="7"/>
      <c r="O13" s="9">
        <f ca="1">IF(NOT(ISNUMBER(OFFSET(tblFairTest[[#This Row],[Score]],-1,0))),1,SUM(OFFSET(tblFairTest[[#This Row],[Score]],-1,0),-1/ROWS(tblFairTest[Score])))</f>
        <v>0.375</v>
      </c>
      <c r="P13" s="1" t="s">
        <v>22</v>
      </c>
      <c r="Q13" s="3">
        <f ca="1">SUM(tblFairTest[[#This Row],[Score]],IF(ISNUMBER(OFFSET(tblFairTest[[#This Row],[Score]],-1,0)),-OFFSET(tblFairTest[[#This Row],[Score]],-1,0),0))</f>
        <v>-0.125</v>
      </c>
      <c r="R13" s="28">
        <f ca="1">COUNTIF(tblDistributionTests[Fair],tblFairTest[[#This Row],[Result]])</f>
        <v>0</v>
      </c>
      <c r="S13" s="3">
        <f ca="1">tblFairTest[[#This Row],[Test Count]]/ROWS(tblDistributionTests[Fair])</f>
        <v>0</v>
      </c>
      <c r="T13" s="29">
        <f ca="1">ABS(tblFairTest[[#This Row],[Actual Weight]]-tblFairTest[[#This Row],[Weight]])*100</f>
        <v>12.5</v>
      </c>
      <c r="U13" s="10"/>
      <c r="V13" s="1">
        <f t="shared" ca="1" si="0"/>
        <v>0.7</v>
      </c>
      <c r="W13" s="1" t="str">
        <f ca="1">VLOOKUP(tblDistributionTests[[#This Row],[Rand]]+MIN(tblFairTest[Score]),tblFairTest[],2,TRUE)</f>
        <v>Todd</v>
      </c>
      <c r="X13" s="1" t="str">
        <f ca="1">VLOOKUP(tblDistributionTests[[#This Row],[Rand]],tblNormalTestVl[],2,TRUE)</f>
        <v>Riley</v>
      </c>
      <c r="Y13" s="11" t="str">
        <f ca="1">INDEX(tblNormalTestIM[],MATCH(tblDistributionTests[[#This Row],[Rand]],tblNormalTestIM[Score],-1),2)</f>
        <v>Luke</v>
      </c>
    </row>
    <row r="14" spans="1:25" x14ac:dyDescent="0.2">
      <c r="M14" s="7"/>
      <c r="O14" s="9">
        <f ca="1">IF(NOT(ISNUMBER(OFFSET(tblFairTest[[#This Row],[Score]],-1,0))),1,SUM(OFFSET(tblFairTest[[#This Row],[Score]],-1,0),-1/ROWS(tblFairTest[Score])))</f>
        <v>0.25</v>
      </c>
      <c r="P14" s="1" t="s">
        <v>23</v>
      </c>
      <c r="Q14" s="3">
        <f ca="1">SUM(tblFairTest[[#This Row],[Score]],IF(ISNUMBER(OFFSET(tblFairTest[[#This Row],[Score]],-1,0)),-OFFSET(tblFairTest[[#This Row],[Score]],-1,0),0))</f>
        <v>-0.125</v>
      </c>
      <c r="R14" s="28">
        <f ca="1">COUNTIF(tblDistributionTests[Fair],tblFairTest[[#This Row],[Result]])</f>
        <v>0</v>
      </c>
      <c r="S14" s="3">
        <f ca="1">tblFairTest[[#This Row],[Test Count]]/ROWS(tblDistributionTests[Fair])</f>
        <v>0</v>
      </c>
      <c r="T14" s="29">
        <f ca="1">ABS(tblFairTest[[#This Row],[Actual Weight]]-tblFairTest[[#This Row],[Weight]])*100</f>
        <v>12.5</v>
      </c>
      <c r="U14" s="10"/>
      <c r="V14" s="1">
        <f t="shared" ca="1" si="0"/>
        <v>7.0000000000000007E-2</v>
      </c>
      <c r="W14" s="1" t="e">
        <f ca="1">VLOOKUP(tblDistributionTests[[#This Row],[Rand]]+MIN(tblFairTest[Score]),tblFairTest[],2,TRUE)</f>
        <v>#N/A</v>
      </c>
      <c r="X14" s="1" t="str">
        <f ca="1">VLOOKUP(tblDistributionTests[[#This Row],[Rand]],tblNormalTestVl[],2,TRUE)</f>
        <v>Frank</v>
      </c>
      <c r="Y14" s="11" t="str">
        <f ca="1">INDEX(tblNormalTestIM[],MATCH(tblDistributionTests[[#This Row],[Rand]],tblNormalTestIM[Score],-1),2)</f>
        <v>William</v>
      </c>
    </row>
    <row r="15" spans="1:25" x14ac:dyDescent="0.2">
      <c r="M15" s="7"/>
      <c r="O15" s="9">
        <f ca="1">IF(NOT(ISNUMBER(OFFSET(tblFairTest[[#This Row],[Score]],-1,0))),1,SUM(OFFSET(tblFairTest[[#This Row],[Score]],-1,0),-1/ROWS(tblFairTest[Score])))</f>
        <v>0.125</v>
      </c>
      <c r="P15" s="1" t="s">
        <v>24</v>
      </c>
      <c r="Q15" s="3">
        <f ca="1">SUM(tblFairTest[[#This Row],[Score]],IF(ISNUMBER(OFFSET(tblFairTest[[#This Row],[Score]],-1,0)),-OFFSET(tblFairTest[[#This Row],[Score]],-1,0),0))</f>
        <v>-0.125</v>
      </c>
      <c r="R15" s="28">
        <f ca="1">COUNTIF(tblDistributionTests[Fair],tblFairTest[[#This Row],[Result]])</f>
        <v>515</v>
      </c>
      <c r="S15" s="3">
        <f ca="1">tblFairTest[[#This Row],[Test Count]]/ROWS(tblDistributionTests[Fair])</f>
        <v>0.49951503394762364</v>
      </c>
      <c r="T15" s="29">
        <f ca="1">ABS(tblFairTest[[#This Row],[Actual Weight]]-tblFairTest[[#This Row],[Weight]])*100</f>
        <v>62.451503394762362</v>
      </c>
      <c r="U15" s="10"/>
      <c r="V15" s="1">
        <f t="shared" ca="1" si="0"/>
        <v>0.38</v>
      </c>
      <c r="W15" s="1" t="e">
        <f ca="1">VLOOKUP(tblDistributionTests[[#This Row],[Rand]]+MIN(tblFairTest[Score]),tblFairTest[],2,TRUE)</f>
        <v>#N/A</v>
      </c>
      <c r="X15" s="1" t="str">
        <f ca="1">VLOOKUP(tblDistributionTests[[#This Row],[Rand]],tblNormalTestVl[],2,TRUE)</f>
        <v>Luke</v>
      </c>
      <c r="Y15" s="11" t="str">
        <f ca="1">INDEX(tblNormalTestIM[],MATCH(tblDistributionTests[[#This Row],[Rand]],tblNormalTestIM[Score],-1),2)</f>
        <v>Riley</v>
      </c>
    </row>
    <row r="16" spans="1:25" x14ac:dyDescent="0.2">
      <c r="M16" s="7"/>
      <c r="V16" s="1">
        <f t="shared" ca="1" si="0"/>
        <v>0.52</v>
      </c>
      <c r="W16" s="1" t="str">
        <f ca="1">VLOOKUP(tblDistributionTests[[#This Row],[Rand]]+MIN(tblFairTest[Score]),tblFairTest[],2,TRUE)</f>
        <v>Todd</v>
      </c>
      <c r="X16" s="1" t="str">
        <f ca="1">VLOOKUP(tblDistributionTests[[#This Row],[Rand]],tblNormalTestVl[],2,TRUE)</f>
        <v>Riley</v>
      </c>
      <c r="Y16" s="11" t="str">
        <f ca="1">INDEX(tblNormalTestIM[],MATCH(tblDistributionTests[[#This Row],[Rand]],tblNormalTestIM[Score],-1),2)</f>
        <v>Luke</v>
      </c>
    </row>
    <row r="17" spans="13:25" x14ac:dyDescent="0.2">
      <c r="M17" s="7"/>
      <c r="O17" s="2" t="s">
        <v>25</v>
      </c>
      <c r="T17" s="12">
        <f ca="1">AVERAGE(tblNormalTestVl[vL Delta])</f>
        <v>6.4243365865034709</v>
      </c>
      <c r="U17" s="12"/>
      <c r="V17" s="1">
        <f t="shared" ca="1" si="0"/>
        <v>0.61</v>
      </c>
      <c r="W17" s="1" t="str">
        <f ca="1">VLOOKUP(tblDistributionTests[[#This Row],[Rand]]+MIN(tblFairTest[Score]),tblFairTest[],2,TRUE)</f>
        <v>Todd</v>
      </c>
      <c r="X17" s="1" t="str">
        <f ca="1">VLOOKUP(tblDistributionTests[[#This Row],[Rand]],tblNormalTestVl[],2,TRUE)</f>
        <v>Riley</v>
      </c>
      <c r="Y17" s="11" t="str">
        <f ca="1">INDEX(tblNormalTestIM[],MATCH(tblDistributionTests[[#This Row],[Rand]],tblNormalTestIM[Score],-1),2)</f>
        <v>Luke</v>
      </c>
    </row>
    <row r="18" spans="13:25" x14ac:dyDescent="0.2">
      <c r="M18" s="7"/>
      <c r="V18" s="1">
        <f t="shared" ca="1" si="0"/>
        <v>0.74</v>
      </c>
      <c r="W18" s="1" t="str">
        <f ca="1">VLOOKUP(tblDistributionTests[[#This Row],[Rand]]+MIN(tblFairTest[Score]),tblFairTest[],2,TRUE)</f>
        <v>Todd</v>
      </c>
      <c r="X18" s="1" t="str">
        <f ca="1">VLOOKUP(tblDistributionTests[[#This Row],[Rand]],tblNormalTestVl[],2,TRUE)</f>
        <v>Riley</v>
      </c>
      <c r="Y18" s="11" t="str">
        <f ca="1">INDEX(tblNormalTestIM[],MATCH(tblDistributionTests[[#This Row],[Rand]],tblNormalTestIM[Score],-1),2)</f>
        <v>Luke</v>
      </c>
    </row>
    <row r="19" spans="13:25" ht="30" x14ac:dyDescent="0.2">
      <c r="O19" s="23" t="s">
        <v>0</v>
      </c>
      <c r="P19" s="23" t="s">
        <v>9</v>
      </c>
      <c r="Q19" s="23" t="s">
        <v>10</v>
      </c>
      <c r="R19" s="23" t="s">
        <v>26</v>
      </c>
      <c r="S19" s="23" t="s">
        <v>27</v>
      </c>
      <c r="T19" s="23" t="s">
        <v>28</v>
      </c>
      <c r="U19" s="8"/>
      <c r="V19" s="1">
        <f t="shared" ca="1" si="0"/>
        <v>0.35</v>
      </c>
      <c r="W19" s="1" t="e">
        <f ca="1">VLOOKUP(tblDistributionTests[[#This Row],[Rand]]+MIN(tblFairTest[Score]),tblFairTest[],2,TRUE)</f>
        <v>#N/A</v>
      </c>
      <c r="X19" s="1" t="str">
        <f ca="1">VLOOKUP(tblDistributionTests[[#This Row],[Rand]],tblNormalTestVl[],2,TRUE)</f>
        <v>Luke</v>
      </c>
      <c r="Y19" s="11" t="str">
        <f ca="1">INDEX(tblNormalTestIM[],MATCH(tblDistributionTests[[#This Row],[Rand]],tblNormalTestIM[Score],-1),2)</f>
        <v>Riley</v>
      </c>
    </row>
    <row r="20" spans="13:25" x14ac:dyDescent="0.2">
      <c r="O20" s="4">
        <f>_xlfn.NORM.DIST(ROW()-ROW(tblNormalTestVl[#Headers]),ROWS(tblNormalTestVl[Score])/2,(ROWS(tblNormalTestVl[Score])/6),TRUE)</f>
        <v>1.2224472655044696E-2</v>
      </c>
      <c r="P20" s="1" t="s">
        <v>17</v>
      </c>
      <c r="Q20" s="3">
        <f ca="1">SUM(tblNormalTestVl[[#This Row],[Score]],IF(ISNUMBER(OFFSET(tblNormalTestVl[[#This Row],[Score]],-1,0)),-OFFSET(tblNormalTestVl[[#This Row],[Score]],-1,0),0))</f>
        <v>1.2224472655044696E-2</v>
      </c>
      <c r="R20" s="28">
        <f ca="1">COUNTIF(tblDistributionTests[Normal A],tblNormalTestVl[[#This Row],[Result]])</f>
        <v>43</v>
      </c>
      <c r="S20" s="3">
        <f ca="1">tblNormalTestVl[[#This Row],[vL Test Count]]/ROWS(tblDistributionTests[Normal A])</f>
        <v>4.1707080504364696E-2</v>
      </c>
      <c r="T20" s="29">
        <f ca="1">ABS(tblNormalTestVl[[#This Row],[vL Actual Weight]]-tblNormalTestVl[[#This Row],[Weight]])*100</f>
        <v>2.9482607849320002</v>
      </c>
      <c r="U20" s="13"/>
      <c r="V20" s="1">
        <f t="shared" ca="1" si="0"/>
        <v>0.35</v>
      </c>
      <c r="W20" s="1" t="e">
        <f ca="1">VLOOKUP(tblDistributionTests[[#This Row],[Rand]]+MIN(tblFairTest[Score]),tblFairTest[],2,TRUE)</f>
        <v>#N/A</v>
      </c>
      <c r="X20" s="1" t="str">
        <f ca="1">VLOOKUP(tblDistributionTests[[#This Row],[Rand]],tblNormalTestVl[],2,TRUE)</f>
        <v>Luke</v>
      </c>
      <c r="Y20" s="11" t="str">
        <f ca="1">INDEX(tblNormalTestIM[],MATCH(tblDistributionTests[[#This Row],[Rand]],tblNormalTestIM[Score],-1),2)</f>
        <v>Riley</v>
      </c>
    </row>
    <row r="21" spans="13:25" x14ac:dyDescent="0.2">
      <c r="O21" s="9">
        <f>_xlfn.NORM.DIST(ROW()-ROW(tblNormalTestVl[#Headers]),ROWS(tblNormalTestVl[Score])/2,(ROWS(tblNormalTestVl[Score])/6),TRUE)</f>
        <v>6.6807201268858057E-2</v>
      </c>
      <c r="P21" s="1" t="s">
        <v>18</v>
      </c>
      <c r="Q21" s="3">
        <f ca="1">SUM(tblNormalTestVl[[#This Row],[Score]],IF(ISNUMBER(OFFSET(tblNormalTestVl[[#This Row],[Score]],-1,0)),-OFFSET(tblNormalTestVl[[#This Row],[Score]],-1,0),0))</f>
        <v>5.4582728613813358E-2</v>
      </c>
      <c r="R21" s="28">
        <f ca="1">COUNTIF(tblDistributionTests[Normal A],tblNormalTestVl[[#This Row],[Result]])</f>
        <v>159</v>
      </c>
      <c r="S21" s="30">
        <f ca="1">tblNormalTestVl[[#This Row],[vL Test Count]]/ROWS(tblDistributionTests[Normal A])</f>
        <v>0.1542192046556741</v>
      </c>
      <c r="T21" s="31">
        <f ca="1">ABS(tblNormalTestVl[[#This Row],[vL Actual Weight]]-tblNormalTestVl[[#This Row],[Weight]])*100</f>
        <v>9.9636476041860735</v>
      </c>
      <c r="U21" s="13"/>
      <c r="V21" s="1">
        <f t="shared" ca="1" si="0"/>
        <v>0.36</v>
      </c>
      <c r="W21" s="1" t="e">
        <f ca="1">VLOOKUP(tblDistributionTests[[#This Row],[Rand]]+MIN(tblFairTest[Score]),tblFairTest[],2,TRUE)</f>
        <v>#N/A</v>
      </c>
      <c r="X21" s="1" t="str">
        <f ca="1">VLOOKUP(tblDistributionTests[[#This Row],[Rand]],tblNormalTestVl[],2,TRUE)</f>
        <v>Luke</v>
      </c>
      <c r="Y21" s="11" t="str">
        <f ca="1">INDEX(tblNormalTestIM[],MATCH(tblDistributionTests[[#This Row],[Rand]],tblNormalTestIM[Score],-1),2)</f>
        <v>Riley</v>
      </c>
    </row>
    <row r="22" spans="13:25" x14ac:dyDescent="0.2">
      <c r="O22" s="9">
        <f>_xlfn.NORM.DIST(ROW()-ROW(tblNormalTestVl[#Headers]),ROWS(tblNormalTestVl[Score])/2,(ROWS(tblNormalTestVl[Score])/6),TRUE)</f>
        <v>0.22662735237686821</v>
      </c>
      <c r="P22" s="1" t="s">
        <v>19</v>
      </c>
      <c r="Q22" s="3">
        <f ca="1">SUM(tblNormalTestVl[[#This Row],[Score]],IF(ISNUMBER(OFFSET(tblNormalTestVl[[#This Row],[Score]],-1,0)),-OFFSET(tblNormalTestVl[[#This Row],[Score]],-1,0),0))</f>
        <v>0.15982015110801015</v>
      </c>
      <c r="R22" s="28">
        <f ca="1">COUNTIF(tblDistributionTests[Normal A],tblNormalTestVl[[#This Row],[Result]])</f>
        <v>287</v>
      </c>
      <c r="S22" s="30">
        <f ca="1">tblNormalTestVl[[#This Row],[vL Test Count]]/ROWS(tblDistributionTests[Normal A])</f>
        <v>0.27837051406401553</v>
      </c>
      <c r="T22" s="31">
        <f ca="1">ABS(tblNormalTestVl[[#This Row],[vL Actual Weight]]-tblNormalTestVl[[#This Row],[Weight]])*100</f>
        <v>11.855036295600538</v>
      </c>
      <c r="U22" s="13"/>
      <c r="V22" s="1">
        <f t="shared" ca="1" si="0"/>
        <v>0.35</v>
      </c>
      <c r="W22" s="1" t="e">
        <f ca="1">VLOOKUP(tblDistributionTests[[#This Row],[Rand]]+MIN(tblFairTest[Score]),tblFairTest[],2,TRUE)</f>
        <v>#N/A</v>
      </c>
      <c r="X22" s="1" t="str">
        <f ca="1">VLOOKUP(tblDistributionTests[[#This Row],[Rand]],tblNormalTestVl[],2,TRUE)</f>
        <v>Luke</v>
      </c>
      <c r="Y22" s="11" t="str">
        <f ca="1">INDEX(tblNormalTestIM[],MATCH(tblDistributionTests[[#This Row],[Rand]],tblNormalTestIM[Score],-1),2)</f>
        <v>Riley</v>
      </c>
    </row>
    <row r="23" spans="13:25" x14ac:dyDescent="0.2">
      <c r="O23" s="9">
        <f>_xlfn.NORM.DIST(ROW()-ROW(tblNormalTestVl[#Headers]),ROWS(tblNormalTestVl[Score])/2,(ROWS(tblNormalTestVl[Score])/6),TRUE)</f>
        <v>0.5</v>
      </c>
      <c r="P23" s="1" t="s">
        <v>20</v>
      </c>
      <c r="Q23" s="3">
        <f ca="1">SUM(tblNormalTestVl[[#This Row],[Score]],IF(ISNUMBER(OFFSET(tblNormalTestVl[[#This Row],[Score]],-1,0)),-OFFSET(tblNormalTestVl[[#This Row],[Score]],-1,0),0))</f>
        <v>0.27337264762313179</v>
      </c>
      <c r="R23" s="28">
        <f ca="1">COUNTIF(tblDistributionTests[Normal A],tblNormalTestVl[[#This Row],[Result]])</f>
        <v>273</v>
      </c>
      <c r="S23" s="30">
        <f ca="1">tblNormalTestVl[[#This Row],[vL Test Count]]/ROWS(tblDistributionTests[Normal A])</f>
        <v>0.26479146459747815</v>
      </c>
      <c r="T23" s="31">
        <f ca="1">ABS(tblNormalTestVl[[#This Row],[vL Actual Weight]]-tblNormalTestVl[[#This Row],[Weight]])*100</f>
        <v>0.85811830256536381</v>
      </c>
      <c r="U23" s="13"/>
      <c r="V23" s="1">
        <f t="shared" ca="1" si="0"/>
        <v>0.1</v>
      </c>
      <c r="W23" s="1" t="e">
        <f ca="1">VLOOKUP(tblDistributionTests[[#This Row],[Rand]]+MIN(tblFairTest[Score]),tblFairTest[],2,TRUE)</f>
        <v>#N/A</v>
      </c>
      <c r="X23" s="1" t="str">
        <f ca="1">VLOOKUP(tblDistributionTests[[#This Row],[Rand]],tblNormalTestVl[],2,TRUE)</f>
        <v>Frank</v>
      </c>
      <c r="Y23" s="11" t="str">
        <f ca="1">INDEX(tblNormalTestIM[],MATCH(tblDistributionTests[[#This Row],[Rand]],tblNormalTestIM[Score],-1),2)</f>
        <v>William</v>
      </c>
    </row>
    <row r="24" spans="13:25" x14ac:dyDescent="0.2">
      <c r="O24" s="9">
        <f>_xlfn.NORM.DIST(ROW()-ROW(tblNormalTestVl[#Headers]),ROWS(tblNormalTestVl[Score])/2,(ROWS(tblNormalTestVl[Score])/6),TRUE)</f>
        <v>0.77337264762313174</v>
      </c>
      <c r="P24" s="1" t="s">
        <v>21</v>
      </c>
      <c r="Q24" s="3">
        <f ca="1">SUM(tblNormalTestVl[[#This Row],[Score]],IF(ISNUMBER(OFFSET(tblNormalTestVl[[#This Row],[Score]],-1,0)),-OFFSET(tblNormalTestVl[[#This Row],[Score]],-1,0),0))</f>
        <v>0.27337264762313174</v>
      </c>
      <c r="R24" s="28">
        <f ca="1">COUNTIF(tblDistributionTests[Normal A],tblNormalTestVl[[#This Row],[Result]])</f>
        <v>177</v>
      </c>
      <c r="S24" s="30">
        <f ca="1">tblNormalTestVl[[#This Row],[vL Test Count]]/ROWS(tblDistributionTests[Normal A])</f>
        <v>0.1716779825412221</v>
      </c>
      <c r="T24" s="31">
        <f ca="1">ABS(tblNormalTestVl[[#This Row],[vL Actual Weight]]-tblNormalTestVl[[#This Row],[Weight]])*100</f>
        <v>10.169466508190963</v>
      </c>
      <c r="U24" s="13"/>
      <c r="V24" s="1">
        <f t="shared" ca="1" si="0"/>
        <v>0.97</v>
      </c>
      <c r="W24" s="1" t="str">
        <f ca="1">VLOOKUP(tblDistributionTests[[#This Row],[Rand]]+MIN(tblFairTest[Score]),tblFairTest[],2,TRUE)</f>
        <v>Todd</v>
      </c>
      <c r="X24" s="1" t="str">
        <f ca="1">VLOOKUP(tblDistributionTests[[#This Row],[Rand]],tblNormalTestVl[],2,TRUE)</f>
        <v>Eric</v>
      </c>
      <c r="Y24" s="11" t="str">
        <f ca="1">INDEX(tblNormalTestIM[],MATCH(tblDistributionTests[[#This Row],[Rand]],tblNormalTestIM[Score],-1),2)</f>
        <v>Bill</v>
      </c>
    </row>
    <row r="25" spans="13:25" x14ac:dyDescent="0.2">
      <c r="O25" s="9">
        <f>_xlfn.NORM.DIST(ROW()-ROW(tblNormalTestVl[#Headers]),ROWS(tblNormalTestVl[Score])/2,(ROWS(tblNormalTestVl[Score])/6),TRUE)</f>
        <v>0.93319279873114191</v>
      </c>
      <c r="P25" s="1" t="s">
        <v>22</v>
      </c>
      <c r="Q25" s="3">
        <f ca="1">SUM(tblNormalTestVl[[#This Row],[Score]],IF(ISNUMBER(OFFSET(tblNormalTestVl[[#This Row],[Score]],-1,0)),-OFFSET(tblNormalTestVl[[#This Row],[Score]],-1,0),0))</f>
        <v>0.15982015110801018</v>
      </c>
      <c r="R25" s="28">
        <f ca="1">COUNTIF(tblDistributionTests[Normal A],tblNormalTestVl[[#This Row],[Result]])</f>
        <v>55</v>
      </c>
      <c r="S25" s="30">
        <f ca="1">tblNormalTestVl[[#This Row],[vL Test Count]]/ROWS(tblDistributionTests[Normal A])</f>
        <v>5.33462657613967E-2</v>
      </c>
      <c r="T25" s="31">
        <f ca="1">ABS(tblNormalTestVl[[#This Row],[vL Actual Weight]]-tblNormalTestVl[[#This Row],[Weight]])*100</f>
        <v>10.647388534661347</v>
      </c>
      <c r="U25" s="13"/>
      <c r="V25" s="1">
        <f t="shared" ca="1" si="0"/>
        <v>0.67</v>
      </c>
      <c r="W25" s="1" t="str">
        <f ca="1">VLOOKUP(tblDistributionTests[[#This Row],[Rand]]+MIN(tblFairTest[Score]),tblFairTest[],2,TRUE)</f>
        <v>Todd</v>
      </c>
      <c r="X25" s="1" t="str">
        <f ca="1">VLOOKUP(tblDistributionTests[[#This Row],[Rand]],tblNormalTestVl[],2,TRUE)</f>
        <v>Riley</v>
      </c>
      <c r="Y25" s="11" t="str">
        <f ca="1">INDEX(tblNormalTestIM[],MATCH(tblDistributionTests[[#This Row],[Rand]],tblNormalTestIM[Score],-1),2)</f>
        <v>Luke</v>
      </c>
    </row>
    <row r="26" spans="13:25" x14ac:dyDescent="0.2">
      <c r="O26" s="9">
        <f>_xlfn.NORM.DIST(ROW()-ROW(tblNormalTestVl[#Headers]),ROWS(tblNormalTestVl[Score])/2,(ROWS(tblNormalTestVl[Score])/6),TRUE)</f>
        <v>0.98777552734495533</v>
      </c>
      <c r="P26" s="1" t="s">
        <v>23</v>
      </c>
      <c r="Q26" s="3">
        <f ca="1">SUM(tblNormalTestVl[[#This Row],[Score]],IF(ISNUMBER(OFFSET(tblNormalTestVl[[#This Row],[Score]],-1,0)),-OFFSET(tblNormalTestVl[[#This Row],[Score]],-1,0),0))</f>
        <v>5.4582728613813414E-2</v>
      </c>
      <c r="R26" s="28">
        <f ca="1">COUNTIF(tblDistributionTests[Normal A],tblNormalTestVl[[#This Row],[Result]])</f>
        <v>9</v>
      </c>
      <c r="S26" s="30">
        <f ca="1">tblNormalTestVl[[#This Row],[vL Test Count]]/ROWS(tblDistributionTests[Normal A])</f>
        <v>8.7293889427740058E-3</v>
      </c>
      <c r="T26" s="31">
        <f ca="1">ABS(tblNormalTestVl[[#This Row],[vL Actual Weight]]-tblNormalTestVl[[#This Row],[Weight]])*100</f>
        <v>4.5853339671039413</v>
      </c>
      <c r="U26" s="13"/>
      <c r="V26" s="1">
        <f t="shared" ca="1" si="0"/>
        <v>0.2</v>
      </c>
      <c r="W26" s="1" t="e">
        <f ca="1">VLOOKUP(tblDistributionTests[[#This Row],[Rand]]+MIN(tblFairTest[Score]),tblFairTest[],2,TRUE)</f>
        <v>#N/A</v>
      </c>
      <c r="X26" s="1" t="str">
        <f ca="1">VLOOKUP(tblDistributionTests[[#This Row],[Rand]],tblNormalTestVl[],2,TRUE)</f>
        <v>Frank</v>
      </c>
      <c r="Y26" s="11" t="str">
        <f ca="1">INDEX(tblNormalTestIM[],MATCH(tblDistributionTests[[#This Row],[Rand]],tblNormalTestIM[Score],-1),2)</f>
        <v>William</v>
      </c>
    </row>
    <row r="27" spans="13:25" x14ac:dyDescent="0.2">
      <c r="O27" s="9">
        <f>_xlfn.NORM.DIST(ROW()-ROW(tblNormalTestVl[#Headers]),ROWS(tblNormalTestVl[Score])/2,(ROWS(tblNormalTestVl[Score])/6),TRUE)</f>
        <v>0.9986501019683699</v>
      </c>
      <c r="P27" s="1" t="s">
        <v>24</v>
      </c>
      <c r="Q27" s="3">
        <f ca="1">SUM(tblNormalTestVl[[#This Row],[Score]],IF(ISNUMBER(OFFSET(tblNormalTestVl[[#This Row],[Score]],-1,0)),-OFFSET(tblNormalTestVl[[#This Row],[Score]],-1,0),0))</f>
        <v>1.0874574623414568E-2</v>
      </c>
      <c r="R27" s="28">
        <f ca="1">COUNTIF(tblDistributionTests[Normal A],tblNormalTestVl[[#This Row],[Result]])</f>
        <v>15</v>
      </c>
      <c r="S27" s="30">
        <f ca="1">tblNormalTestVl[[#This Row],[vL Test Count]]/ROWS(tblDistributionTests[Normal A])</f>
        <v>1.4548981571290009E-2</v>
      </c>
      <c r="T27" s="31">
        <f ca="1">ABS(tblNormalTestVl[[#This Row],[vL Actual Weight]]-tblNormalTestVl[[#This Row],[Weight]])*100</f>
        <v>0.3674406947875441</v>
      </c>
      <c r="U27" s="13"/>
      <c r="V27" s="1">
        <f t="shared" ca="1" si="0"/>
        <v>0.56000000000000005</v>
      </c>
      <c r="W27" s="1" t="str">
        <f ca="1">VLOOKUP(tblDistributionTests[[#This Row],[Rand]]+MIN(tblFairTest[Score]),tblFairTest[],2,TRUE)</f>
        <v>Todd</v>
      </c>
      <c r="X27" s="1" t="str">
        <f ca="1">VLOOKUP(tblDistributionTests[[#This Row],[Rand]],tblNormalTestVl[],2,TRUE)</f>
        <v>Riley</v>
      </c>
      <c r="Y27" s="11" t="str">
        <f ca="1">INDEX(tblNormalTestIM[],MATCH(tblDistributionTests[[#This Row],[Rand]],tblNormalTestIM[Score],-1),2)</f>
        <v>Luke</v>
      </c>
    </row>
    <row r="28" spans="13:25" x14ac:dyDescent="0.2">
      <c r="V28" s="1">
        <f t="shared" ca="1" si="0"/>
        <v>0.41</v>
      </c>
      <c r="W28" s="1" t="e">
        <f ca="1">VLOOKUP(tblDistributionTests[[#This Row],[Rand]]+MIN(tblFairTest[Score]),tblFairTest[],2,TRUE)</f>
        <v>#N/A</v>
      </c>
      <c r="X28" s="1" t="str">
        <f ca="1">VLOOKUP(tblDistributionTests[[#This Row],[Rand]],tblNormalTestVl[],2,TRUE)</f>
        <v>Luke</v>
      </c>
      <c r="Y28" s="11" t="str">
        <f ca="1">INDEX(tblNormalTestIM[],MATCH(tblDistributionTests[[#This Row],[Rand]],tblNormalTestIM[Score],-1),2)</f>
        <v>Riley</v>
      </c>
    </row>
    <row r="29" spans="13:25" x14ac:dyDescent="0.2">
      <c r="V29" s="1">
        <f t="shared" ca="1" si="0"/>
        <v>0.21</v>
      </c>
      <c r="W29" s="1" t="e">
        <f ca="1">VLOOKUP(tblDistributionTests[[#This Row],[Rand]]+MIN(tblFairTest[Score]),tblFairTest[],2,TRUE)</f>
        <v>#N/A</v>
      </c>
      <c r="X29" s="1" t="str">
        <f ca="1">VLOOKUP(tblDistributionTests[[#This Row],[Rand]],tblNormalTestVl[],2,TRUE)</f>
        <v>Frank</v>
      </c>
      <c r="Y29" s="11" t="str">
        <f ca="1">INDEX(tblNormalTestIM[],MATCH(tblDistributionTests[[#This Row],[Rand]],tblNormalTestIM[Score],-1),2)</f>
        <v>William</v>
      </c>
    </row>
    <row r="30" spans="13:25" x14ac:dyDescent="0.2">
      <c r="O30" s="2" t="s">
        <v>29</v>
      </c>
      <c r="T30" s="12">
        <f ca="1">AVERAGE(tblNormalTestIM[IM Delta])</f>
        <v>0.94240597521282066</v>
      </c>
      <c r="U30" s="12"/>
      <c r="V30" s="1">
        <f t="shared" ca="1" si="0"/>
        <v>0.12</v>
      </c>
      <c r="W30" s="1" t="e">
        <f ca="1">VLOOKUP(tblDistributionTests[[#This Row],[Rand]]+MIN(tblFairTest[Score]),tblFairTest[],2,TRUE)</f>
        <v>#N/A</v>
      </c>
      <c r="X30" s="1" t="str">
        <f ca="1">VLOOKUP(tblDistributionTests[[#This Row],[Rand]],tblNormalTestVl[],2,TRUE)</f>
        <v>Frank</v>
      </c>
      <c r="Y30" s="11" t="str">
        <f ca="1">INDEX(tblNormalTestIM[],MATCH(tblDistributionTests[[#This Row],[Rand]],tblNormalTestIM[Score],-1),2)</f>
        <v>William</v>
      </c>
    </row>
    <row r="31" spans="13:25" x14ac:dyDescent="0.2">
      <c r="V31" s="1">
        <f t="shared" ca="1" si="0"/>
        <v>0.61</v>
      </c>
      <c r="W31" s="1" t="str">
        <f ca="1">VLOOKUP(tblDistributionTests[[#This Row],[Rand]]+MIN(tblFairTest[Score]),tblFairTest[],2,TRUE)</f>
        <v>Todd</v>
      </c>
      <c r="X31" s="1" t="str">
        <f ca="1">VLOOKUP(tblDistributionTests[[#This Row],[Rand]],tblNormalTestVl[],2,TRUE)</f>
        <v>Riley</v>
      </c>
      <c r="Y31" s="11" t="str">
        <f ca="1">INDEX(tblNormalTestIM[],MATCH(tblDistributionTests[[#This Row],[Rand]],tblNormalTestIM[Score],-1),2)</f>
        <v>Luke</v>
      </c>
    </row>
    <row r="32" spans="13:25" ht="30" x14ac:dyDescent="0.2">
      <c r="O32" s="23" t="s">
        <v>0</v>
      </c>
      <c r="P32" s="23" t="s">
        <v>9</v>
      </c>
      <c r="Q32" s="23" t="s">
        <v>10</v>
      </c>
      <c r="R32" s="23" t="s">
        <v>30</v>
      </c>
      <c r="S32" s="23" t="s">
        <v>31</v>
      </c>
      <c r="T32" s="23" t="s">
        <v>32</v>
      </c>
      <c r="U32" s="8"/>
      <c r="V32" s="1">
        <f t="shared" ca="1" si="0"/>
        <v>0.73</v>
      </c>
      <c r="W32" s="1" t="str">
        <f ca="1">VLOOKUP(tblDistributionTests[[#This Row],[Rand]]+MIN(tblFairTest[Score]),tblFairTest[],2,TRUE)</f>
        <v>Todd</v>
      </c>
      <c r="X32" s="1" t="str">
        <f ca="1">VLOOKUP(tblDistributionTests[[#This Row],[Rand]],tblNormalTestVl[],2,TRUE)</f>
        <v>Riley</v>
      </c>
      <c r="Y32" s="11" t="str">
        <f ca="1">INDEX(tblNormalTestIM[],MATCH(tblDistributionTests[[#This Row],[Rand]],tblNormalTestIM[Score],-1),2)</f>
        <v>Luke</v>
      </c>
    </row>
    <row r="33" spans="15:25" x14ac:dyDescent="0.2">
      <c r="O33" s="4">
        <f>1-_xlfn.NORM.DIST(ROW()-ROW(tblNormalTestIM[#Headers]),ROWS(tblNormalTestIM[Score])/2,(ROWS(tblNormalTestIM[Score])/6),TRUE)</f>
        <v>0.98777552734495533</v>
      </c>
      <c r="P33" s="1" t="s">
        <v>17</v>
      </c>
      <c r="Q33" s="3">
        <f ca="1">SUM(tblNormalTestIM[[#This Row],[Score]],IF(ISNUMBER(OFFSET(tblNormalTestIM[[#This Row],[Score]],1,0)),-OFFSET(tblNormalTestIM[[#This Row],[Score]],1,0),0))</f>
        <v>5.4582728613813414E-2</v>
      </c>
      <c r="R33" s="28">
        <f ca="1">COUNTIF(tblDistributionTests[Normal B],tblNormalTestIM[[#This Row],[Result]])</f>
        <v>55</v>
      </c>
      <c r="S33" s="3">
        <f ca="1">tblNormalTestIM[[#This Row],[IM Test Count]]/ROWS(tblDistributionTests[Normal B])</f>
        <v>5.33462657613967E-2</v>
      </c>
      <c r="T33" s="29">
        <f ca="1">ABS(tblNormalTestIM[[#This Row],[IM Actual Weights]]-tblNormalTestIM[[#This Row],[Weight]])*100</f>
        <v>0.12364628524167143</v>
      </c>
      <c r="U33" s="13"/>
      <c r="V33" s="1">
        <f t="shared" ca="1" si="0"/>
        <v>0.92</v>
      </c>
      <c r="W33" s="1" t="str">
        <f ca="1">VLOOKUP(tblDistributionTests[[#This Row],[Rand]]+MIN(tblFairTest[Score]),tblFairTest[],2,TRUE)</f>
        <v>Todd</v>
      </c>
      <c r="X33" s="1" t="str">
        <f ca="1">VLOOKUP(tblDistributionTests[[#This Row],[Rand]],tblNormalTestVl[],2,TRUE)</f>
        <v>William</v>
      </c>
      <c r="Y33" s="11" t="str">
        <f ca="1">INDEX(tblNormalTestIM[],MATCH(tblDistributionTests[[#This Row],[Rand]],tblNormalTestIM[Score],-1),2)</f>
        <v>Frank</v>
      </c>
    </row>
    <row r="34" spans="15:25" x14ac:dyDescent="0.2">
      <c r="O34" s="9">
        <f>1-_xlfn.NORM.DIST(ROW()-ROW(tblNormalTestIM[#Headers]),ROWS(tblNormalTestIM[Score])/2,(ROWS(tblNormalTestIM[Score])/6),TRUE)</f>
        <v>0.93319279873114191</v>
      </c>
      <c r="P34" s="1" t="s">
        <v>18</v>
      </c>
      <c r="Q34" s="3">
        <f ca="1">SUM(tblNormalTestIM[[#This Row],[Score]],IF(ISNUMBER(OFFSET(tblNormalTestIM[[#This Row],[Score]],1,0)),-OFFSET(tblNormalTestIM[[#This Row],[Score]],1,0),0))</f>
        <v>0.15982015110801018</v>
      </c>
      <c r="R34" s="28">
        <f ca="1">COUNTIF(tblDistributionTests[Normal B],tblNormalTestIM[[#This Row],[Result]])</f>
        <v>177</v>
      </c>
      <c r="S34" s="3">
        <f ca="1">tblNormalTestIM[[#This Row],[IM Test Count]]/ROWS(tblDistributionTests[Normal B])</f>
        <v>0.1716779825412221</v>
      </c>
      <c r="T34" s="31">
        <f ca="1">ABS(tblNormalTestIM[[#This Row],[IM Actual Weights]]-tblNormalTestIM[[#This Row],[Weight]])*100</f>
        <v>1.1857831433211925</v>
      </c>
      <c r="U34" s="13"/>
      <c r="V34" s="1">
        <f t="shared" ca="1" si="0"/>
        <v>0.56000000000000005</v>
      </c>
      <c r="W34" s="1" t="str">
        <f ca="1">VLOOKUP(tblDistributionTests[[#This Row],[Rand]]+MIN(tblFairTest[Score]),tblFairTest[],2,TRUE)</f>
        <v>Todd</v>
      </c>
      <c r="X34" s="1" t="str">
        <f ca="1">VLOOKUP(tblDistributionTests[[#This Row],[Rand]],tblNormalTestVl[],2,TRUE)</f>
        <v>Riley</v>
      </c>
      <c r="Y34" s="11" t="str">
        <f ca="1">INDEX(tblNormalTestIM[],MATCH(tblDistributionTests[[#This Row],[Rand]],tblNormalTestIM[Score],-1),2)</f>
        <v>Luke</v>
      </c>
    </row>
    <row r="35" spans="15:25" x14ac:dyDescent="0.2">
      <c r="O35" s="9">
        <f>1-_xlfn.NORM.DIST(ROW()-ROW(tblNormalTestIM[#Headers]),ROWS(tblNormalTestIM[Score])/2,(ROWS(tblNormalTestIM[Score])/6),TRUE)</f>
        <v>0.77337264762313174</v>
      </c>
      <c r="P35" s="1" t="s">
        <v>19</v>
      </c>
      <c r="Q35" s="3">
        <f ca="1">SUM(tblNormalTestIM[[#This Row],[Score]],IF(ISNUMBER(OFFSET(tblNormalTestIM[[#This Row],[Score]],1,0)),-OFFSET(tblNormalTestIM[[#This Row],[Score]],1,0),0))</f>
        <v>0.27337264762313174</v>
      </c>
      <c r="R35" s="28">
        <f ca="1">COUNTIF(tblDistributionTests[Normal B],tblNormalTestIM[[#This Row],[Result]])</f>
        <v>259</v>
      </c>
      <c r="S35" s="3">
        <f ca="1">tblNormalTestIM[[#This Row],[IM Test Count]]/ROWS(tblDistributionTests[Normal B])</f>
        <v>0.25121241513094084</v>
      </c>
      <c r="T35" s="31">
        <f ca="1">ABS(tblNormalTestIM[[#This Row],[IM Actual Weights]]-tblNormalTestIM[[#This Row],[Weight]])*100</f>
        <v>2.2160232492190901</v>
      </c>
      <c r="U35" s="13"/>
      <c r="V35" s="1">
        <f t="shared" ca="1" si="0"/>
        <v>0.14000000000000001</v>
      </c>
      <c r="W35" s="1" t="e">
        <f ca="1">VLOOKUP(tblDistributionTests[[#This Row],[Rand]]+MIN(tblFairTest[Score]),tblFairTest[],2,TRUE)</f>
        <v>#N/A</v>
      </c>
      <c r="X35" s="1" t="str">
        <f ca="1">VLOOKUP(tblDistributionTests[[#This Row],[Rand]],tblNormalTestVl[],2,TRUE)</f>
        <v>Frank</v>
      </c>
      <c r="Y35" s="11" t="str">
        <f ca="1">INDEX(tblNormalTestIM[],MATCH(tblDistributionTests[[#This Row],[Rand]],tblNormalTestIM[Score],-1),2)</f>
        <v>William</v>
      </c>
    </row>
    <row r="36" spans="15:25" x14ac:dyDescent="0.2">
      <c r="O36" s="9">
        <f>1-_xlfn.NORM.DIST(ROW()-ROW(tblNormalTestIM[#Headers]),ROWS(tblNormalTestIM[Score])/2,(ROWS(tblNormalTestIM[Score])/6),TRUE)</f>
        <v>0.5</v>
      </c>
      <c r="P36" s="1" t="s">
        <v>20</v>
      </c>
      <c r="Q36" s="3">
        <f ca="1">SUM(tblNormalTestIM[[#This Row],[Score]],IF(ISNUMBER(OFFSET(tblNormalTestIM[[#This Row],[Score]],1,0)),-OFFSET(tblNormalTestIM[[#This Row],[Score]],1,0),0))</f>
        <v>0.27337264762313174</v>
      </c>
      <c r="R36" s="28">
        <f ca="1">COUNTIF(tblDistributionTests[Normal B],tblNormalTestIM[[#This Row],[Result]])</f>
        <v>301</v>
      </c>
      <c r="S36" s="3">
        <f ca="1">tblNormalTestIM[[#This Row],[IM Test Count]]/ROWS(tblDistributionTests[Normal B])</f>
        <v>0.29194956353055285</v>
      </c>
      <c r="T36" s="31">
        <f ca="1">ABS(tblNormalTestIM[[#This Row],[IM Actual Weights]]-tblNormalTestIM[[#This Row],[Weight]])*100</f>
        <v>1.857691590742111</v>
      </c>
      <c r="U36" s="13"/>
      <c r="V36" s="1">
        <f t="shared" ca="1" si="0"/>
        <v>0.75</v>
      </c>
      <c r="W36" s="1" t="str">
        <f ca="1">VLOOKUP(tblDistributionTests[[#This Row],[Rand]]+MIN(tblFairTest[Score]),tblFairTest[],2,TRUE)</f>
        <v>Todd</v>
      </c>
      <c r="X36" s="1" t="str">
        <f ca="1">VLOOKUP(tblDistributionTests[[#This Row],[Rand]],tblNormalTestVl[],2,TRUE)</f>
        <v>Riley</v>
      </c>
      <c r="Y36" s="11" t="str">
        <f ca="1">INDEX(tblNormalTestIM[],MATCH(tblDistributionTests[[#This Row],[Rand]],tblNormalTestIM[Score],-1),2)</f>
        <v>Luke</v>
      </c>
    </row>
    <row r="37" spans="15:25" x14ac:dyDescent="0.2">
      <c r="O37" s="9">
        <f>1-_xlfn.NORM.DIST(ROW()-ROW(tblNormalTestIM[#Headers]),ROWS(tblNormalTestIM[Score])/2,(ROWS(tblNormalTestIM[Score])/6),TRUE)</f>
        <v>0.22662735237686826</v>
      </c>
      <c r="P37" s="1" t="s">
        <v>21</v>
      </c>
      <c r="Q37" s="3">
        <f ca="1">SUM(tblNormalTestIM[[#This Row],[Score]],IF(ISNUMBER(OFFSET(tblNormalTestIM[[#This Row],[Score]],1,0)),-OFFSET(tblNormalTestIM[[#This Row],[Score]],1,0),0))</f>
        <v>0.15982015110801018</v>
      </c>
      <c r="R37" s="28">
        <f ca="1">COUNTIF(tblDistributionTests[Normal B],tblNormalTestIM[[#This Row],[Result]])</f>
        <v>159</v>
      </c>
      <c r="S37" s="3">
        <f ca="1">tblNormalTestIM[[#This Row],[IM Test Count]]/ROWS(tblDistributionTests[Normal B])</f>
        <v>0.1542192046556741</v>
      </c>
      <c r="T37" s="31">
        <f ca="1">ABS(tblNormalTestIM[[#This Row],[IM Actual Weights]]-tblNormalTestIM[[#This Row],[Weight]])*100</f>
        <v>0.56009464523360808</v>
      </c>
      <c r="U37" s="13"/>
      <c r="V37" s="1">
        <f t="shared" ca="1" si="0"/>
        <v>0.28000000000000003</v>
      </c>
      <c r="W37" s="1" t="e">
        <f ca="1">VLOOKUP(tblDistributionTests[[#This Row],[Rand]]+MIN(tblFairTest[Score]),tblFairTest[],2,TRUE)</f>
        <v>#N/A</v>
      </c>
      <c r="X37" s="1" t="str">
        <f ca="1">VLOOKUP(tblDistributionTests[[#This Row],[Rand]],tblNormalTestVl[],2,TRUE)</f>
        <v>Luke</v>
      </c>
      <c r="Y37" s="11" t="str">
        <f ca="1">INDEX(tblNormalTestIM[],MATCH(tblDistributionTests[[#This Row],[Rand]],tblNormalTestIM[Score],-1),2)</f>
        <v>Riley</v>
      </c>
    </row>
    <row r="38" spans="15:25" x14ac:dyDescent="0.2">
      <c r="O38" s="9">
        <f>1-_xlfn.NORM.DIST(ROW()-ROW(tblNormalTestIM[#Headers]),ROWS(tblNormalTestIM[Score])/2,(ROWS(tblNormalTestIM[Score])/6),TRUE)</f>
        <v>6.6807201268858085E-2</v>
      </c>
      <c r="P38" s="1" t="s">
        <v>22</v>
      </c>
      <c r="Q38" s="3">
        <f ca="1">SUM(tblNormalTestIM[[#This Row],[Score]],IF(ISNUMBER(OFFSET(tblNormalTestIM[[#This Row],[Score]],1,0)),-OFFSET(tblNormalTestIM[[#This Row],[Score]],1,0),0))</f>
        <v>5.4582728613813414E-2</v>
      </c>
      <c r="R38" s="28">
        <f ca="1">COUNTIF(tblDistributionTests[Normal B],tblNormalTestIM[[#This Row],[Result]])</f>
        <v>43</v>
      </c>
      <c r="S38" s="3">
        <f ca="1">tblNormalTestIM[[#This Row],[IM Test Count]]/ROWS(tblDistributionTests[Normal B])</f>
        <v>4.1707080504364696E-2</v>
      </c>
      <c r="T38" s="31">
        <f ca="1">ABS(tblNormalTestIM[[#This Row],[IM Actual Weights]]-tblNormalTestIM[[#This Row],[Weight]])*100</f>
        <v>1.2875648109448719</v>
      </c>
      <c r="U38" s="13"/>
      <c r="V38" s="1">
        <f t="shared" ca="1" si="0"/>
        <v>0.3</v>
      </c>
      <c r="W38" s="1" t="e">
        <f ca="1">VLOOKUP(tblDistributionTests[[#This Row],[Rand]]+MIN(tblFairTest[Score]),tblFairTest[],2,TRUE)</f>
        <v>#N/A</v>
      </c>
      <c r="X38" s="1" t="str">
        <f ca="1">VLOOKUP(tblDistributionTests[[#This Row],[Rand]],tblNormalTestVl[],2,TRUE)</f>
        <v>Luke</v>
      </c>
      <c r="Y38" s="11" t="str">
        <f ca="1">INDEX(tblNormalTestIM[],MATCH(tblDistributionTests[[#This Row],[Rand]],tblNormalTestIM[Score],-1),2)</f>
        <v>Riley</v>
      </c>
    </row>
    <row r="39" spans="15:25" x14ac:dyDescent="0.2">
      <c r="O39" s="9">
        <f>1-_xlfn.NORM.DIST(ROW()-ROW(tblNormalTestIM[#Headers]),ROWS(tblNormalTestIM[Score])/2,(ROWS(tblNormalTestIM[Score])/6),TRUE)</f>
        <v>1.2224472655044671E-2</v>
      </c>
      <c r="P39" s="1" t="s">
        <v>23</v>
      </c>
      <c r="Q39" s="3">
        <f ca="1">SUM(tblNormalTestIM[[#This Row],[Score]],IF(ISNUMBER(OFFSET(tblNormalTestIM[[#This Row],[Score]],1,0)),-OFFSET(tblNormalTestIM[[#This Row],[Score]],1,0),0))</f>
        <v>1.0874574623414568E-2</v>
      </c>
      <c r="R39" s="28">
        <f ca="1">COUNTIF(tblDistributionTests[Normal B],tblNormalTestIM[[#This Row],[Result]])</f>
        <v>13</v>
      </c>
      <c r="S39" s="3">
        <f ca="1">tblNormalTestIM[[#This Row],[IM Test Count]]/ROWS(tblDistributionTests[Normal B])</f>
        <v>1.2609117361784675E-2</v>
      </c>
      <c r="T39" s="31">
        <f ca="1">ABS(tblNormalTestIM[[#This Row],[IM Actual Weights]]-tblNormalTestIM[[#This Row],[Weight]])*100</f>
        <v>0.17345427383701068</v>
      </c>
      <c r="U39" s="13"/>
      <c r="V39" s="1">
        <f t="shared" ca="1" si="0"/>
        <v>0.4</v>
      </c>
      <c r="W39" s="1" t="e">
        <f ca="1">VLOOKUP(tblDistributionTests[[#This Row],[Rand]]+MIN(tblFairTest[Score]),tblFairTest[],2,TRUE)</f>
        <v>#N/A</v>
      </c>
      <c r="X39" s="1" t="str">
        <f ca="1">VLOOKUP(tblDistributionTests[[#This Row],[Rand]],tblNormalTestVl[],2,TRUE)</f>
        <v>Luke</v>
      </c>
      <c r="Y39" s="11" t="str">
        <f ca="1">INDEX(tblNormalTestIM[],MATCH(tblDistributionTests[[#This Row],[Rand]],tblNormalTestIM[Score],-1),2)</f>
        <v>Riley</v>
      </c>
    </row>
    <row r="40" spans="15:25" x14ac:dyDescent="0.2">
      <c r="O40" s="9">
        <f>1-_xlfn.NORM.DIST(ROW()-ROW(tblNormalTestIM[#Headers]),ROWS(tblNormalTestIM[Score])/2,(ROWS(tblNormalTestIM[Score])/6),TRUE)</f>
        <v>1.3498980316301035E-3</v>
      </c>
      <c r="P40" s="1" t="s">
        <v>24</v>
      </c>
      <c r="Q40" s="3">
        <f ca="1">SUM(tblNormalTestIM[[#This Row],[Score]],IF(ISNUMBER(OFFSET(tblNormalTestIM[[#This Row],[Score]],1,0)),-OFFSET(tblNormalTestIM[[#This Row],[Score]],1,0),0))</f>
        <v>1.3498980316301035E-3</v>
      </c>
      <c r="R40" s="28">
        <f ca="1">COUNTIF(tblDistributionTests[Normal B],tblNormalTestIM[[#This Row],[Result]])</f>
        <v>0</v>
      </c>
      <c r="S40" s="3">
        <f ca="1">tblNormalTestIM[[#This Row],[IM Test Count]]/ROWS(tblDistributionTests[Normal B])</f>
        <v>0</v>
      </c>
      <c r="T40" s="31">
        <f ca="1">ABS(tblNormalTestIM[[#This Row],[IM Actual Weights]]-tblNormalTestIM[[#This Row],[Weight]])*100</f>
        <v>0.13498980316301035</v>
      </c>
      <c r="U40" s="13"/>
      <c r="V40" s="1">
        <f t="shared" ca="1" si="0"/>
        <v>0.89</v>
      </c>
      <c r="W40" s="1" t="str">
        <f ca="1">VLOOKUP(tblDistributionTests[[#This Row],[Rand]]+MIN(tblFairTest[Score]),tblFairTest[],2,TRUE)</f>
        <v>Todd</v>
      </c>
      <c r="X40" s="1" t="str">
        <f ca="1">VLOOKUP(tblDistributionTests[[#This Row],[Rand]],tblNormalTestVl[],2,TRUE)</f>
        <v>William</v>
      </c>
      <c r="Y40" s="11" t="str">
        <f ca="1">INDEX(tblNormalTestIM[],MATCH(tblDistributionTests[[#This Row],[Rand]],tblNormalTestIM[Score],-1),2)</f>
        <v>Frank</v>
      </c>
    </row>
    <row r="41" spans="15:25" x14ac:dyDescent="0.2">
      <c r="V41" s="1">
        <f t="shared" ca="1" si="0"/>
        <v>0.4</v>
      </c>
      <c r="W41" s="1" t="e">
        <f ca="1">VLOOKUP(tblDistributionTests[[#This Row],[Rand]]+MIN(tblFairTest[Score]),tblFairTest[],2,TRUE)</f>
        <v>#N/A</v>
      </c>
      <c r="X41" s="1" t="str">
        <f ca="1">VLOOKUP(tblDistributionTests[[#This Row],[Rand]],tblNormalTestVl[],2,TRUE)</f>
        <v>Luke</v>
      </c>
      <c r="Y41" s="11" t="str">
        <f ca="1">INDEX(tblNormalTestIM[],MATCH(tblDistributionTests[[#This Row],[Rand]],tblNormalTestIM[Score],-1),2)</f>
        <v>Riley</v>
      </c>
    </row>
    <row r="42" spans="15:25" x14ac:dyDescent="0.2">
      <c r="O42" s="2" t="s">
        <v>1245</v>
      </c>
      <c r="V42" s="1">
        <f t="shared" ca="1" si="0"/>
        <v>0.34</v>
      </c>
      <c r="W42" s="1" t="e">
        <f ca="1">VLOOKUP(tblDistributionTests[[#This Row],[Rand]]+MIN(tblFairTest[Score]),tblFairTest[],2,TRUE)</f>
        <v>#N/A</v>
      </c>
      <c r="X42" s="1" t="str">
        <f ca="1">VLOOKUP(tblDistributionTests[[#This Row],[Rand]],tblNormalTestVl[],2,TRUE)</f>
        <v>Luke</v>
      </c>
      <c r="Y42" s="11" t="str">
        <f ca="1">INDEX(tblNormalTestIM[],MATCH(tblDistributionTests[[#This Row],[Rand]],tblNormalTestIM[Score],-1),2)</f>
        <v>Riley</v>
      </c>
    </row>
    <row r="43" spans="15:25" x14ac:dyDescent="0.2">
      <c r="P43" s="2" t="s">
        <v>1247</v>
      </c>
      <c r="V43" s="1">
        <f t="shared" ca="1" si="0"/>
        <v>0.18</v>
      </c>
      <c r="W43" s="1" t="e">
        <f ca="1">VLOOKUP(tblDistributionTests[[#This Row],[Rand]]+MIN(tblFairTest[Score]),tblFairTest[],2,TRUE)</f>
        <v>#N/A</v>
      </c>
      <c r="X43" s="1" t="str">
        <f ca="1">VLOOKUP(tblDistributionTests[[#This Row],[Rand]],tblNormalTestVl[],2,TRUE)</f>
        <v>Frank</v>
      </c>
      <c r="Y43" s="11" t="str">
        <f ca="1">INDEX(tblNormalTestIM[],MATCH(tblDistributionTests[[#This Row],[Rand]],tblNormalTestIM[Score],-1),2)</f>
        <v>William</v>
      </c>
    </row>
    <row r="44" spans="15:25" x14ac:dyDescent="0.2">
      <c r="V44" s="1">
        <f t="shared" ca="1" si="0"/>
        <v>0.54</v>
      </c>
      <c r="W44" s="1" t="str">
        <f ca="1">VLOOKUP(tblDistributionTests[[#This Row],[Rand]]+MIN(tblFairTest[Score]),tblFairTest[],2,TRUE)</f>
        <v>Todd</v>
      </c>
      <c r="X44" s="1" t="str">
        <f ca="1">VLOOKUP(tblDistributionTests[[#This Row],[Rand]],tblNormalTestVl[],2,TRUE)</f>
        <v>Riley</v>
      </c>
      <c r="Y44" s="11" t="str">
        <f ca="1">INDEX(tblNormalTestIM[],MATCH(tblDistributionTests[[#This Row],[Rand]],tblNormalTestIM[Score],-1),2)</f>
        <v>Luke</v>
      </c>
    </row>
    <row r="45" spans="15:25" x14ac:dyDescent="0.2">
      <c r="P45" s="2" t="s">
        <v>1246</v>
      </c>
      <c r="V45" s="1">
        <f t="shared" ca="1" si="0"/>
        <v>0.17</v>
      </c>
      <c r="W45" s="1" t="e">
        <f ca="1">VLOOKUP(tblDistributionTests[[#This Row],[Rand]]+MIN(tblFairTest[Score]),tblFairTest[],2,TRUE)</f>
        <v>#N/A</v>
      </c>
      <c r="X45" s="1" t="str">
        <f ca="1">VLOOKUP(tblDistributionTests[[#This Row],[Rand]],tblNormalTestVl[],2,TRUE)</f>
        <v>Frank</v>
      </c>
      <c r="Y45" s="11" t="str">
        <f ca="1">INDEX(tblNormalTestIM[],MATCH(tblDistributionTests[[#This Row],[Rand]],tblNormalTestIM[Score],-1),2)</f>
        <v>William</v>
      </c>
    </row>
    <row r="46" spans="15:25" x14ac:dyDescent="0.2">
      <c r="V46" s="1">
        <f t="shared" ca="1" si="0"/>
        <v>0.09</v>
      </c>
      <c r="W46" s="1" t="e">
        <f ca="1">VLOOKUP(tblDistributionTests[[#This Row],[Rand]]+MIN(tblFairTest[Score]),tblFairTest[],2,TRUE)</f>
        <v>#N/A</v>
      </c>
      <c r="X46" s="1" t="str">
        <f ca="1">VLOOKUP(tblDistributionTests[[#This Row],[Rand]],tblNormalTestVl[],2,TRUE)</f>
        <v>Frank</v>
      </c>
      <c r="Y46" s="11" t="str">
        <f ca="1">INDEX(tblNormalTestIM[],MATCH(tblDistributionTests[[#This Row],[Rand]],tblNormalTestIM[Score],-1),2)</f>
        <v>William</v>
      </c>
    </row>
    <row r="47" spans="15:25" x14ac:dyDescent="0.2">
      <c r="V47" s="1">
        <f t="shared" ca="1" si="0"/>
        <v>0.88</v>
      </c>
      <c r="W47" s="1" t="str">
        <f ca="1">VLOOKUP(tblDistributionTests[[#This Row],[Rand]]+MIN(tblFairTest[Score]),tblFairTest[],2,TRUE)</f>
        <v>Todd</v>
      </c>
      <c r="X47" s="1" t="str">
        <f ca="1">VLOOKUP(tblDistributionTests[[#This Row],[Rand]],tblNormalTestVl[],2,TRUE)</f>
        <v>William</v>
      </c>
      <c r="Y47" s="11" t="str">
        <f ca="1">INDEX(tblNormalTestIM[],MATCH(tblDistributionTests[[#This Row],[Rand]],tblNormalTestIM[Score],-1),2)</f>
        <v>Frank</v>
      </c>
    </row>
    <row r="48" spans="15:25" x14ac:dyDescent="0.2">
      <c r="V48" s="1">
        <f t="shared" ca="1" si="0"/>
        <v>0.08</v>
      </c>
      <c r="W48" s="1" t="e">
        <f ca="1">VLOOKUP(tblDistributionTests[[#This Row],[Rand]]+MIN(tblFairTest[Score]),tblFairTest[],2,TRUE)</f>
        <v>#N/A</v>
      </c>
      <c r="X48" s="1" t="str">
        <f ca="1">VLOOKUP(tblDistributionTests[[#This Row],[Rand]],tblNormalTestVl[],2,TRUE)</f>
        <v>Frank</v>
      </c>
      <c r="Y48" s="11" t="str">
        <f ca="1">INDEX(tblNormalTestIM[],MATCH(tblDistributionTests[[#This Row],[Rand]],tblNormalTestIM[Score],-1),2)</f>
        <v>William</v>
      </c>
    </row>
    <row r="49" spans="22:25" x14ac:dyDescent="0.2">
      <c r="V49" s="1">
        <f t="shared" ca="1" si="0"/>
        <v>0.56999999999999995</v>
      </c>
      <c r="W49" s="1" t="str">
        <f ca="1">VLOOKUP(tblDistributionTests[[#This Row],[Rand]]+MIN(tblFairTest[Score]),tblFairTest[],2,TRUE)</f>
        <v>Todd</v>
      </c>
      <c r="X49" s="1" t="str">
        <f ca="1">VLOOKUP(tblDistributionTests[[#This Row],[Rand]],tblNormalTestVl[],2,TRUE)</f>
        <v>Riley</v>
      </c>
      <c r="Y49" s="11" t="str">
        <f ca="1">INDEX(tblNormalTestIM[],MATCH(tblDistributionTests[[#This Row],[Rand]],tblNormalTestIM[Score],-1),2)</f>
        <v>Luke</v>
      </c>
    </row>
    <row r="50" spans="22:25" x14ac:dyDescent="0.2">
      <c r="V50" s="1">
        <f t="shared" ca="1" si="0"/>
        <v>0.56000000000000005</v>
      </c>
      <c r="W50" s="1" t="str">
        <f ca="1">VLOOKUP(tblDistributionTests[[#This Row],[Rand]]+MIN(tblFairTest[Score]),tblFairTest[],2,TRUE)</f>
        <v>Todd</v>
      </c>
      <c r="X50" s="1" t="str">
        <f ca="1">VLOOKUP(tblDistributionTests[[#This Row],[Rand]],tblNormalTestVl[],2,TRUE)</f>
        <v>Riley</v>
      </c>
      <c r="Y50" s="11" t="str">
        <f ca="1">INDEX(tblNormalTestIM[],MATCH(tblDistributionTests[[#This Row],[Rand]],tblNormalTestIM[Score],-1),2)</f>
        <v>Luke</v>
      </c>
    </row>
    <row r="51" spans="22:25" x14ac:dyDescent="0.2">
      <c r="V51" s="1">
        <f t="shared" ca="1" si="0"/>
        <v>0.73</v>
      </c>
      <c r="W51" s="1" t="str">
        <f ca="1">VLOOKUP(tblDistributionTests[[#This Row],[Rand]]+MIN(tblFairTest[Score]),tblFairTest[],2,TRUE)</f>
        <v>Todd</v>
      </c>
      <c r="X51" s="1" t="str">
        <f ca="1">VLOOKUP(tblDistributionTests[[#This Row],[Rand]],tblNormalTestVl[],2,TRUE)</f>
        <v>Riley</v>
      </c>
      <c r="Y51" s="11" t="str">
        <f ca="1">INDEX(tblNormalTestIM[],MATCH(tblDistributionTests[[#This Row],[Rand]],tblNormalTestIM[Score],-1),2)</f>
        <v>Luke</v>
      </c>
    </row>
    <row r="52" spans="22:25" x14ac:dyDescent="0.2">
      <c r="V52" s="1">
        <f t="shared" ca="1" si="0"/>
        <v>0.3</v>
      </c>
      <c r="W52" s="1" t="e">
        <f ca="1">VLOOKUP(tblDistributionTests[[#This Row],[Rand]]+MIN(tblFairTest[Score]),tblFairTest[],2,TRUE)</f>
        <v>#N/A</v>
      </c>
      <c r="X52" s="1" t="str">
        <f ca="1">VLOOKUP(tblDistributionTests[[#This Row],[Rand]],tblNormalTestVl[],2,TRUE)</f>
        <v>Luke</v>
      </c>
      <c r="Y52" s="11" t="str">
        <f ca="1">INDEX(tblNormalTestIM[],MATCH(tblDistributionTests[[#This Row],[Rand]],tblNormalTestIM[Score],-1),2)</f>
        <v>Riley</v>
      </c>
    </row>
    <row r="53" spans="22:25" x14ac:dyDescent="0.2">
      <c r="V53" s="1">
        <f t="shared" ca="1" si="0"/>
        <v>0.47</v>
      </c>
      <c r="W53" s="1" t="e">
        <f ca="1">VLOOKUP(tblDistributionTests[[#This Row],[Rand]]+MIN(tblFairTest[Score]),tblFairTest[],2,TRUE)</f>
        <v>#N/A</v>
      </c>
      <c r="X53" s="1" t="str">
        <f ca="1">VLOOKUP(tblDistributionTests[[#This Row],[Rand]],tblNormalTestVl[],2,TRUE)</f>
        <v>Luke</v>
      </c>
      <c r="Y53" s="11" t="str">
        <f ca="1">INDEX(tblNormalTestIM[],MATCH(tblDistributionTests[[#This Row],[Rand]],tblNormalTestIM[Score],-1),2)</f>
        <v>Riley</v>
      </c>
    </row>
    <row r="54" spans="22:25" x14ac:dyDescent="0.2">
      <c r="V54" s="1">
        <f t="shared" ca="1" si="0"/>
        <v>0.94</v>
      </c>
      <c r="W54" s="1" t="str">
        <f ca="1">VLOOKUP(tblDistributionTests[[#This Row],[Rand]]+MIN(tblFairTest[Score]),tblFairTest[],2,TRUE)</f>
        <v>Todd</v>
      </c>
      <c r="X54" s="1" t="str">
        <f ca="1">VLOOKUP(tblDistributionTests[[#This Row],[Rand]],tblNormalTestVl[],2,TRUE)</f>
        <v>Eric</v>
      </c>
      <c r="Y54" s="11" t="str">
        <f ca="1">INDEX(tblNormalTestIM[],MATCH(tblDistributionTests[[#This Row],[Rand]],tblNormalTestIM[Score],-1),2)</f>
        <v>Bill</v>
      </c>
    </row>
    <row r="55" spans="22:25" x14ac:dyDescent="0.2">
      <c r="V55" s="1">
        <f t="shared" ca="1" si="0"/>
        <v>0.28000000000000003</v>
      </c>
      <c r="W55" s="1" t="e">
        <f ca="1">VLOOKUP(tblDistributionTests[[#This Row],[Rand]]+MIN(tblFairTest[Score]),tblFairTest[],2,TRUE)</f>
        <v>#N/A</v>
      </c>
      <c r="X55" s="1" t="str">
        <f ca="1">VLOOKUP(tblDistributionTests[[#This Row],[Rand]],tblNormalTestVl[],2,TRUE)</f>
        <v>Luke</v>
      </c>
      <c r="Y55" s="11" t="str">
        <f ca="1">INDEX(tblNormalTestIM[],MATCH(tblDistributionTests[[#This Row],[Rand]],tblNormalTestIM[Score],-1),2)</f>
        <v>Riley</v>
      </c>
    </row>
    <row r="56" spans="22:25" x14ac:dyDescent="0.2">
      <c r="V56" s="1">
        <f t="shared" ca="1" si="0"/>
        <v>0.76</v>
      </c>
      <c r="W56" s="1" t="str">
        <f ca="1">VLOOKUP(tblDistributionTests[[#This Row],[Rand]]+MIN(tblFairTest[Score]),tblFairTest[],2,TRUE)</f>
        <v>Todd</v>
      </c>
      <c r="X56" s="1" t="str">
        <f ca="1">VLOOKUP(tblDistributionTests[[#This Row],[Rand]],tblNormalTestVl[],2,TRUE)</f>
        <v>Riley</v>
      </c>
      <c r="Y56" s="11" t="str">
        <f ca="1">INDEX(tblNormalTestIM[],MATCH(tblDistributionTests[[#This Row],[Rand]],tblNormalTestIM[Score],-1),2)</f>
        <v>Luke</v>
      </c>
    </row>
    <row r="57" spans="22:25" x14ac:dyDescent="0.2">
      <c r="V57" s="1">
        <f t="shared" ca="1" si="0"/>
        <v>0.39</v>
      </c>
      <c r="W57" s="1" t="e">
        <f ca="1">VLOOKUP(tblDistributionTests[[#This Row],[Rand]]+MIN(tblFairTest[Score]),tblFairTest[],2,TRUE)</f>
        <v>#N/A</v>
      </c>
      <c r="X57" s="1" t="str">
        <f ca="1">VLOOKUP(tblDistributionTests[[#This Row],[Rand]],tblNormalTestVl[],2,TRUE)</f>
        <v>Luke</v>
      </c>
      <c r="Y57" s="11" t="str">
        <f ca="1">INDEX(tblNormalTestIM[],MATCH(tblDistributionTests[[#This Row],[Rand]],tblNormalTestIM[Score],-1),2)</f>
        <v>Riley</v>
      </c>
    </row>
    <row r="58" spans="22:25" x14ac:dyDescent="0.2">
      <c r="V58" s="1">
        <f t="shared" ca="1" si="0"/>
        <v>0.18</v>
      </c>
      <c r="W58" s="1" t="e">
        <f ca="1">VLOOKUP(tblDistributionTests[[#This Row],[Rand]]+MIN(tblFairTest[Score]),tblFairTest[],2,TRUE)</f>
        <v>#N/A</v>
      </c>
      <c r="X58" s="1" t="str">
        <f ca="1">VLOOKUP(tblDistributionTests[[#This Row],[Rand]],tblNormalTestVl[],2,TRUE)</f>
        <v>Frank</v>
      </c>
      <c r="Y58" s="11" t="str">
        <f ca="1">INDEX(tblNormalTestIM[],MATCH(tblDistributionTests[[#This Row],[Rand]],tblNormalTestIM[Score],-1),2)</f>
        <v>William</v>
      </c>
    </row>
    <row r="59" spans="22:25" x14ac:dyDescent="0.2">
      <c r="V59" s="1">
        <f t="shared" ca="1" si="0"/>
        <v>0.21</v>
      </c>
      <c r="W59" s="1" t="e">
        <f ca="1">VLOOKUP(tblDistributionTests[[#This Row],[Rand]]+MIN(tblFairTest[Score]),tblFairTest[],2,TRUE)</f>
        <v>#N/A</v>
      </c>
      <c r="X59" s="1" t="str">
        <f ca="1">VLOOKUP(tblDistributionTests[[#This Row],[Rand]],tblNormalTestVl[],2,TRUE)</f>
        <v>Frank</v>
      </c>
      <c r="Y59" s="11" t="str">
        <f ca="1">INDEX(tblNormalTestIM[],MATCH(tblDistributionTests[[#This Row],[Rand]],tblNormalTestIM[Score],-1),2)</f>
        <v>William</v>
      </c>
    </row>
    <row r="60" spans="22:25" x14ac:dyDescent="0.2">
      <c r="V60" s="1">
        <f t="shared" ca="1" si="0"/>
        <v>0.66</v>
      </c>
      <c r="W60" s="1" t="str">
        <f ca="1">VLOOKUP(tblDistributionTests[[#This Row],[Rand]]+MIN(tblFairTest[Score]),tblFairTest[],2,TRUE)</f>
        <v>Todd</v>
      </c>
      <c r="X60" s="1" t="str">
        <f ca="1">VLOOKUP(tblDistributionTests[[#This Row],[Rand]],tblNormalTestVl[],2,TRUE)</f>
        <v>Riley</v>
      </c>
      <c r="Y60" s="11" t="str">
        <f ca="1">INDEX(tblNormalTestIM[],MATCH(tblDistributionTests[[#This Row],[Rand]],tblNormalTestIM[Score],-1),2)</f>
        <v>Luke</v>
      </c>
    </row>
    <row r="61" spans="22:25" x14ac:dyDescent="0.2">
      <c r="V61" s="1">
        <f t="shared" ca="1" si="0"/>
        <v>0.88</v>
      </c>
      <c r="W61" s="1" t="str">
        <f ca="1">VLOOKUP(tblDistributionTests[[#This Row],[Rand]]+MIN(tblFairTest[Score]),tblFairTest[],2,TRUE)</f>
        <v>Todd</v>
      </c>
      <c r="X61" s="1" t="str">
        <f ca="1">VLOOKUP(tblDistributionTests[[#This Row],[Rand]],tblNormalTestVl[],2,TRUE)</f>
        <v>William</v>
      </c>
      <c r="Y61" s="11" t="str">
        <f ca="1">INDEX(tblNormalTestIM[],MATCH(tblDistributionTests[[#This Row],[Rand]],tblNormalTestIM[Score],-1),2)</f>
        <v>Frank</v>
      </c>
    </row>
    <row r="62" spans="22:25" x14ac:dyDescent="0.2">
      <c r="V62" s="1">
        <f t="shared" ca="1" si="0"/>
        <v>0.92</v>
      </c>
      <c r="W62" s="1" t="str">
        <f ca="1">VLOOKUP(tblDistributionTests[[#This Row],[Rand]]+MIN(tblFairTest[Score]),tblFairTest[],2,TRUE)</f>
        <v>Todd</v>
      </c>
      <c r="X62" s="1" t="str">
        <f ca="1">VLOOKUP(tblDistributionTests[[#This Row],[Rand]],tblNormalTestVl[],2,TRUE)</f>
        <v>William</v>
      </c>
      <c r="Y62" s="11" t="str">
        <f ca="1">INDEX(tblNormalTestIM[],MATCH(tblDistributionTests[[#This Row],[Rand]],tblNormalTestIM[Score],-1),2)</f>
        <v>Frank</v>
      </c>
    </row>
    <row r="63" spans="22:25" x14ac:dyDescent="0.2">
      <c r="V63" s="1">
        <f t="shared" ca="1" si="0"/>
        <v>0.28999999999999998</v>
      </c>
      <c r="W63" s="1" t="e">
        <f ca="1">VLOOKUP(tblDistributionTests[[#This Row],[Rand]]+MIN(tblFairTest[Score]),tblFairTest[],2,TRUE)</f>
        <v>#N/A</v>
      </c>
      <c r="X63" s="1" t="str">
        <f ca="1">VLOOKUP(tblDistributionTests[[#This Row],[Rand]],tblNormalTestVl[],2,TRUE)</f>
        <v>Luke</v>
      </c>
      <c r="Y63" s="11" t="str">
        <f ca="1">INDEX(tblNormalTestIM[],MATCH(tblDistributionTests[[#This Row],[Rand]],tblNormalTestIM[Score],-1),2)</f>
        <v>Riley</v>
      </c>
    </row>
    <row r="64" spans="22:25" x14ac:dyDescent="0.2">
      <c r="V64" s="1">
        <f t="shared" ca="1" si="0"/>
        <v>0.51</v>
      </c>
      <c r="W64" s="1" t="str">
        <f ca="1">VLOOKUP(tblDistributionTests[[#This Row],[Rand]]+MIN(tblFairTest[Score]),tblFairTest[],2,TRUE)</f>
        <v>Todd</v>
      </c>
      <c r="X64" s="1" t="str">
        <f ca="1">VLOOKUP(tblDistributionTests[[#This Row],[Rand]],tblNormalTestVl[],2,TRUE)</f>
        <v>Riley</v>
      </c>
      <c r="Y64" s="11" t="str">
        <f ca="1">INDEX(tblNormalTestIM[],MATCH(tblDistributionTests[[#This Row],[Rand]],tblNormalTestIM[Score],-1),2)</f>
        <v>Luke</v>
      </c>
    </row>
    <row r="65" spans="22:25" x14ac:dyDescent="0.2">
      <c r="V65" s="1">
        <f t="shared" ca="1" si="0"/>
        <v>0.69</v>
      </c>
      <c r="W65" s="1" t="str">
        <f ca="1">VLOOKUP(tblDistributionTests[[#This Row],[Rand]]+MIN(tblFairTest[Score]),tblFairTest[],2,TRUE)</f>
        <v>Todd</v>
      </c>
      <c r="X65" s="1" t="str">
        <f ca="1">VLOOKUP(tblDistributionTests[[#This Row],[Rand]],tblNormalTestVl[],2,TRUE)</f>
        <v>Riley</v>
      </c>
      <c r="Y65" s="11" t="str">
        <f ca="1">INDEX(tblNormalTestIM[],MATCH(tblDistributionTests[[#This Row],[Rand]],tblNormalTestIM[Score],-1),2)</f>
        <v>Luke</v>
      </c>
    </row>
    <row r="66" spans="22:25" x14ac:dyDescent="0.2">
      <c r="V66" s="1">
        <f t="shared" ca="1" si="0"/>
        <v>0.56000000000000005</v>
      </c>
      <c r="W66" s="1" t="str">
        <f ca="1">VLOOKUP(tblDistributionTests[[#This Row],[Rand]]+MIN(tblFairTest[Score]),tblFairTest[],2,TRUE)</f>
        <v>Todd</v>
      </c>
      <c r="X66" s="1" t="str">
        <f ca="1">VLOOKUP(tblDistributionTests[[#This Row],[Rand]],tblNormalTestVl[],2,TRUE)</f>
        <v>Riley</v>
      </c>
      <c r="Y66" s="11" t="str">
        <f ca="1">INDEX(tblNormalTestIM[],MATCH(tblDistributionTests[[#This Row],[Rand]],tblNormalTestIM[Score],-1),2)</f>
        <v>Luke</v>
      </c>
    </row>
    <row r="67" spans="22:25" x14ac:dyDescent="0.2">
      <c r="V67" s="1">
        <f t="shared" ca="1" si="0"/>
        <v>0.32</v>
      </c>
      <c r="W67" s="1" t="e">
        <f ca="1">VLOOKUP(tblDistributionTests[[#This Row],[Rand]]+MIN(tblFairTest[Score]),tblFairTest[],2,TRUE)</f>
        <v>#N/A</v>
      </c>
      <c r="X67" s="1" t="str">
        <f ca="1">VLOOKUP(tblDistributionTests[[#This Row],[Rand]],tblNormalTestVl[],2,TRUE)</f>
        <v>Luke</v>
      </c>
      <c r="Y67" s="11" t="str">
        <f ca="1">INDEX(tblNormalTestIM[],MATCH(tblDistributionTests[[#This Row],[Rand]],tblNormalTestIM[Score],-1),2)</f>
        <v>Riley</v>
      </c>
    </row>
    <row r="68" spans="22:25" x14ac:dyDescent="0.2">
      <c r="V68" s="1">
        <f t="shared" ca="1" si="0"/>
        <v>0.31</v>
      </c>
      <c r="W68" s="1" t="e">
        <f ca="1">VLOOKUP(tblDistributionTests[[#This Row],[Rand]]+MIN(tblFairTest[Score]),tblFairTest[],2,TRUE)</f>
        <v>#N/A</v>
      </c>
      <c r="X68" s="1" t="str">
        <f ca="1">VLOOKUP(tblDistributionTests[[#This Row],[Rand]],tblNormalTestVl[],2,TRUE)</f>
        <v>Luke</v>
      </c>
      <c r="Y68" s="11" t="str">
        <f ca="1">INDEX(tblNormalTestIM[],MATCH(tblDistributionTests[[#This Row],[Rand]],tblNormalTestIM[Score],-1),2)</f>
        <v>Riley</v>
      </c>
    </row>
    <row r="69" spans="22:25" x14ac:dyDescent="0.2">
      <c r="V69" s="1">
        <f t="shared" ca="1" si="0"/>
        <v>0.78</v>
      </c>
      <c r="W69" s="1" t="str">
        <f ca="1">VLOOKUP(tblDistributionTests[[#This Row],[Rand]]+MIN(tblFairTest[Score]),tblFairTest[],2,TRUE)</f>
        <v>Todd</v>
      </c>
      <c r="X69" s="1" t="str">
        <f ca="1">VLOOKUP(tblDistributionTests[[#This Row],[Rand]],tblNormalTestVl[],2,TRUE)</f>
        <v>William</v>
      </c>
      <c r="Y69" s="11" t="str">
        <f ca="1">INDEX(tblNormalTestIM[],MATCH(tblDistributionTests[[#This Row],[Rand]],tblNormalTestIM[Score],-1),2)</f>
        <v>Frank</v>
      </c>
    </row>
    <row r="70" spans="22:25" x14ac:dyDescent="0.2">
      <c r="V70" s="1">
        <f t="shared" ca="1" si="0"/>
        <v>0.89</v>
      </c>
      <c r="W70" s="1" t="str">
        <f ca="1">VLOOKUP(tblDistributionTests[[#This Row],[Rand]]+MIN(tblFairTest[Score]),tblFairTest[],2,TRUE)</f>
        <v>Todd</v>
      </c>
      <c r="X70" s="1" t="str">
        <f ca="1">VLOOKUP(tblDistributionTests[[#This Row],[Rand]],tblNormalTestVl[],2,TRUE)</f>
        <v>William</v>
      </c>
      <c r="Y70" s="11" t="str">
        <f ca="1">INDEX(tblNormalTestIM[],MATCH(tblDistributionTests[[#This Row],[Rand]],tblNormalTestIM[Score],-1),2)</f>
        <v>Frank</v>
      </c>
    </row>
    <row r="71" spans="22:25" x14ac:dyDescent="0.2">
      <c r="V71" s="1">
        <f t="shared" ca="1" si="0"/>
        <v>0.77</v>
      </c>
      <c r="W71" s="1" t="str">
        <f ca="1">VLOOKUP(tblDistributionTests[[#This Row],[Rand]]+MIN(tblFairTest[Score]),tblFairTest[],2,TRUE)</f>
        <v>Todd</v>
      </c>
      <c r="X71" s="1" t="str">
        <f ca="1">VLOOKUP(tblDistributionTests[[#This Row],[Rand]],tblNormalTestVl[],2,TRUE)</f>
        <v>Riley</v>
      </c>
      <c r="Y71" s="11" t="str">
        <f ca="1">INDEX(tblNormalTestIM[],MATCH(tblDistributionTests[[#This Row],[Rand]],tblNormalTestIM[Score],-1),2)</f>
        <v>Luke</v>
      </c>
    </row>
    <row r="72" spans="22:25" x14ac:dyDescent="0.2">
      <c r="V72" s="1">
        <f t="shared" ref="V72:V135" ca="1" si="1">RANDBETWEEN(1,100)/100</f>
        <v>0.45</v>
      </c>
      <c r="W72" s="1" t="e">
        <f ca="1">VLOOKUP(tblDistributionTests[[#This Row],[Rand]]+MIN(tblFairTest[Score]),tblFairTest[],2,TRUE)</f>
        <v>#N/A</v>
      </c>
      <c r="X72" s="1" t="str">
        <f ca="1">VLOOKUP(tblDistributionTests[[#This Row],[Rand]],tblNormalTestVl[],2,TRUE)</f>
        <v>Luke</v>
      </c>
      <c r="Y72" s="11" t="str">
        <f ca="1">INDEX(tblNormalTestIM[],MATCH(tblDistributionTests[[#This Row],[Rand]],tblNormalTestIM[Score],-1),2)</f>
        <v>Riley</v>
      </c>
    </row>
    <row r="73" spans="22:25" x14ac:dyDescent="0.2">
      <c r="V73" s="1">
        <f t="shared" ca="1" si="1"/>
        <v>0.16</v>
      </c>
      <c r="W73" s="1" t="e">
        <f ca="1">VLOOKUP(tblDistributionTests[[#This Row],[Rand]]+MIN(tblFairTest[Score]),tblFairTest[],2,TRUE)</f>
        <v>#N/A</v>
      </c>
      <c r="X73" s="1" t="str">
        <f ca="1">VLOOKUP(tblDistributionTests[[#This Row],[Rand]],tblNormalTestVl[],2,TRUE)</f>
        <v>Frank</v>
      </c>
      <c r="Y73" s="11" t="str">
        <f ca="1">INDEX(tblNormalTestIM[],MATCH(tblDistributionTests[[#This Row],[Rand]],tblNormalTestIM[Score],-1),2)</f>
        <v>William</v>
      </c>
    </row>
    <row r="74" spans="22:25" x14ac:dyDescent="0.2">
      <c r="V74" s="1">
        <f t="shared" ca="1" si="1"/>
        <v>0.83</v>
      </c>
      <c r="W74" s="1" t="str">
        <f ca="1">VLOOKUP(tblDistributionTests[[#This Row],[Rand]]+MIN(tblFairTest[Score]),tblFairTest[],2,TRUE)</f>
        <v>Todd</v>
      </c>
      <c r="X74" s="1" t="str">
        <f ca="1">VLOOKUP(tblDistributionTests[[#This Row],[Rand]],tblNormalTestVl[],2,TRUE)</f>
        <v>William</v>
      </c>
      <c r="Y74" s="11" t="str">
        <f ca="1">INDEX(tblNormalTestIM[],MATCH(tblDistributionTests[[#This Row],[Rand]],tblNormalTestIM[Score],-1),2)</f>
        <v>Frank</v>
      </c>
    </row>
    <row r="75" spans="22:25" x14ac:dyDescent="0.2">
      <c r="V75" s="1">
        <f t="shared" ca="1" si="1"/>
        <v>0.67</v>
      </c>
      <c r="W75" s="1" t="str">
        <f ca="1">VLOOKUP(tblDistributionTests[[#This Row],[Rand]]+MIN(tblFairTest[Score]),tblFairTest[],2,TRUE)</f>
        <v>Todd</v>
      </c>
      <c r="X75" s="1" t="str">
        <f ca="1">VLOOKUP(tblDistributionTests[[#This Row],[Rand]],tblNormalTestVl[],2,TRUE)</f>
        <v>Riley</v>
      </c>
      <c r="Y75" s="11" t="str">
        <f ca="1">INDEX(tblNormalTestIM[],MATCH(tblDistributionTests[[#This Row],[Rand]],tblNormalTestIM[Score],-1),2)</f>
        <v>Luke</v>
      </c>
    </row>
    <row r="76" spans="22:25" x14ac:dyDescent="0.2">
      <c r="V76" s="1">
        <f t="shared" ca="1" si="1"/>
        <v>0.38</v>
      </c>
      <c r="W76" s="1" t="e">
        <f ca="1">VLOOKUP(tblDistributionTests[[#This Row],[Rand]]+MIN(tblFairTest[Score]),tblFairTest[],2,TRUE)</f>
        <v>#N/A</v>
      </c>
      <c r="X76" s="1" t="str">
        <f ca="1">VLOOKUP(tblDistributionTests[[#This Row],[Rand]],tblNormalTestVl[],2,TRUE)</f>
        <v>Luke</v>
      </c>
      <c r="Y76" s="11" t="str">
        <f ca="1">INDEX(tblNormalTestIM[],MATCH(tblDistributionTests[[#This Row],[Rand]],tblNormalTestIM[Score],-1),2)</f>
        <v>Riley</v>
      </c>
    </row>
    <row r="77" spans="22:25" x14ac:dyDescent="0.2">
      <c r="V77" s="1">
        <f t="shared" ca="1" si="1"/>
        <v>0.49</v>
      </c>
      <c r="W77" s="1" t="e">
        <f ca="1">VLOOKUP(tblDistributionTests[[#This Row],[Rand]]+MIN(tblFairTest[Score]),tblFairTest[],2,TRUE)</f>
        <v>#N/A</v>
      </c>
      <c r="X77" s="1" t="str">
        <f ca="1">VLOOKUP(tblDistributionTests[[#This Row],[Rand]],tblNormalTestVl[],2,TRUE)</f>
        <v>Luke</v>
      </c>
      <c r="Y77" s="11" t="str">
        <f ca="1">INDEX(tblNormalTestIM[],MATCH(tblDistributionTests[[#This Row],[Rand]],tblNormalTestIM[Score],-1),2)</f>
        <v>Riley</v>
      </c>
    </row>
    <row r="78" spans="22:25" x14ac:dyDescent="0.2">
      <c r="V78" s="1">
        <f t="shared" ca="1" si="1"/>
        <v>0.46</v>
      </c>
      <c r="W78" s="1" t="e">
        <f ca="1">VLOOKUP(tblDistributionTests[[#This Row],[Rand]]+MIN(tblFairTest[Score]),tblFairTest[],2,TRUE)</f>
        <v>#N/A</v>
      </c>
      <c r="X78" s="1" t="str">
        <f ca="1">VLOOKUP(tblDistributionTests[[#This Row],[Rand]],tblNormalTestVl[],2,TRUE)</f>
        <v>Luke</v>
      </c>
      <c r="Y78" s="11" t="str">
        <f ca="1">INDEX(tblNormalTestIM[],MATCH(tblDistributionTests[[#This Row],[Rand]],tblNormalTestIM[Score],-1),2)</f>
        <v>Riley</v>
      </c>
    </row>
    <row r="79" spans="22:25" x14ac:dyDescent="0.2">
      <c r="V79" s="1">
        <f t="shared" ca="1" si="1"/>
        <v>0.21</v>
      </c>
      <c r="W79" s="1" t="e">
        <f ca="1">VLOOKUP(tblDistributionTests[[#This Row],[Rand]]+MIN(tblFairTest[Score]),tblFairTest[],2,TRUE)</f>
        <v>#N/A</v>
      </c>
      <c r="X79" s="1" t="str">
        <f ca="1">VLOOKUP(tblDistributionTests[[#This Row],[Rand]],tblNormalTestVl[],2,TRUE)</f>
        <v>Frank</v>
      </c>
      <c r="Y79" s="11" t="str">
        <f ca="1">INDEX(tblNormalTestIM[],MATCH(tblDistributionTests[[#This Row],[Rand]],tblNormalTestIM[Score],-1),2)</f>
        <v>William</v>
      </c>
    </row>
    <row r="80" spans="22:25" x14ac:dyDescent="0.2">
      <c r="V80" s="1">
        <f t="shared" ca="1" si="1"/>
        <v>0.46</v>
      </c>
      <c r="W80" s="1" t="e">
        <f ca="1">VLOOKUP(tblDistributionTests[[#This Row],[Rand]]+MIN(tblFairTest[Score]),tblFairTest[],2,TRUE)</f>
        <v>#N/A</v>
      </c>
      <c r="X80" s="1" t="str">
        <f ca="1">VLOOKUP(tblDistributionTests[[#This Row],[Rand]],tblNormalTestVl[],2,TRUE)</f>
        <v>Luke</v>
      </c>
      <c r="Y80" s="11" t="str">
        <f ca="1">INDEX(tblNormalTestIM[],MATCH(tblDistributionTests[[#This Row],[Rand]],tblNormalTestIM[Score],-1),2)</f>
        <v>Riley</v>
      </c>
    </row>
    <row r="81" spans="22:25" x14ac:dyDescent="0.2">
      <c r="V81" s="1">
        <f t="shared" ca="1" si="1"/>
        <v>0.49</v>
      </c>
      <c r="W81" s="1" t="e">
        <f ca="1">VLOOKUP(tblDistributionTests[[#This Row],[Rand]]+MIN(tblFairTest[Score]),tblFairTest[],2,TRUE)</f>
        <v>#N/A</v>
      </c>
      <c r="X81" s="1" t="str">
        <f ca="1">VLOOKUP(tblDistributionTests[[#This Row],[Rand]],tblNormalTestVl[],2,TRUE)</f>
        <v>Luke</v>
      </c>
      <c r="Y81" s="11" t="str">
        <f ca="1">INDEX(tblNormalTestIM[],MATCH(tblDistributionTests[[#This Row],[Rand]],tblNormalTestIM[Score],-1),2)</f>
        <v>Riley</v>
      </c>
    </row>
    <row r="82" spans="22:25" x14ac:dyDescent="0.2">
      <c r="V82" s="1">
        <f t="shared" ca="1" si="1"/>
        <v>0.49</v>
      </c>
      <c r="W82" s="1" t="e">
        <f ca="1">VLOOKUP(tblDistributionTests[[#This Row],[Rand]]+MIN(tblFairTest[Score]),tblFairTest[],2,TRUE)</f>
        <v>#N/A</v>
      </c>
      <c r="X82" s="1" t="str">
        <f ca="1">VLOOKUP(tblDistributionTests[[#This Row],[Rand]],tblNormalTestVl[],2,TRUE)</f>
        <v>Luke</v>
      </c>
      <c r="Y82" s="11" t="str">
        <f ca="1">INDEX(tblNormalTestIM[],MATCH(tblDistributionTests[[#This Row],[Rand]],tblNormalTestIM[Score],-1),2)</f>
        <v>Riley</v>
      </c>
    </row>
    <row r="83" spans="22:25" x14ac:dyDescent="0.2">
      <c r="V83" s="1">
        <f t="shared" ca="1" si="1"/>
        <v>0.32</v>
      </c>
      <c r="W83" s="1" t="e">
        <f ca="1">VLOOKUP(tblDistributionTests[[#This Row],[Rand]]+MIN(tblFairTest[Score]),tblFairTest[],2,TRUE)</f>
        <v>#N/A</v>
      </c>
      <c r="X83" s="1" t="str">
        <f ca="1">VLOOKUP(tblDistributionTests[[#This Row],[Rand]],tblNormalTestVl[],2,TRUE)</f>
        <v>Luke</v>
      </c>
      <c r="Y83" s="11" t="str">
        <f ca="1">INDEX(tblNormalTestIM[],MATCH(tblDistributionTests[[#This Row],[Rand]],tblNormalTestIM[Score],-1),2)</f>
        <v>Riley</v>
      </c>
    </row>
    <row r="84" spans="22:25" x14ac:dyDescent="0.2">
      <c r="V84" s="1">
        <f t="shared" ca="1" si="1"/>
        <v>0.69</v>
      </c>
      <c r="W84" s="1" t="str">
        <f ca="1">VLOOKUP(tblDistributionTests[[#This Row],[Rand]]+MIN(tblFairTest[Score]),tblFairTest[],2,TRUE)</f>
        <v>Todd</v>
      </c>
      <c r="X84" s="1" t="str">
        <f ca="1">VLOOKUP(tblDistributionTests[[#This Row],[Rand]],tblNormalTestVl[],2,TRUE)</f>
        <v>Riley</v>
      </c>
      <c r="Y84" s="11" t="str">
        <f ca="1">INDEX(tblNormalTestIM[],MATCH(tblDistributionTests[[#This Row],[Rand]],tblNormalTestIM[Score],-1),2)</f>
        <v>Luke</v>
      </c>
    </row>
    <row r="85" spans="22:25" x14ac:dyDescent="0.2">
      <c r="V85" s="1">
        <f t="shared" ca="1" si="1"/>
        <v>0.32</v>
      </c>
      <c r="W85" s="1" t="e">
        <f ca="1">VLOOKUP(tblDistributionTests[[#This Row],[Rand]]+MIN(tblFairTest[Score]),tblFairTest[],2,TRUE)</f>
        <v>#N/A</v>
      </c>
      <c r="X85" s="1" t="str">
        <f ca="1">VLOOKUP(tblDistributionTests[[#This Row],[Rand]],tblNormalTestVl[],2,TRUE)</f>
        <v>Luke</v>
      </c>
      <c r="Y85" s="11" t="str">
        <f ca="1">INDEX(tblNormalTestIM[],MATCH(tblDistributionTests[[#This Row],[Rand]],tblNormalTestIM[Score],-1),2)</f>
        <v>Riley</v>
      </c>
    </row>
    <row r="86" spans="22:25" x14ac:dyDescent="0.2">
      <c r="V86" s="1">
        <f t="shared" ca="1" si="1"/>
        <v>0.2</v>
      </c>
      <c r="W86" s="1" t="e">
        <f ca="1">VLOOKUP(tblDistributionTests[[#This Row],[Rand]]+MIN(tblFairTest[Score]),tblFairTest[],2,TRUE)</f>
        <v>#N/A</v>
      </c>
      <c r="X86" s="1" t="str">
        <f ca="1">VLOOKUP(tblDistributionTests[[#This Row],[Rand]],tblNormalTestVl[],2,TRUE)</f>
        <v>Frank</v>
      </c>
      <c r="Y86" s="11" t="str">
        <f ca="1">INDEX(tblNormalTestIM[],MATCH(tblDistributionTests[[#This Row],[Rand]],tblNormalTestIM[Score],-1),2)</f>
        <v>William</v>
      </c>
    </row>
    <row r="87" spans="22:25" x14ac:dyDescent="0.2">
      <c r="V87" s="1">
        <f t="shared" ca="1" si="1"/>
        <v>0.37</v>
      </c>
      <c r="W87" s="1" t="e">
        <f ca="1">VLOOKUP(tblDistributionTests[[#This Row],[Rand]]+MIN(tblFairTest[Score]),tblFairTest[],2,TRUE)</f>
        <v>#N/A</v>
      </c>
      <c r="X87" s="1" t="str">
        <f ca="1">VLOOKUP(tblDistributionTests[[#This Row],[Rand]],tblNormalTestVl[],2,TRUE)</f>
        <v>Luke</v>
      </c>
      <c r="Y87" s="11" t="str">
        <f ca="1">INDEX(tblNormalTestIM[],MATCH(tblDistributionTests[[#This Row],[Rand]],tblNormalTestIM[Score],-1),2)</f>
        <v>Riley</v>
      </c>
    </row>
    <row r="88" spans="22:25" x14ac:dyDescent="0.2">
      <c r="V88" s="1">
        <f t="shared" ca="1" si="1"/>
        <v>0.62</v>
      </c>
      <c r="W88" s="1" t="str">
        <f ca="1">VLOOKUP(tblDistributionTests[[#This Row],[Rand]]+MIN(tblFairTest[Score]),tblFairTest[],2,TRUE)</f>
        <v>Todd</v>
      </c>
      <c r="X88" s="1" t="str">
        <f ca="1">VLOOKUP(tblDistributionTests[[#This Row],[Rand]],tblNormalTestVl[],2,TRUE)</f>
        <v>Riley</v>
      </c>
      <c r="Y88" s="11" t="str">
        <f ca="1">INDEX(tblNormalTestIM[],MATCH(tblDistributionTests[[#This Row],[Rand]],tblNormalTestIM[Score],-1),2)</f>
        <v>Luke</v>
      </c>
    </row>
    <row r="89" spans="22:25" x14ac:dyDescent="0.2">
      <c r="V89" s="1">
        <f t="shared" ca="1" si="1"/>
        <v>0.23</v>
      </c>
      <c r="W89" s="1" t="e">
        <f ca="1">VLOOKUP(tblDistributionTests[[#This Row],[Rand]]+MIN(tblFairTest[Score]),tblFairTest[],2,TRUE)</f>
        <v>#N/A</v>
      </c>
      <c r="X89" s="1" t="str">
        <f ca="1">VLOOKUP(tblDistributionTests[[#This Row],[Rand]],tblNormalTestVl[],2,TRUE)</f>
        <v>Luke</v>
      </c>
      <c r="Y89" s="11" t="str">
        <f ca="1">INDEX(tblNormalTestIM[],MATCH(tblDistributionTests[[#This Row],[Rand]],tblNormalTestIM[Score],-1),2)</f>
        <v>Riley</v>
      </c>
    </row>
    <row r="90" spans="22:25" x14ac:dyDescent="0.2">
      <c r="V90" s="1">
        <f t="shared" ca="1" si="1"/>
        <v>0.28000000000000003</v>
      </c>
      <c r="W90" s="1" t="e">
        <f ca="1">VLOOKUP(tblDistributionTests[[#This Row],[Rand]]+MIN(tblFairTest[Score]),tblFairTest[],2,TRUE)</f>
        <v>#N/A</v>
      </c>
      <c r="X90" s="1" t="str">
        <f ca="1">VLOOKUP(tblDistributionTests[[#This Row],[Rand]],tblNormalTestVl[],2,TRUE)</f>
        <v>Luke</v>
      </c>
      <c r="Y90" s="11" t="str">
        <f ca="1">INDEX(tblNormalTestIM[],MATCH(tblDistributionTests[[#This Row],[Rand]],tblNormalTestIM[Score],-1),2)</f>
        <v>Riley</v>
      </c>
    </row>
    <row r="91" spans="22:25" x14ac:dyDescent="0.2">
      <c r="V91" s="1">
        <f t="shared" ca="1" si="1"/>
        <v>0.92</v>
      </c>
      <c r="W91" s="1" t="str">
        <f ca="1">VLOOKUP(tblDistributionTests[[#This Row],[Rand]]+MIN(tblFairTest[Score]),tblFairTest[],2,TRUE)</f>
        <v>Todd</v>
      </c>
      <c r="X91" s="1" t="str">
        <f ca="1">VLOOKUP(tblDistributionTests[[#This Row],[Rand]],tblNormalTestVl[],2,TRUE)</f>
        <v>William</v>
      </c>
      <c r="Y91" s="11" t="str">
        <f ca="1">INDEX(tblNormalTestIM[],MATCH(tblDistributionTests[[#This Row],[Rand]],tblNormalTestIM[Score],-1),2)</f>
        <v>Frank</v>
      </c>
    </row>
    <row r="92" spans="22:25" x14ac:dyDescent="0.2">
      <c r="V92" s="1">
        <f t="shared" ca="1" si="1"/>
        <v>0.15</v>
      </c>
      <c r="W92" s="1" t="e">
        <f ca="1">VLOOKUP(tblDistributionTests[[#This Row],[Rand]]+MIN(tblFairTest[Score]),tblFairTest[],2,TRUE)</f>
        <v>#N/A</v>
      </c>
      <c r="X92" s="1" t="str">
        <f ca="1">VLOOKUP(tblDistributionTests[[#This Row],[Rand]],tblNormalTestVl[],2,TRUE)</f>
        <v>Frank</v>
      </c>
      <c r="Y92" s="11" t="str">
        <f ca="1">INDEX(tblNormalTestIM[],MATCH(tblDistributionTests[[#This Row],[Rand]],tblNormalTestIM[Score],-1),2)</f>
        <v>William</v>
      </c>
    </row>
    <row r="93" spans="22:25" x14ac:dyDescent="0.2">
      <c r="V93" s="1">
        <f t="shared" ca="1" si="1"/>
        <v>0.62</v>
      </c>
      <c r="W93" s="1" t="str">
        <f ca="1">VLOOKUP(tblDistributionTests[[#This Row],[Rand]]+MIN(tblFairTest[Score]),tblFairTest[],2,TRUE)</f>
        <v>Todd</v>
      </c>
      <c r="X93" s="1" t="str">
        <f ca="1">VLOOKUP(tblDistributionTests[[#This Row],[Rand]],tblNormalTestVl[],2,TRUE)</f>
        <v>Riley</v>
      </c>
      <c r="Y93" s="11" t="str">
        <f ca="1">INDEX(tblNormalTestIM[],MATCH(tblDistributionTests[[#This Row],[Rand]],tblNormalTestIM[Score],-1),2)</f>
        <v>Luke</v>
      </c>
    </row>
    <row r="94" spans="22:25" x14ac:dyDescent="0.2">
      <c r="V94" s="1">
        <f t="shared" ca="1" si="1"/>
        <v>0.39</v>
      </c>
      <c r="W94" s="1" t="e">
        <f ca="1">VLOOKUP(tblDistributionTests[[#This Row],[Rand]]+MIN(tblFairTest[Score]),tblFairTest[],2,TRUE)</f>
        <v>#N/A</v>
      </c>
      <c r="X94" s="1" t="str">
        <f ca="1">VLOOKUP(tblDistributionTests[[#This Row],[Rand]],tblNormalTestVl[],2,TRUE)</f>
        <v>Luke</v>
      </c>
      <c r="Y94" s="11" t="str">
        <f ca="1">INDEX(tblNormalTestIM[],MATCH(tblDistributionTests[[#This Row],[Rand]],tblNormalTestIM[Score],-1),2)</f>
        <v>Riley</v>
      </c>
    </row>
    <row r="95" spans="22:25" x14ac:dyDescent="0.2">
      <c r="V95" s="1">
        <f t="shared" ca="1" si="1"/>
        <v>0.2</v>
      </c>
      <c r="W95" s="1" t="e">
        <f ca="1">VLOOKUP(tblDistributionTests[[#This Row],[Rand]]+MIN(tblFairTest[Score]),tblFairTest[],2,TRUE)</f>
        <v>#N/A</v>
      </c>
      <c r="X95" s="1" t="str">
        <f ca="1">VLOOKUP(tblDistributionTests[[#This Row],[Rand]],tblNormalTestVl[],2,TRUE)</f>
        <v>Frank</v>
      </c>
      <c r="Y95" s="11" t="str">
        <f ca="1">INDEX(tblNormalTestIM[],MATCH(tblDistributionTests[[#This Row],[Rand]],tblNormalTestIM[Score],-1),2)</f>
        <v>William</v>
      </c>
    </row>
    <row r="96" spans="22:25" x14ac:dyDescent="0.2">
      <c r="V96" s="1">
        <f t="shared" ca="1" si="1"/>
        <v>0.49</v>
      </c>
      <c r="W96" s="1" t="e">
        <f ca="1">VLOOKUP(tblDistributionTests[[#This Row],[Rand]]+MIN(tblFairTest[Score]),tblFairTest[],2,TRUE)</f>
        <v>#N/A</v>
      </c>
      <c r="X96" s="1" t="str">
        <f ca="1">VLOOKUP(tblDistributionTests[[#This Row],[Rand]],tblNormalTestVl[],2,TRUE)</f>
        <v>Luke</v>
      </c>
      <c r="Y96" s="11" t="str">
        <f ca="1">INDEX(tblNormalTestIM[],MATCH(tblDistributionTests[[#This Row],[Rand]],tblNormalTestIM[Score],-1),2)</f>
        <v>Riley</v>
      </c>
    </row>
    <row r="97" spans="22:25" x14ac:dyDescent="0.2">
      <c r="V97" s="1">
        <f t="shared" ca="1" si="1"/>
        <v>0.85</v>
      </c>
      <c r="W97" s="1" t="str">
        <f ca="1">VLOOKUP(tblDistributionTests[[#This Row],[Rand]]+MIN(tblFairTest[Score]),tblFairTest[],2,TRUE)</f>
        <v>Todd</v>
      </c>
      <c r="X97" s="1" t="str">
        <f ca="1">VLOOKUP(tblDistributionTests[[#This Row],[Rand]],tblNormalTestVl[],2,TRUE)</f>
        <v>William</v>
      </c>
      <c r="Y97" s="11" t="str">
        <f ca="1">INDEX(tblNormalTestIM[],MATCH(tblDistributionTests[[#This Row],[Rand]],tblNormalTestIM[Score],-1),2)</f>
        <v>Frank</v>
      </c>
    </row>
    <row r="98" spans="22:25" x14ac:dyDescent="0.2">
      <c r="V98" s="1">
        <f t="shared" ca="1" si="1"/>
        <v>0.91</v>
      </c>
      <c r="W98" s="1" t="str">
        <f ca="1">VLOOKUP(tblDistributionTests[[#This Row],[Rand]]+MIN(tblFairTest[Score]),tblFairTest[],2,TRUE)</f>
        <v>Todd</v>
      </c>
      <c r="X98" s="1" t="str">
        <f ca="1">VLOOKUP(tblDistributionTests[[#This Row],[Rand]],tblNormalTestVl[],2,TRUE)</f>
        <v>William</v>
      </c>
      <c r="Y98" s="11" t="str">
        <f ca="1">INDEX(tblNormalTestIM[],MATCH(tblDistributionTests[[#This Row],[Rand]],tblNormalTestIM[Score],-1),2)</f>
        <v>Frank</v>
      </c>
    </row>
    <row r="99" spans="22:25" x14ac:dyDescent="0.2">
      <c r="V99" s="1">
        <f t="shared" ca="1" si="1"/>
        <v>0.49</v>
      </c>
      <c r="W99" s="1" t="e">
        <f ca="1">VLOOKUP(tblDistributionTests[[#This Row],[Rand]]+MIN(tblFairTest[Score]),tblFairTest[],2,TRUE)</f>
        <v>#N/A</v>
      </c>
      <c r="X99" s="1" t="str">
        <f ca="1">VLOOKUP(tblDistributionTests[[#This Row],[Rand]],tblNormalTestVl[],2,TRUE)</f>
        <v>Luke</v>
      </c>
      <c r="Y99" s="11" t="str">
        <f ca="1">INDEX(tblNormalTestIM[],MATCH(tblDistributionTests[[#This Row],[Rand]],tblNormalTestIM[Score],-1),2)</f>
        <v>Riley</v>
      </c>
    </row>
    <row r="100" spans="22:25" x14ac:dyDescent="0.2">
      <c r="V100" s="1">
        <f t="shared" ca="1" si="1"/>
        <v>0.76</v>
      </c>
      <c r="W100" s="1" t="str">
        <f ca="1">VLOOKUP(tblDistributionTests[[#This Row],[Rand]]+MIN(tblFairTest[Score]),tblFairTest[],2,TRUE)</f>
        <v>Todd</v>
      </c>
      <c r="X100" s="1" t="str">
        <f ca="1">VLOOKUP(tblDistributionTests[[#This Row],[Rand]],tblNormalTestVl[],2,TRUE)</f>
        <v>Riley</v>
      </c>
      <c r="Y100" s="11" t="str">
        <f ca="1">INDEX(tblNormalTestIM[],MATCH(tblDistributionTests[[#This Row],[Rand]],tblNormalTestIM[Score],-1),2)</f>
        <v>Luke</v>
      </c>
    </row>
    <row r="101" spans="22:25" x14ac:dyDescent="0.2">
      <c r="V101" s="1">
        <f t="shared" ca="1" si="1"/>
        <v>0.46</v>
      </c>
      <c r="W101" s="1" t="e">
        <f ca="1">VLOOKUP(tblDistributionTests[[#This Row],[Rand]]+MIN(tblFairTest[Score]),tblFairTest[],2,TRUE)</f>
        <v>#N/A</v>
      </c>
      <c r="X101" s="1" t="str">
        <f ca="1">VLOOKUP(tblDistributionTests[[#This Row],[Rand]],tblNormalTestVl[],2,TRUE)</f>
        <v>Luke</v>
      </c>
      <c r="Y101" s="11" t="str">
        <f ca="1">INDEX(tblNormalTestIM[],MATCH(tblDistributionTests[[#This Row],[Rand]],tblNormalTestIM[Score],-1),2)</f>
        <v>Riley</v>
      </c>
    </row>
    <row r="102" spans="22:25" x14ac:dyDescent="0.2">
      <c r="V102" s="1">
        <f t="shared" ca="1" si="1"/>
        <v>0.84</v>
      </c>
      <c r="W102" s="1" t="str">
        <f ca="1">VLOOKUP(tblDistributionTests[[#This Row],[Rand]]+MIN(tblFairTest[Score]),tblFairTest[],2,TRUE)</f>
        <v>Todd</v>
      </c>
      <c r="X102" s="1" t="str">
        <f ca="1">VLOOKUP(tblDistributionTests[[#This Row],[Rand]],tblNormalTestVl[],2,TRUE)</f>
        <v>William</v>
      </c>
      <c r="Y102" s="11" t="str">
        <f ca="1">INDEX(tblNormalTestIM[],MATCH(tblDistributionTests[[#This Row],[Rand]],tblNormalTestIM[Score],-1),2)</f>
        <v>Frank</v>
      </c>
    </row>
    <row r="103" spans="22:25" x14ac:dyDescent="0.2">
      <c r="V103" s="1">
        <f t="shared" ca="1" si="1"/>
        <v>0.94</v>
      </c>
      <c r="W103" s="1" t="str">
        <f ca="1">VLOOKUP(tblDistributionTests[[#This Row],[Rand]]+MIN(tblFairTest[Score]),tblFairTest[],2,TRUE)</f>
        <v>Todd</v>
      </c>
      <c r="X103" s="1" t="str">
        <f ca="1">VLOOKUP(tblDistributionTests[[#This Row],[Rand]],tblNormalTestVl[],2,TRUE)</f>
        <v>Eric</v>
      </c>
      <c r="Y103" s="11" t="str">
        <f ca="1">INDEX(tblNormalTestIM[],MATCH(tblDistributionTests[[#This Row],[Rand]],tblNormalTestIM[Score],-1),2)</f>
        <v>Bill</v>
      </c>
    </row>
    <row r="104" spans="22:25" x14ac:dyDescent="0.2">
      <c r="V104" s="1">
        <f t="shared" ca="1" si="1"/>
        <v>0.64</v>
      </c>
      <c r="W104" s="1" t="str">
        <f ca="1">VLOOKUP(tblDistributionTests[[#This Row],[Rand]]+MIN(tblFairTest[Score]),tblFairTest[],2,TRUE)</f>
        <v>Todd</v>
      </c>
      <c r="X104" s="1" t="str">
        <f ca="1">VLOOKUP(tblDistributionTests[[#This Row],[Rand]],tblNormalTestVl[],2,TRUE)</f>
        <v>Riley</v>
      </c>
      <c r="Y104" s="11" t="str">
        <f ca="1">INDEX(tblNormalTestIM[],MATCH(tblDistributionTests[[#This Row],[Rand]],tblNormalTestIM[Score],-1),2)</f>
        <v>Luke</v>
      </c>
    </row>
    <row r="105" spans="22:25" x14ac:dyDescent="0.2">
      <c r="V105" s="1">
        <f t="shared" ca="1" si="1"/>
        <v>0.85</v>
      </c>
      <c r="W105" s="1" t="str">
        <f ca="1">VLOOKUP(tblDistributionTests[[#This Row],[Rand]]+MIN(tblFairTest[Score]),tblFairTest[],2,TRUE)</f>
        <v>Todd</v>
      </c>
      <c r="X105" s="1" t="str">
        <f ca="1">VLOOKUP(tblDistributionTests[[#This Row],[Rand]],tblNormalTestVl[],2,TRUE)</f>
        <v>William</v>
      </c>
      <c r="Y105" s="11" t="str">
        <f ca="1">INDEX(tblNormalTestIM[],MATCH(tblDistributionTests[[#This Row],[Rand]],tblNormalTestIM[Score],-1),2)</f>
        <v>Frank</v>
      </c>
    </row>
    <row r="106" spans="22:25" x14ac:dyDescent="0.2">
      <c r="V106" s="1">
        <f t="shared" ca="1" si="1"/>
        <v>0.54</v>
      </c>
      <c r="W106" s="1" t="str">
        <f ca="1">VLOOKUP(tblDistributionTests[[#This Row],[Rand]]+MIN(tblFairTest[Score]),tblFairTest[],2,TRUE)</f>
        <v>Todd</v>
      </c>
      <c r="X106" s="1" t="str">
        <f ca="1">VLOOKUP(tblDistributionTests[[#This Row],[Rand]],tblNormalTestVl[],2,TRUE)</f>
        <v>Riley</v>
      </c>
      <c r="Y106" s="11" t="str">
        <f ca="1">INDEX(tblNormalTestIM[],MATCH(tblDistributionTests[[#This Row],[Rand]],tblNormalTestIM[Score],-1),2)</f>
        <v>Luke</v>
      </c>
    </row>
    <row r="107" spans="22:25" x14ac:dyDescent="0.2">
      <c r="V107" s="1">
        <f t="shared" ca="1" si="1"/>
        <v>0.83</v>
      </c>
      <c r="W107" s="1" t="str">
        <f ca="1">VLOOKUP(tblDistributionTests[[#This Row],[Rand]]+MIN(tblFairTest[Score]),tblFairTest[],2,TRUE)</f>
        <v>Todd</v>
      </c>
      <c r="X107" s="1" t="str">
        <f ca="1">VLOOKUP(tblDistributionTests[[#This Row],[Rand]],tblNormalTestVl[],2,TRUE)</f>
        <v>William</v>
      </c>
      <c r="Y107" s="11" t="str">
        <f ca="1">INDEX(tblNormalTestIM[],MATCH(tblDistributionTests[[#This Row],[Rand]],tblNormalTestIM[Score],-1),2)</f>
        <v>Frank</v>
      </c>
    </row>
    <row r="108" spans="22:25" x14ac:dyDescent="0.2">
      <c r="V108" s="1">
        <f t="shared" ca="1" si="1"/>
        <v>0.19</v>
      </c>
      <c r="W108" s="1" t="e">
        <f ca="1">VLOOKUP(tblDistributionTests[[#This Row],[Rand]]+MIN(tblFairTest[Score]),tblFairTest[],2,TRUE)</f>
        <v>#N/A</v>
      </c>
      <c r="X108" s="1" t="str">
        <f ca="1">VLOOKUP(tblDistributionTests[[#This Row],[Rand]],tblNormalTestVl[],2,TRUE)</f>
        <v>Frank</v>
      </c>
      <c r="Y108" s="11" t="str">
        <f ca="1">INDEX(tblNormalTestIM[],MATCH(tblDistributionTests[[#This Row],[Rand]],tblNormalTestIM[Score],-1),2)</f>
        <v>William</v>
      </c>
    </row>
    <row r="109" spans="22:25" x14ac:dyDescent="0.2">
      <c r="V109" s="1">
        <f t="shared" ca="1" si="1"/>
        <v>0.78</v>
      </c>
      <c r="W109" s="1" t="str">
        <f ca="1">VLOOKUP(tblDistributionTests[[#This Row],[Rand]]+MIN(tblFairTest[Score]),tblFairTest[],2,TRUE)</f>
        <v>Todd</v>
      </c>
      <c r="X109" s="1" t="str">
        <f ca="1">VLOOKUP(tblDistributionTests[[#This Row],[Rand]],tblNormalTestVl[],2,TRUE)</f>
        <v>William</v>
      </c>
      <c r="Y109" s="11" t="str">
        <f ca="1">INDEX(tblNormalTestIM[],MATCH(tblDistributionTests[[#This Row],[Rand]],tblNormalTestIM[Score],-1),2)</f>
        <v>Frank</v>
      </c>
    </row>
    <row r="110" spans="22:25" x14ac:dyDescent="0.2">
      <c r="V110" s="1">
        <f t="shared" ca="1" si="1"/>
        <v>0.15</v>
      </c>
      <c r="W110" s="1" t="e">
        <f ca="1">VLOOKUP(tblDistributionTests[[#This Row],[Rand]]+MIN(tblFairTest[Score]),tblFairTest[],2,TRUE)</f>
        <v>#N/A</v>
      </c>
      <c r="X110" s="1" t="str">
        <f ca="1">VLOOKUP(tblDistributionTests[[#This Row],[Rand]],tblNormalTestVl[],2,TRUE)</f>
        <v>Frank</v>
      </c>
      <c r="Y110" s="11" t="str">
        <f ca="1">INDEX(tblNormalTestIM[],MATCH(tblDistributionTests[[#This Row],[Rand]],tblNormalTestIM[Score],-1),2)</f>
        <v>William</v>
      </c>
    </row>
    <row r="111" spans="22:25" x14ac:dyDescent="0.2">
      <c r="V111" s="1">
        <f t="shared" ca="1" si="1"/>
        <v>0.16</v>
      </c>
      <c r="W111" s="1" t="e">
        <f ca="1">VLOOKUP(tblDistributionTests[[#This Row],[Rand]]+MIN(tblFairTest[Score]),tblFairTest[],2,TRUE)</f>
        <v>#N/A</v>
      </c>
      <c r="X111" s="1" t="str">
        <f ca="1">VLOOKUP(tblDistributionTests[[#This Row],[Rand]],tblNormalTestVl[],2,TRUE)</f>
        <v>Frank</v>
      </c>
      <c r="Y111" s="11" t="str">
        <f ca="1">INDEX(tblNormalTestIM[],MATCH(tblDistributionTests[[#This Row],[Rand]],tblNormalTestIM[Score],-1),2)</f>
        <v>William</v>
      </c>
    </row>
    <row r="112" spans="22:25" x14ac:dyDescent="0.2">
      <c r="V112" s="1">
        <f t="shared" ca="1" si="1"/>
        <v>0.27</v>
      </c>
      <c r="W112" s="1" t="e">
        <f ca="1">VLOOKUP(tblDistributionTests[[#This Row],[Rand]]+MIN(tblFairTest[Score]),tblFairTest[],2,TRUE)</f>
        <v>#N/A</v>
      </c>
      <c r="X112" s="1" t="str">
        <f ca="1">VLOOKUP(tblDistributionTests[[#This Row],[Rand]],tblNormalTestVl[],2,TRUE)</f>
        <v>Luke</v>
      </c>
      <c r="Y112" s="11" t="str">
        <f ca="1">INDEX(tblNormalTestIM[],MATCH(tblDistributionTests[[#This Row],[Rand]],tblNormalTestIM[Score],-1),2)</f>
        <v>Riley</v>
      </c>
    </row>
    <row r="113" spans="22:25" x14ac:dyDescent="0.2">
      <c r="V113" s="1">
        <f t="shared" ca="1" si="1"/>
        <v>0.12</v>
      </c>
      <c r="W113" s="1" t="e">
        <f ca="1">VLOOKUP(tblDistributionTests[[#This Row],[Rand]]+MIN(tblFairTest[Score]),tblFairTest[],2,TRUE)</f>
        <v>#N/A</v>
      </c>
      <c r="X113" s="1" t="str">
        <f ca="1">VLOOKUP(tblDistributionTests[[#This Row],[Rand]],tblNormalTestVl[],2,TRUE)</f>
        <v>Frank</v>
      </c>
      <c r="Y113" s="11" t="str">
        <f ca="1">INDEX(tblNormalTestIM[],MATCH(tblDistributionTests[[#This Row],[Rand]],tblNormalTestIM[Score],-1),2)</f>
        <v>William</v>
      </c>
    </row>
    <row r="114" spans="22:25" x14ac:dyDescent="0.2">
      <c r="V114" s="1">
        <f t="shared" ca="1" si="1"/>
        <v>0.1</v>
      </c>
      <c r="W114" s="1" t="e">
        <f ca="1">VLOOKUP(tblDistributionTests[[#This Row],[Rand]]+MIN(tblFairTest[Score]),tblFairTest[],2,TRUE)</f>
        <v>#N/A</v>
      </c>
      <c r="X114" s="1" t="str">
        <f ca="1">VLOOKUP(tblDistributionTests[[#This Row],[Rand]],tblNormalTestVl[],2,TRUE)</f>
        <v>Frank</v>
      </c>
      <c r="Y114" s="11" t="str">
        <f ca="1">INDEX(tblNormalTestIM[],MATCH(tblDistributionTests[[#This Row],[Rand]],tblNormalTestIM[Score],-1),2)</f>
        <v>William</v>
      </c>
    </row>
    <row r="115" spans="22:25" x14ac:dyDescent="0.2">
      <c r="V115" s="1">
        <f t="shared" ca="1" si="1"/>
        <v>0.45</v>
      </c>
      <c r="W115" s="1" t="e">
        <f ca="1">VLOOKUP(tblDistributionTests[[#This Row],[Rand]]+MIN(tblFairTest[Score]),tblFairTest[],2,TRUE)</f>
        <v>#N/A</v>
      </c>
      <c r="X115" s="1" t="str">
        <f ca="1">VLOOKUP(tblDistributionTests[[#This Row],[Rand]],tblNormalTestVl[],2,TRUE)</f>
        <v>Luke</v>
      </c>
      <c r="Y115" s="11" t="str">
        <f ca="1">INDEX(tblNormalTestIM[],MATCH(tblDistributionTests[[#This Row],[Rand]],tblNormalTestIM[Score],-1),2)</f>
        <v>Riley</v>
      </c>
    </row>
    <row r="116" spans="22:25" x14ac:dyDescent="0.2">
      <c r="V116" s="1">
        <f t="shared" ca="1" si="1"/>
        <v>0.88</v>
      </c>
      <c r="W116" s="1" t="str">
        <f ca="1">VLOOKUP(tblDistributionTests[[#This Row],[Rand]]+MIN(tblFairTest[Score]),tblFairTest[],2,TRUE)</f>
        <v>Todd</v>
      </c>
      <c r="X116" s="1" t="str">
        <f ca="1">VLOOKUP(tblDistributionTests[[#This Row],[Rand]],tblNormalTestVl[],2,TRUE)</f>
        <v>William</v>
      </c>
      <c r="Y116" s="11" t="str">
        <f ca="1">INDEX(tblNormalTestIM[],MATCH(tblDistributionTests[[#This Row],[Rand]],tblNormalTestIM[Score],-1),2)</f>
        <v>Frank</v>
      </c>
    </row>
    <row r="117" spans="22:25" x14ac:dyDescent="0.2">
      <c r="V117" s="1">
        <f t="shared" ca="1" si="1"/>
        <v>0.76</v>
      </c>
      <c r="W117" s="1" t="str">
        <f ca="1">VLOOKUP(tblDistributionTests[[#This Row],[Rand]]+MIN(tblFairTest[Score]),tblFairTest[],2,TRUE)</f>
        <v>Todd</v>
      </c>
      <c r="X117" s="1" t="str">
        <f ca="1">VLOOKUP(tblDistributionTests[[#This Row],[Rand]],tblNormalTestVl[],2,TRUE)</f>
        <v>Riley</v>
      </c>
      <c r="Y117" s="11" t="str">
        <f ca="1">INDEX(tblNormalTestIM[],MATCH(tblDistributionTests[[#This Row],[Rand]],tblNormalTestIM[Score],-1),2)</f>
        <v>Luke</v>
      </c>
    </row>
    <row r="118" spans="22:25" x14ac:dyDescent="0.2">
      <c r="V118" s="1">
        <f t="shared" ca="1" si="1"/>
        <v>0.72</v>
      </c>
      <c r="W118" s="1" t="str">
        <f ca="1">VLOOKUP(tblDistributionTests[[#This Row],[Rand]]+MIN(tblFairTest[Score]),tblFairTest[],2,TRUE)</f>
        <v>Todd</v>
      </c>
      <c r="X118" s="1" t="str">
        <f ca="1">VLOOKUP(tblDistributionTests[[#This Row],[Rand]],tblNormalTestVl[],2,TRUE)</f>
        <v>Riley</v>
      </c>
      <c r="Y118" s="11" t="str">
        <f ca="1">INDEX(tblNormalTestIM[],MATCH(tblDistributionTests[[#This Row],[Rand]],tblNormalTestIM[Score],-1),2)</f>
        <v>Luke</v>
      </c>
    </row>
    <row r="119" spans="22:25" x14ac:dyDescent="0.2">
      <c r="V119" s="1">
        <f t="shared" ca="1" si="1"/>
        <v>0.08</v>
      </c>
      <c r="W119" s="1" t="e">
        <f ca="1">VLOOKUP(tblDistributionTests[[#This Row],[Rand]]+MIN(tblFairTest[Score]),tblFairTest[],2,TRUE)</f>
        <v>#N/A</v>
      </c>
      <c r="X119" s="1" t="str">
        <f ca="1">VLOOKUP(tblDistributionTests[[#This Row],[Rand]],tblNormalTestVl[],2,TRUE)</f>
        <v>Frank</v>
      </c>
      <c r="Y119" s="11" t="str">
        <f ca="1">INDEX(tblNormalTestIM[],MATCH(tblDistributionTests[[#This Row],[Rand]],tblNormalTestIM[Score],-1),2)</f>
        <v>William</v>
      </c>
    </row>
    <row r="120" spans="22:25" x14ac:dyDescent="0.2">
      <c r="V120" s="1">
        <f t="shared" ca="1" si="1"/>
        <v>0.01</v>
      </c>
      <c r="W120" s="1" t="e">
        <f ca="1">VLOOKUP(tblDistributionTests[[#This Row],[Rand]]+MIN(tblFairTest[Score]),tblFairTest[],2,TRUE)</f>
        <v>#N/A</v>
      </c>
      <c r="X120" s="1" t="e">
        <f ca="1">VLOOKUP(tblDistributionTests[[#This Row],[Rand]],tblNormalTestVl[],2,TRUE)</f>
        <v>#N/A</v>
      </c>
      <c r="Y120" s="11" t="str">
        <f ca="1">INDEX(tblNormalTestIM[],MATCH(tblDistributionTests[[#This Row],[Rand]],tblNormalTestIM[Score],-1),2)</f>
        <v>Chuck</v>
      </c>
    </row>
    <row r="121" spans="22:25" x14ac:dyDescent="0.2">
      <c r="V121" s="1">
        <f t="shared" ca="1" si="1"/>
        <v>0.62</v>
      </c>
      <c r="W121" s="1" t="str">
        <f ca="1">VLOOKUP(tblDistributionTests[[#This Row],[Rand]]+MIN(tblFairTest[Score]),tblFairTest[],2,TRUE)</f>
        <v>Todd</v>
      </c>
      <c r="X121" s="1" t="str">
        <f ca="1">VLOOKUP(tblDistributionTests[[#This Row],[Rand]],tblNormalTestVl[],2,TRUE)</f>
        <v>Riley</v>
      </c>
      <c r="Y121" s="11" t="str">
        <f ca="1">INDEX(tblNormalTestIM[],MATCH(tblDistributionTests[[#This Row],[Rand]],tblNormalTestIM[Score],-1),2)</f>
        <v>Luke</v>
      </c>
    </row>
    <row r="122" spans="22:25" x14ac:dyDescent="0.2">
      <c r="V122" s="1">
        <f t="shared" ca="1" si="1"/>
        <v>0.37</v>
      </c>
      <c r="W122" s="1" t="e">
        <f ca="1">VLOOKUP(tblDistributionTests[[#This Row],[Rand]]+MIN(tblFairTest[Score]),tblFairTest[],2,TRUE)</f>
        <v>#N/A</v>
      </c>
      <c r="X122" s="1" t="str">
        <f ca="1">VLOOKUP(tblDistributionTests[[#This Row],[Rand]],tblNormalTestVl[],2,TRUE)</f>
        <v>Luke</v>
      </c>
      <c r="Y122" s="11" t="str">
        <f ca="1">INDEX(tblNormalTestIM[],MATCH(tblDistributionTests[[#This Row],[Rand]],tblNormalTestIM[Score],-1),2)</f>
        <v>Riley</v>
      </c>
    </row>
    <row r="123" spans="22:25" x14ac:dyDescent="0.2">
      <c r="V123" s="1">
        <f t="shared" ca="1" si="1"/>
        <v>0.97</v>
      </c>
      <c r="W123" s="1" t="str">
        <f ca="1">VLOOKUP(tblDistributionTests[[#This Row],[Rand]]+MIN(tblFairTest[Score]),tblFairTest[],2,TRUE)</f>
        <v>Todd</v>
      </c>
      <c r="X123" s="1" t="str">
        <f ca="1">VLOOKUP(tblDistributionTests[[#This Row],[Rand]],tblNormalTestVl[],2,TRUE)</f>
        <v>Eric</v>
      </c>
      <c r="Y123" s="11" t="str">
        <f ca="1">INDEX(tblNormalTestIM[],MATCH(tblDistributionTests[[#This Row],[Rand]],tblNormalTestIM[Score],-1),2)</f>
        <v>Bill</v>
      </c>
    </row>
    <row r="124" spans="22:25" x14ac:dyDescent="0.2">
      <c r="V124" s="1">
        <f t="shared" ca="1" si="1"/>
        <v>0.91</v>
      </c>
      <c r="W124" s="1" t="str">
        <f ca="1">VLOOKUP(tblDistributionTests[[#This Row],[Rand]]+MIN(tblFairTest[Score]),tblFairTest[],2,TRUE)</f>
        <v>Todd</v>
      </c>
      <c r="X124" s="1" t="str">
        <f ca="1">VLOOKUP(tblDistributionTests[[#This Row],[Rand]],tblNormalTestVl[],2,TRUE)</f>
        <v>William</v>
      </c>
      <c r="Y124" s="11" t="str">
        <f ca="1">INDEX(tblNormalTestIM[],MATCH(tblDistributionTests[[#This Row],[Rand]],tblNormalTestIM[Score],-1),2)</f>
        <v>Frank</v>
      </c>
    </row>
    <row r="125" spans="22:25" x14ac:dyDescent="0.2">
      <c r="V125" s="1">
        <f t="shared" ca="1" si="1"/>
        <v>0.27</v>
      </c>
      <c r="W125" s="1" t="e">
        <f ca="1">VLOOKUP(tblDistributionTests[[#This Row],[Rand]]+MIN(tblFairTest[Score]),tblFairTest[],2,TRUE)</f>
        <v>#N/A</v>
      </c>
      <c r="X125" s="1" t="str">
        <f ca="1">VLOOKUP(tblDistributionTests[[#This Row],[Rand]],tblNormalTestVl[],2,TRUE)</f>
        <v>Luke</v>
      </c>
      <c r="Y125" s="11" t="str">
        <f ca="1">INDEX(tblNormalTestIM[],MATCH(tblDistributionTests[[#This Row],[Rand]],tblNormalTestIM[Score],-1),2)</f>
        <v>Riley</v>
      </c>
    </row>
    <row r="126" spans="22:25" x14ac:dyDescent="0.2">
      <c r="V126" s="1">
        <f t="shared" ca="1" si="1"/>
        <v>0.01</v>
      </c>
      <c r="W126" s="1" t="e">
        <f ca="1">VLOOKUP(tblDistributionTests[[#This Row],[Rand]]+MIN(tblFairTest[Score]),tblFairTest[],2,TRUE)</f>
        <v>#N/A</v>
      </c>
      <c r="X126" s="1" t="e">
        <f ca="1">VLOOKUP(tblDistributionTests[[#This Row],[Rand]],tblNormalTestVl[],2,TRUE)</f>
        <v>#N/A</v>
      </c>
      <c r="Y126" s="11" t="str">
        <f ca="1">INDEX(tblNormalTestIM[],MATCH(tblDistributionTests[[#This Row],[Rand]],tblNormalTestIM[Score],-1),2)</f>
        <v>Chuck</v>
      </c>
    </row>
    <row r="127" spans="22:25" x14ac:dyDescent="0.2">
      <c r="V127" s="1">
        <f t="shared" ca="1" si="1"/>
        <v>0.33</v>
      </c>
      <c r="W127" s="1" t="e">
        <f ca="1">VLOOKUP(tblDistributionTests[[#This Row],[Rand]]+MIN(tblFairTest[Score]),tblFairTest[],2,TRUE)</f>
        <v>#N/A</v>
      </c>
      <c r="X127" s="1" t="str">
        <f ca="1">VLOOKUP(tblDistributionTests[[#This Row],[Rand]],tblNormalTestVl[],2,TRUE)</f>
        <v>Luke</v>
      </c>
      <c r="Y127" s="11" t="str">
        <f ca="1">INDEX(tblNormalTestIM[],MATCH(tblDistributionTests[[#This Row],[Rand]],tblNormalTestIM[Score],-1),2)</f>
        <v>Riley</v>
      </c>
    </row>
    <row r="128" spans="22:25" x14ac:dyDescent="0.2">
      <c r="V128" s="1">
        <f t="shared" ca="1" si="1"/>
        <v>0.87</v>
      </c>
      <c r="W128" s="1" t="str">
        <f ca="1">VLOOKUP(tblDistributionTests[[#This Row],[Rand]]+MIN(tblFairTest[Score]),tblFairTest[],2,TRUE)</f>
        <v>Todd</v>
      </c>
      <c r="X128" s="1" t="str">
        <f ca="1">VLOOKUP(tblDistributionTests[[#This Row],[Rand]],tblNormalTestVl[],2,TRUE)</f>
        <v>William</v>
      </c>
      <c r="Y128" s="11" t="str">
        <f ca="1">INDEX(tblNormalTestIM[],MATCH(tblDistributionTests[[#This Row],[Rand]],tblNormalTestIM[Score],-1),2)</f>
        <v>Frank</v>
      </c>
    </row>
    <row r="129" spans="22:25" x14ac:dyDescent="0.2">
      <c r="V129" s="1">
        <f t="shared" ca="1" si="1"/>
        <v>0.6</v>
      </c>
      <c r="W129" s="1" t="str">
        <f ca="1">VLOOKUP(tblDistributionTests[[#This Row],[Rand]]+MIN(tblFairTest[Score]),tblFairTest[],2,TRUE)</f>
        <v>Todd</v>
      </c>
      <c r="X129" s="1" t="str">
        <f ca="1">VLOOKUP(tblDistributionTests[[#This Row],[Rand]],tblNormalTestVl[],2,TRUE)</f>
        <v>Riley</v>
      </c>
      <c r="Y129" s="11" t="str">
        <f ca="1">INDEX(tblNormalTestIM[],MATCH(tblDistributionTests[[#This Row],[Rand]],tblNormalTestIM[Score],-1),2)</f>
        <v>Luke</v>
      </c>
    </row>
    <row r="130" spans="22:25" x14ac:dyDescent="0.2">
      <c r="V130" s="1">
        <f t="shared" ca="1" si="1"/>
        <v>0.86</v>
      </c>
      <c r="W130" s="1" t="str">
        <f ca="1">VLOOKUP(tblDistributionTests[[#This Row],[Rand]]+MIN(tblFairTest[Score]),tblFairTest[],2,TRUE)</f>
        <v>Todd</v>
      </c>
      <c r="X130" s="1" t="str">
        <f ca="1">VLOOKUP(tblDistributionTests[[#This Row],[Rand]],tblNormalTestVl[],2,TRUE)</f>
        <v>William</v>
      </c>
      <c r="Y130" s="11" t="str">
        <f ca="1">INDEX(tblNormalTestIM[],MATCH(tblDistributionTests[[#This Row],[Rand]],tblNormalTestIM[Score],-1),2)</f>
        <v>Frank</v>
      </c>
    </row>
    <row r="131" spans="22:25" x14ac:dyDescent="0.2">
      <c r="V131" s="1">
        <f t="shared" ca="1" si="1"/>
        <v>0.89</v>
      </c>
      <c r="W131" s="1" t="str">
        <f ca="1">VLOOKUP(tblDistributionTests[[#This Row],[Rand]]+MIN(tblFairTest[Score]),tblFairTest[],2,TRUE)</f>
        <v>Todd</v>
      </c>
      <c r="X131" s="1" t="str">
        <f ca="1">VLOOKUP(tblDistributionTests[[#This Row],[Rand]],tblNormalTestVl[],2,TRUE)</f>
        <v>William</v>
      </c>
      <c r="Y131" s="11" t="str">
        <f ca="1">INDEX(tblNormalTestIM[],MATCH(tblDistributionTests[[#This Row],[Rand]],tblNormalTestIM[Score],-1),2)</f>
        <v>Frank</v>
      </c>
    </row>
    <row r="132" spans="22:25" x14ac:dyDescent="0.2">
      <c r="V132" s="1">
        <f t="shared" ca="1" si="1"/>
        <v>0.83</v>
      </c>
      <c r="W132" s="1" t="str">
        <f ca="1">VLOOKUP(tblDistributionTests[[#This Row],[Rand]]+MIN(tblFairTest[Score]),tblFairTest[],2,TRUE)</f>
        <v>Todd</v>
      </c>
      <c r="X132" s="1" t="str">
        <f ca="1">VLOOKUP(tblDistributionTests[[#This Row],[Rand]],tblNormalTestVl[],2,TRUE)</f>
        <v>William</v>
      </c>
      <c r="Y132" s="11" t="str">
        <f ca="1">INDEX(tblNormalTestIM[],MATCH(tblDistributionTests[[#This Row],[Rand]],tblNormalTestIM[Score],-1),2)</f>
        <v>Frank</v>
      </c>
    </row>
    <row r="133" spans="22:25" x14ac:dyDescent="0.2">
      <c r="V133" s="1">
        <f t="shared" ca="1" si="1"/>
        <v>0.56999999999999995</v>
      </c>
      <c r="W133" s="1" t="str">
        <f ca="1">VLOOKUP(tblDistributionTests[[#This Row],[Rand]]+MIN(tblFairTest[Score]),tblFairTest[],2,TRUE)</f>
        <v>Todd</v>
      </c>
      <c r="X133" s="1" t="str">
        <f ca="1">VLOOKUP(tblDistributionTests[[#This Row],[Rand]],tblNormalTestVl[],2,TRUE)</f>
        <v>Riley</v>
      </c>
      <c r="Y133" s="11" t="str">
        <f ca="1">INDEX(tblNormalTestIM[],MATCH(tblDistributionTests[[#This Row],[Rand]],tblNormalTestIM[Score],-1),2)</f>
        <v>Luke</v>
      </c>
    </row>
    <row r="134" spans="22:25" x14ac:dyDescent="0.2">
      <c r="V134" s="1">
        <f t="shared" ca="1" si="1"/>
        <v>0.62</v>
      </c>
      <c r="W134" s="1" t="str">
        <f ca="1">VLOOKUP(tblDistributionTests[[#This Row],[Rand]]+MIN(tblFairTest[Score]),tblFairTest[],2,TRUE)</f>
        <v>Todd</v>
      </c>
      <c r="X134" s="1" t="str">
        <f ca="1">VLOOKUP(tblDistributionTests[[#This Row],[Rand]],tblNormalTestVl[],2,TRUE)</f>
        <v>Riley</v>
      </c>
      <c r="Y134" s="11" t="str">
        <f ca="1">INDEX(tblNormalTestIM[],MATCH(tblDistributionTests[[#This Row],[Rand]],tblNormalTestIM[Score],-1),2)</f>
        <v>Luke</v>
      </c>
    </row>
    <row r="135" spans="22:25" x14ac:dyDescent="0.2">
      <c r="V135" s="1">
        <f t="shared" ca="1" si="1"/>
        <v>0.39</v>
      </c>
      <c r="W135" s="1" t="e">
        <f ca="1">VLOOKUP(tblDistributionTests[[#This Row],[Rand]]+MIN(tblFairTest[Score]),tblFairTest[],2,TRUE)</f>
        <v>#N/A</v>
      </c>
      <c r="X135" s="1" t="str">
        <f ca="1">VLOOKUP(tblDistributionTests[[#This Row],[Rand]],tblNormalTestVl[],2,TRUE)</f>
        <v>Luke</v>
      </c>
      <c r="Y135" s="11" t="str">
        <f ca="1">INDEX(tblNormalTestIM[],MATCH(tblDistributionTests[[#This Row],[Rand]],tblNormalTestIM[Score],-1),2)</f>
        <v>Riley</v>
      </c>
    </row>
    <row r="136" spans="22:25" x14ac:dyDescent="0.2">
      <c r="V136" s="1">
        <f t="shared" ref="V136:V199" ca="1" si="2">RANDBETWEEN(1,100)/100</f>
        <v>0.26</v>
      </c>
      <c r="W136" s="1" t="e">
        <f ca="1">VLOOKUP(tblDistributionTests[[#This Row],[Rand]]+MIN(tblFairTest[Score]),tblFairTest[],2,TRUE)</f>
        <v>#N/A</v>
      </c>
      <c r="X136" s="1" t="str">
        <f ca="1">VLOOKUP(tblDistributionTests[[#This Row],[Rand]],tblNormalTestVl[],2,TRUE)</f>
        <v>Luke</v>
      </c>
      <c r="Y136" s="11" t="str">
        <f ca="1">INDEX(tblNormalTestIM[],MATCH(tblDistributionTests[[#This Row],[Rand]],tblNormalTestIM[Score],-1),2)</f>
        <v>Riley</v>
      </c>
    </row>
    <row r="137" spans="22:25" x14ac:dyDescent="0.2">
      <c r="V137" s="1">
        <f t="shared" ca="1" si="2"/>
        <v>0.77</v>
      </c>
      <c r="W137" s="1" t="str">
        <f ca="1">VLOOKUP(tblDistributionTests[[#This Row],[Rand]]+MIN(tblFairTest[Score]),tblFairTest[],2,TRUE)</f>
        <v>Todd</v>
      </c>
      <c r="X137" s="1" t="str">
        <f ca="1">VLOOKUP(tblDistributionTests[[#This Row],[Rand]],tblNormalTestVl[],2,TRUE)</f>
        <v>Riley</v>
      </c>
      <c r="Y137" s="11" t="str">
        <f ca="1">INDEX(tblNormalTestIM[],MATCH(tblDistributionTests[[#This Row],[Rand]],tblNormalTestIM[Score],-1),2)</f>
        <v>Luke</v>
      </c>
    </row>
    <row r="138" spans="22:25" x14ac:dyDescent="0.2">
      <c r="V138" s="1">
        <f t="shared" ca="1" si="2"/>
        <v>0.67</v>
      </c>
      <c r="W138" s="1" t="str">
        <f ca="1">VLOOKUP(tblDistributionTests[[#This Row],[Rand]]+MIN(tblFairTest[Score]),tblFairTest[],2,TRUE)</f>
        <v>Todd</v>
      </c>
      <c r="X138" s="1" t="str">
        <f ca="1">VLOOKUP(tblDistributionTests[[#This Row],[Rand]],tblNormalTestVl[],2,TRUE)</f>
        <v>Riley</v>
      </c>
      <c r="Y138" s="11" t="str">
        <f ca="1">INDEX(tblNormalTestIM[],MATCH(tblDistributionTests[[#This Row],[Rand]],tblNormalTestIM[Score],-1),2)</f>
        <v>Luke</v>
      </c>
    </row>
    <row r="139" spans="22:25" x14ac:dyDescent="0.2">
      <c r="V139" s="1">
        <f t="shared" ca="1" si="2"/>
        <v>0.53</v>
      </c>
      <c r="W139" s="1" t="str">
        <f ca="1">VLOOKUP(tblDistributionTests[[#This Row],[Rand]]+MIN(tblFairTest[Score]),tblFairTest[],2,TRUE)</f>
        <v>Todd</v>
      </c>
      <c r="X139" s="1" t="str">
        <f ca="1">VLOOKUP(tblDistributionTests[[#This Row],[Rand]],tblNormalTestVl[],2,TRUE)</f>
        <v>Riley</v>
      </c>
      <c r="Y139" s="11" t="str">
        <f ca="1">INDEX(tblNormalTestIM[],MATCH(tblDistributionTests[[#This Row],[Rand]],tblNormalTestIM[Score],-1),2)</f>
        <v>Luke</v>
      </c>
    </row>
    <row r="140" spans="22:25" x14ac:dyDescent="0.2">
      <c r="V140" s="1">
        <f t="shared" ca="1" si="2"/>
        <v>0.68</v>
      </c>
      <c r="W140" s="1" t="str">
        <f ca="1">VLOOKUP(tblDistributionTests[[#This Row],[Rand]]+MIN(tblFairTest[Score]),tblFairTest[],2,TRUE)</f>
        <v>Todd</v>
      </c>
      <c r="X140" s="1" t="str">
        <f ca="1">VLOOKUP(tblDistributionTests[[#This Row],[Rand]],tblNormalTestVl[],2,TRUE)</f>
        <v>Riley</v>
      </c>
      <c r="Y140" s="11" t="str">
        <f ca="1">INDEX(tblNormalTestIM[],MATCH(tblDistributionTests[[#This Row],[Rand]],tblNormalTestIM[Score],-1),2)</f>
        <v>Luke</v>
      </c>
    </row>
    <row r="141" spans="22:25" x14ac:dyDescent="0.2">
      <c r="V141" s="1">
        <f t="shared" ca="1" si="2"/>
        <v>0.33</v>
      </c>
      <c r="W141" s="1" t="e">
        <f ca="1">VLOOKUP(tblDistributionTests[[#This Row],[Rand]]+MIN(tblFairTest[Score]),tblFairTest[],2,TRUE)</f>
        <v>#N/A</v>
      </c>
      <c r="X141" s="1" t="str">
        <f ca="1">VLOOKUP(tblDistributionTests[[#This Row],[Rand]],tblNormalTestVl[],2,TRUE)</f>
        <v>Luke</v>
      </c>
      <c r="Y141" s="11" t="str">
        <f ca="1">INDEX(tblNormalTestIM[],MATCH(tblDistributionTests[[#This Row],[Rand]],tblNormalTestIM[Score],-1),2)</f>
        <v>Riley</v>
      </c>
    </row>
    <row r="142" spans="22:25" x14ac:dyDescent="0.2">
      <c r="V142" s="1">
        <f t="shared" ca="1" si="2"/>
        <v>0.08</v>
      </c>
      <c r="W142" s="1" t="e">
        <f ca="1">VLOOKUP(tblDistributionTests[[#This Row],[Rand]]+MIN(tblFairTest[Score]),tblFairTest[],2,TRUE)</f>
        <v>#N/A</v>
      </c>
      <c r="X142" s="1" t="str">
        <f ca="1">VLOOKUP(tblDistributionTests[[#This Row],[Rand]],tblNormalTestVl[],2,TRUE)</f>
        <v>Frank</v>
      </c>
      <c r="Y142" s="11" t="str">
        <f ca="1">INDEX(tblNormalTestIM[],MATCH(tblDistributionTests[[#This Row],[Rand]],tblNormalTestIM[Score],-1),2)</f>
        <v>William</v>
      </c>
    </row>
    <row r="143" spans="22:25" x14ac:dyDescent="0.2">
      <c r="V143" s="1">
        <f t="shared" ca="1" si="2"/>
        <v>0.06</v>
      </c>
      <c r="W143" s="1" t="e">
        <f ca="1">VLOOKUP(tblDistributionTests[[#This Row],[Rand]]+MIN(tblFairTest[Score]),tblFairTest[],2,TRUE)</f>
        <v>#N/A</v>
      </c>
      <c r="X143" s="1" t="str">
        <f ca="1">VLOOKUP(tblDistributionTests[[#This Row],[Rand]],tblNormalTestVl[],2,TRUE)</f>
        <v>Bill</v>
      </c>
      <c r="Y143" s="11" t="str">
        <f ca="1">INDEX(tblNormalTestIM[],MATCH(tblDistributionTests[[#This Row],[Rand]],tblNormalTestIM[Score],-1),2)</f>
        <v>Eric</v>
      </c>
    </row>
    <row r="144" spans="22:25" x14ac:dyDescent="0.2">
      <c r="V144" s="1">
        <f t="shared" ca="1" si="2"/>
        <v>0.28000000000000003</v>
      </c>
      <c r="W144" s="1" t="e">
        <f ca="1">VLOOKUP(tblDistributionTests[[#This Row],[Rand]]+MIN(tblFairTest[Score]),tblFairTest[],2,TRUE)</f>
        <v>#N/A</v>
      </c>
      <c r="X144" s="1" t="str">
        <f ca="1">VLOOKUP(tblDistributionTests[[#This Row],[Rand]],tblNormalTestVl[],2,TRUE)</f>
        <v>Luke</v>
      </c>
      <c r="Y144" s="11" t="str">
        <f ca="1">INDEX(tblNormalTestIM[],MATCH(tblDistributionTests[[#This Row],[Rand]],tblNormalTestIM[Score],-1),2)</f>
        <v>Riley</v>
      </c>
    </row>
    <row r="145" spans="22:25" x14ac:dyDescent="0.2">
      <c r="V145" s="1">
        <f t="shared" ca="1" si="2"/>
        <v>0.22</v>
      </c>
      <c r="W145" s="1" t="e">
        <f ca="1">VLOOKUP(tblDistributionTests[[#This Row],[Rand]]+MIN(tblFairTest[Score]),tblFairTest[],2,TRUE)</f>
        <v>#N/A</v>
      </c>
      <c r="X145" s="1" t="str">
        <f ca="1">VLOOKUP(tblDistributionTests[[#This Row],[Rand]],tblNormalTestVl[],2,TRUE)</f>
        <v>Frank</v>
      </c>
      <c r="Y145" s="11" t="str">
        <f ca="1">INDEX(tblNormalTestIM[],MATCH(tblDistributionTests[[#This Row],[Rand]],tblNormalTestIM[Score],-1),2)</f>
        <v>William</v>
      </c>
    </row>
    <row r="146" spans="22:25" x14ac:dyDescent="0.2">
      <c r="V146" s="1">
        <f t="shared" ca="1" si="2"/>
        <v>0.6</v>
      </c>
      <c r="W146" s="1" t="str">
        <f ca="1">VLOOKUP(tblDistributionTests[[#This Row],[Rand]]+MIN(tblFairTest[Score]),tblFairTest[],2,TRUE)</f>
        <v>Todd</v>
      </c>
      <c r="X146" s="1" t="str">
        <f ca="1">VLOOKUP(tblDistributionTests[[#This Row],[Rand]],tblNormalTestVl[],2,TRUE)</f>
        <v>Riley</v>
      </c>
      <c r="Y146" s="11" t="str">
        <f ca="1">INDEX(tblNormalTestIM[],MATCH(tblDistributionTests[[#This Row],[Rand]],tblNormalTestIM[Score],-1),2)</f>
        <v>Luke</v>
      </c>
    </row>
    <row r="147" spans="22:25" x14ac:dyDescent="0.2">
      <c r="V147" s="1">
        <f t="shared" ca="1" si="2"/>
        <v>0.96</v>
      </c>
      <c r="W147" s="1" t="str">
        <f ca="1">VLOOKUP(tblDistributionTests[[#This Row],[Rand]]+MIN(tblFairTest[Score]),tblFairTest[],2,TRUE)</f>
        <v>Todd</v>
      </c>
      <c r="X147" s="1" t="str">
        <f ca="1">VLOOKUP(tblDistributionTests[[#This Row],[Rand]],tblNormalTestVl[],2,TRUE)</f>
        <v>Eric</v>
      </c>
      <c r="Y147" s="11" t="str">
        <f ca="1">INDEX(tblNormalTestIM[],MATCH(tblDistributionTests[[#This Row],[Rand]],tblNormalTestIM[Score],-1),2)</f>
        <v>Bill</v>
      </c>
    </row>
    <row r="148" spans="22:25" x14ac:dyDescent="0.2">
      <c r="V148" s="1">
        <f t="shared" ca="1" si="2"/>
        <v>0.74</v>
      </c>
      <c r="W148" s="1" t="str">
        <f ca="1">VLOOKUP(tblDistributionTests[[#This Row],[Rand]]+MIN(tblFairTest[Score]),tblFairTest[],2,TRUE)</f>
        <v>Todd</v>
      </c>
      <c r="X148" s="1" t="str">
        <f ca="1">VLOOKUP(tblDistributionTests[[#This Row],[Rand]],tblNormalTestVl[],2,TRUE)</f>
        <v>Riley</v>
      </c>
      <c r="Y148" s="11" t="str">
        <f ca="1">INDEX(tblNormalTestIM[],MATCH(tblDistributionTests[[#This Row],[Rand]],tblNormalTestIM[Score],-1),2)</f>
        <v>Luke</v>
      </c>
    </row>
    <row r="149" spans="22:25" x14ac:dyDescent="0.2">
      <c r="V149" s="1">
        <f t="shared" ca="1" si="2"/>
        <v>0.3</v>
      </c>
      <c r="W149" s="1" t="e">
        <f ca="1">VLOOKUP(tblDistributionTests[[#This Row],[Rand]]+MIN(tblFairTest[Score]),tblFairTest[],2,TRUE)</f>
        <v>#N/A</v>
      </c>
      <c r="X149" s="1" t="str">
        <f ca="1">VLOOKUP(tblDistributionTests[[#This Row],[Rand]],tblNormalTestVl[],2,TRUE)</f>
        <v>Luke</v>
      </c>
      <c r="Y149" s="11" t="str">
        <f ca="1">INDEX(tblNormalTestIM[],MATCH(tblDistributionTests[[#This Row],[Rand]],tblNormalTestIM[Score],-1),2)</f>
        <v>Riley</v>
      </c>
    </row>
    <row r="150" spans="22:25" x14ac:dyDescent="0.2">
      <c r="V150" s="1">
        <f t="shared" ca="1" si="2"/>
        <v>0.75</v>
      </c>
      <c r="W150" s="1" t="str">
        <f ca="1">VLOOKUP(tblDistributionTests[[#This Row],[Rand]]+MIN(tblFairTest[Score]),tblFairTest[],2,TRUE)</f>
        <v>Todd</v>
      </c>
      <c r="X150" s="1" t="str">
        <f ca="1">VLOOKUP(tblDistributionTests[[#This Row],[Rand]],tblNormalTestVl[],2,TRUE)</f>
        <v>Riley</v>
      </c>
      <c r="Y150" s="11" t="str">
        <f ca="1">INDEX(tblNormalTestIM[],MATCH(tblDistributionTests[[#This Row],[Rand]],tblNormalTestIM[Score],-1),2)</f>
        <v>Luke</v>
      </c>
    </row>
    <row r="151" spans="22:25" x14ac:dyDescent="0.2">
      <c r="V151" s="1">
        <f t="shared" ca="1" si="2"/>
        <v>0.03</v>
      </c>
      <c r="W151" s="1" t="e">
        <f ca="1">VLOOKUP(tblDistributionTests[[#This Row],[Rand]]+MIN(tblFairTest[Score]),tblFairTest[],2,TRUE)</f>
        <v>#N/A</v>
      </c>
      <c r="X151" s="1" t="str">
        <f ca="1">VLOOKUP(tblDistributionTests[[#This Row],[Rand]],tblNormalTestVl[],2,TRUE)</f>
        <v>Bill</v>
      </c>
      <c r="Y151" s="11" t="str">
        <f ca="1">INDEX(tblNormalTestIM[],MATCH(tblDistributionTests[[#This Row],[Rand]],tblNormalTestIM[Score],-1),2)</f>
        <v>Eric</v>
      </c>
    </row>
    <row r="152" spans="22:25" x14ac:dyDescent="0.2">
      <c r="V152" s="1">
        <f t="shared" ca="1" si="2"/>
        <v>0.76</v>
      </c>
      <c r="W152" s="1" t="str">
        <f ca="1">VLOOKUP(tblDistributionTests[[#This Row],[Rand]]+MIN(tblFairTest[Score]),tblFairTest[],2,TRUE)</f>
        <v>Todd</v>
      </c>
      <c r="X152" s="1" t="str">
        <f ca="1">VLOOKUP(tblDistributionTests[[#This Row],[Rand]],tblNormalTestVl[],2,TRUE)</f>
        <v>Riley</v>
      </c>
      <c r="Y152" s="11" t="str">
        <f ca="1">INDEX(tblNormalTestIM[],MATCH(tblDistributionTests[[#This Row],[Rand]],tblNormalTestIM[Score],-1),2)</f>
        <v>Luke</v>
      </c>
    </row>
    <row r="153" spans="22:25" x14ac:dyDescent="0.2">
      <c r="V153" s="1">
        <f t="shared" ca="1" si="2"/>
        <v>0.08</v>
      </c>
      <c r="W153" s="1" t="e">
        <f ca="1">VLOOKUP(tblDistributionTests[[#This Row],[Rand]]+MIN(tblFairTest[Score]),tblFairTest[],2,TRUE)</f>
        <v>#N/A</v>
      </c>
      <c r="X153" s="1" t="str">
        <f ca="1">VLOOKUP(tblDistributionTests[[#This Row],[Rand]],tblNormalTestVl[],2,TRUE)</f>
        <v>Frank</v>
      </c>
      <c r="Y153" s="11" t="str">
        <f ca="1">INDEX(tblNormalTestIM[],MATCH(tblDistributionTests[[#This Row],[Rand]],tblNormalTestIM[Score],-1),2)</f>
        <v>William</v>
      </c>
    </row>
    <row r="154" spans="22:25" x14ac:dyDescent="0.2">
      <c r="V154" s="1">
        <f t="shared" ca="1" si="2"/>
        <v>0.92</v>
      </c>
      <c r="W154" s="1" t="str">
        <f ca="1">VLOOKUP(tblDistributionTests[[#This Row],[Rand]]+MIN(tblFairTest[Score]),tblFairTest[],2,TRUE)</f>
        <v>Todd</v>
      </c>
      <c r="X154" s="1" t="str">
        <f ca="1">VLOOKUP(tblDistributionTests[[#This Row],[Rand]],tblNormalTestVl[],2,TRUE)</f>
        <v>William</v>
      </c>
      <c r="Y154" s="11" t="str">
        <f ca="1">INDEX(tblNormalTestIM[],MATCH(tblDistributionTests[[#This Row],[Rand]],tblNormalTestIM[Score],-1),2)</f>
        <v>Frank</v>
      </c>
    </row>
    <row r="155" spans="22:25" x14ac:dyDescent="0.2">
      <c r="V155" s="1">
        <f t="shared" ca="1" si="2"/>
        <v>0.28000000000000003</v>
      </c>
      <c r="W155" s="1" t="e">
        <f ca="1">VLOOKUP(tblDistributionTests[[#This Row],[Rand]]+MIN(tblFairTest[Score]),tblFairTest[],2,TRUE)</f>
        <v>#N/A</v>
      </c>
      <c r="X155" s="1" t="str">
        <f ca="1">VLOOKUP(tblDistributionTests[[#This Row],[Rand]],tblNormalTestVl[],2,TRUE)</f>
        <v>Luke</v>
      </c>
      <c r="Y155" s="11" t="str">
        <f ca="1">INDEX(tblNormalTestIM[],MATCH(tblDistributionTests[[#This Row],[Rand]],tblNormalTestIM[Score],-1),2)</f>
        <v>Riley</v>
      </c>
    </row>
    <row r="156" spans="22:25" x14ac:dyDescent="0.2">
      <c r="V156" s="1">
        <f t="shared" ca="1" si="2"/>
        <v>0.14000000000000001</v>
      </c>
      <c r="W156" s="1" t="e">
        <f ca="1">VLOOKUP(tblDistributionTests[[#This Row],[Rand]]+MIN(tblFairTest[Score]),tblFairTest[],2,TRUE)</f>
        <v>#N/A</v>
      </c>
      <c r="X156" s="1" t="str">
        <f ca="1">VLOOKUP(tblDistributionTests[[#This Row],[Rand]],tblNormalTestVl[],2,TRUE)</f>
        <v>Frank</v>
      </c>
      <c r="Y156" s="11" t="str">
        <f ca="1">INDEX(tblNormalTestIM[],MATCH(tblDistributionTests[[#This Row],[Rand]],tblNormalTestIM[Score],-1),2)</f>
        <v>William</v>
      </c>
    </row>
    <row r="157" spans="22:25" x14ac:dyDescent="0.2">
      <c r="V157" s="1">
        <f t="shared" ca="1" si="2"/>
        <v>0.69</v>
      </c>
      <c r="W157" s="1" t="str">
        <f ca="1">VLOOKUP(tblDistributionTests[[#This Row],[Rand]]+MIN(tblFairTest[Score]),tblFairTest[],2,TRUE)</f>
        <v>Todd</v>
      </c>
      <c r="X157" s="1" t="str">
        <f ca="1">VLOOKUP(tblDistributionTests[[#This Row],[Rand]],tblNormalTestVl[],2,TRUE)</f>
        <v>Riley</v>
      </c>
      <c r="Y157" s="11" t="str">
        <f ca="1">INDEX(tblNormalTestIM[],MATCH(tblDistributionTests[[#This Row],[Rand]],tblNormalTestIM[Score],-1),2)</f>
        <v>Luke</v>
      </c>
    </row>
    <row r="158" spans="22:25" x14ac:dyDescent="0.2">
      <c r="V158" s="1">
        <f t="shared" ca="1" si="2"/>
        <v>0.88</v>
      </c>
      <c r="W158" s="1" t="str">
        <f ca="1">VLOOKUP(tblDistributionTests[[#This Row],[Rand]]+MIN(tblFairTest[Score]),tblFairTest[],2,TRUE)</f>
        <v>Todd</v>
      </c>
      <c r="X158" s="1" t="str">
        <f ca="1">VLOOKUP(tblDistributionTests[[#This Row],[Rand]],tblNormalTestVl[],2,TRUE)</f>
        <v>William</v>
      </c>
      <c r="Y158" s="11" t="str">
        <f ca="1">INDEX(tblNormalTestIM[],MATCH(tblDistributionTests[[#This Row],[Rand]],tblNormalTestIM[Score],-1),2)</f>
        <v>Frank</v>
      </c>
    </row>
    <row r="159" spans="22:25" x14ac:dyDescent="0.2">
      <c r="V159" s="1">
        <f t="shared" ca="1" si="2"/>
        <v>0.05</v>
      </c>
      <c r="W159" s="1" t="e">
        <f ca="1">VLOOKUP(tblDistributionTests[[#This Row],[Rand]]+MIN(tblFairTest[Score]),tblFairTest[],2,TRUE)</f>
        <v>#N/A</v>
      </c>
      <c r="X159" s="1" t="str">
        <f ca="1">VLOOKUP(tblDistributionTests[[#This Row],[Rand]],tblNormalTestVl[],2,TRUE)</f>
        <v>Bill</v>
      </c>
      <c r="Y159" s="11" t="str">
        <f ca="1">INDEX(tblNormalTestIM[],MATCH(tblDistributionTests[[#This Row],[Rand]],tblNormalTestIM[Score],-1),2)</f>
        <v>Eric</v>
      </c>
    </row>
    <row r="160" spans="22:25" x14ac:dyDescent="0.2">
      <c r="V160" s="1">
        <f t="shared" ca="1" si="2"/>
        <v>0.17</v>
      </c>
      <c r="W160" s="1" t="e">
        <f ca="1">VLOOKUP(tblDistributionTests[[#This Row],[Rand]]+MIN(tblFairTest[Score]),tblFairTest[],2,TRUE)</f>
        <v>#N/A</v>
      </c>
      <c r="X160" s="1" t="str">
        <f ca="1">VLOOKUP(tblDistributionTests[[#This Row],[Rand]],tblNormalTestVl[],2,TRUE)</f>
        <v>Frank</v>
      </c>
      <c r="Y160" s="11" t="str">
        <f ca="1">INDEX(tblNormalTestIM[],MATCH(tblDistributionTests[[#This Row],[Rand]],tblNormalTestIM[Score],-1),2)</f>
        <v>William</v>
      </c>
    </row>
    <row r="161" spans="22:25" x14ac:dyDescent="0.2">
      <c r="V161" s="1">
        <f t="shared" ca="1" si="2"/>
        <v>0.89</v>
      </c>
      <c r="W161" s="1" t="str">
        <f ca="1">VLOOKUP(tblDistributionTests[[#This Row],[Rand]]+MIN(tblFairTest[Score]),tblFairTest[],2,TRUE)</f>
        <v>Todd</v>
      </c>
      <c r="X161" s="1" t="str">
        <f ca="1">VLOOKUP(tblDistributionTests[[#This Row],[Rand]],tblNormalTestVl[],2,TRUE)</f>
        <v>William</v>
      </c>
      <c r="Y161" s="11" t="str">
        <f ca="1">INDEX(tblNormalTestIM[],MATCH(tblDistributionTests[[#This Row],[Rand]],tblNormalTestIM[Score],-1),2)</f>
        <v>Frank</v>
      </c>
    </row>
    <row r="162" spans="22:25" x14ac:dyDescent="0.2">
      <c r="V162" s="1">
        <f t="shared" ca="1" si="2"/>
        <v>0.32</v>
      </c>
      <c r="W162" s="1" t="e">
        <f ca="1">VLOOKUP(tblDistributionTests[[#This Row],[Rand]]+MIN(tblFairTest[Score]),tblFairTest[],2,TRUE)</f>
        <v>#N/A</v>
      </c>
      <c r="X162" s="1" t="str">
        <f ca="1">VLOOKUP(tblDistributionTests[[#This Row],[Rand]],tblNormalTestVl[],2,TRUE)</f>
        <v>Luke</v>
      </c>
      <c r="Y162" s="11" t="str">
        <f ca="1">INDEX(tblNormalTestIM[],MATCH(tblDistributionTests[[#This Row],[Rand]],tblNormalTestIM[Score],-1),2)</f>
        <v>Riley</v>
      </c>
    </row>
    <row r="163" spans="22:25" x14ac:dyDescent="0.2">
      <c r="V163" s="1">
        <f t="shared" ca="1" si="2"/>
        <v>0.61</v>
      </c>
      <c r="W163" s="1" t="str">
        <f ca="1">VLOOKUP(tblDistributionTests[[#This Row],[Rand]]+MIN(tblFairTest[Score]),tblFairTest[],2,TRUE)</f>
        <v>Todd</v>
      </c>
      <c r="X163" s="1" t="str">
        <f ca="1">VLOOKUP(tblDistributionTests[[#This Row],[Rand]],tblNormalTestVl[],2,TRUE)</f>
        <v>Riley</v>
      </c>
      <c r="Y163" s="11" t="str">
        <f ca="1">INDEX(tblNormalTestIM[],MATCH(tblDistributionTests[[#This Row],[Rand]],tblNormalTestIM[Score],-1),2)</f>
        <v>Luke</v>
      </c>
    </row>
    <row r="164" spans="22:25" x14ac:dyDescent="0.2">
      <c r="V164" s="1">
        <f t="shared" ca="1" si="2"/>
        <v>0.86</v>
      </c>
      <c r="W164" s="1" t="str">
        <f ca="1">VLOOKUP(tblDistributionTests[[#This Row],[Rand]]+MIN(tblFairTest[Score]),tblFairTest[],2,TRUE)</f>
        <v>Todd</v>
      </c>
      <c r="X164" s="1" t="str">
        <f ca="1">VLOOKUP(tblDistributionTests[[#This Row],[Rand]],tblNormalTestVl[],2,TRUE)</f>
        <v>William</v>
      </c>
      <c r="Y164" s="11" t="str">
        <f ca="1">INDEX(tblNormalTestIM[],MATCH(tblDistributionTests[[#This Row],[Rand]],tblNormalTestIM[Score],-1),2)</f>
        <v>Frank</v>
      </c>
    </row>
    <row r="165" spans="22:25" x14ac:dyDescent="0.2">
      <c r="V165" s="1">
        <f t="shared" ca="1" si="2"/>
        <v>0.55000000000000004</v>
      </c>
      <c r="W165" s="1" t="str">
        <f ca="1">VLOOKUP(tblDistributionTests[[#This Row],[Rand]]+MIN(tblFairTest[Score]),tblFairTest[],2,TRUE)</f>
        <v>Todd</v>
      </c>
      <c r="X165" s="1" t="str">
        <f ca="1">VLOOKUP(tblDistributionTests[[#This Row],[Rand]],tblNormalTestVl[],2,TRUE)</f>
        <v>Riley</v>
      </c>
      <c r="Y165" s="11" t="str">
        <f ca="1">INDEX(tblNormalTestIM[],MATCH(tblDistributionTests[[#This Row],[Rand]],tblNormalTestIM[Score],-1),2)</f>
        <v>Luke</v>
      </c>
    </row>
    <row r="166" spans="22:25" x14ac:dyDescent="0.2">
      <c r="V166" s="1">
        <f t="shared" ca="1" si="2"/>
        <v>0.18</v>
      </c>
      <c r="W166" s="1" t="e">
        <f ca="1">VLOOKUP(tblDistributionTests[[#This Row],[Rand]]+MIN(tblFairTest[Score]),tblFairTest[],2,TRUE)</f>
        <v>#N/A</v>
      </c>
      <c r="X166" s="1" t="str">
        <f ca="1">VLOOKUP(tblDistributionTests[[#This Row],[Rand]],tblNormalTestVl[],2,TRUE)</f>
        <v>Frank</v>
      </c>
      <c r="Y166" s="11" t="str">
        <f ca="1">INDEX(tblNormalTestIM[],MATCH(tblDistributionTests[[#This Row],[Rand]],tblNormalTestIM[Score],-1),2)</f>
        <v>William</v>
      </c>
    </row>
    <row r="167" spans="22:25" x14ac:dyDescent="0.2">
      <c r="V167" s="1">
        <f t="shared" ca="1" si="2"/>
        <v>0.14000000000000001</v>
      </c>
      <c r="W167" s="1" t="e">
        <f ca="1">VLOOKUP(tblDistributionTests[[#This Row],[Rand]]+MIN(tblFairTest[Score]),tblFairTest[],2,TRUE)</f>
        <v>#N/A</v>
      </c>
      <c r="X167" s="1" t="str">
        <f ca="1">VLOOKUP(tblDistributionTests[[#This Row],[Rand]],tblNormalTestVl[],2,TRUE)</f>
        <v>Frank</v>
      </c>
      <c r="Y167" s="11" t="str">
        <f ca="1">INDEX(tblNormalTestIM[],MATCH(tblDistributionTests[[#This Row],[Rand]],tblNormalTestIM[Score],-1),2)</f>
        <v>William</v>
      </c>
    </row>
    <row r="168" spans="22:25" x14ac:dyDescent="0.2">
      <c r="V168" s="1">
        <f t="shared" ca="1" si="2"/>
        <v>0.22</v>
      </c>
      <c r="W168" s="1" t="e">
        <f ca="1">VLOOKUP(tblDistributionTests[[#This Row],[Rand]]+MIN(tblFairTest[Score]),tblFairTest[],2,TRUE)</f>
        <v>#N/A</v>
      </c>
      <c r="X168" s="1" t="str">
        <f ca="1">VLOOKUP(tblDistributionTests[[#This Row],[Rand]],tblNormalTestVl[],2,TRUE)</f>
        <v>Frank</v>
      </c>
      <c r="Y168" s="11" t="str">
        <f ca="1">INDEX(tblNormalTestIM[],MATCH(tblDistributionTests[[#This Row],[Rand]],tblNormalTestIM[Score],-1),2)</f>
        <v>William</v>
      </c>
    </row>
    <row r="169" spans="22:25" x14ac:dyDescent="0.2">
      <c r="V169" s="1">
        <f t="shared" ca="1" si="2"/>
        <v>0.1</v>
      </c>
      <c r="W169" s="1" t="e">
        <f ca="1">VLOOKUP(tblDistributionTests[[#This Row],[Rand]]+MIN(tblFairTest[Score]),tblFairTest[],2,TRUE)</f>
        <v>#N/A</v>
      </c>
      <c r="X169" s="1" t="str">
        <f ca="1">VLOOKUP(tblDistributionTests[[#This Row],[Rand]],tblNormalTestVl[],2,TRUE)</f>
        <v>Frank</v>
      </c>
      <c r="Y169" s="11" t="str">
        <f ca="1">INDEX(tblNormalTestIM[],MATCH(tblDistributionTests[[#This Row],[Rand]],tblNormalTestIM[Score],-1),2)</f>
        <v>William</v>
      </c>
    </row>
    <row r="170" spans="22:25" x14ac:dyDescent="0.2">
      <c r="V170" s="1">
        <f t="shared" ca="1" si="2"/>
        <v>0.37</v>
      </c>
      <c r="W170" s="1" t="e">
        <f ca="1">VLOOKUP(tblDistributionTests[[#This Row],[Rand]]+MIN(tblFairTest[Score]),tblFairTest[],2,TRUE)</f>
        <v>#N/A</v>
      </c>
      <c r="X170" s="1" t="str">
        <f ca="1">VLOOKUP(tblDistributionTests[[#This Row],[Rand]],tblNormalTestVl[],2,TRUE)</f>
        <v>Luke</v>
      </c>
      <c r="Y170" s="11" t="str">
        <f ca="1">INDEX(tblNormalTestIM[],MATCH(tblDistributionTests[[#This Row],[Rand]],tblNormalTestIM[Score],-1),2)</f>
        <v>Riley</v>
      </c>
    </row>
    <row r="171" spans="22:25" x14ac:dyDescent="0.2">
      <c r="V171" s="1">
        <f t="shared" ca="1" si="2"/>
        <v>0.84</v>
      </c>
      <c r="W171" s="1" t="str">
        <f ca="1">VLOOKUP(tblDistributionTests[[#This Row],[Rand]]+MIN(tblFairTest[Score]),tblFairTest[],2,TRUE)</f>
        <v>Todd</v>
      </c>
      <c r="X171" s="1" t="str">
        <f ca="1">VLOOKUP(tblDistributionTests[[#This Row],[Rand]],tblNormalTestVl[],2,TRUE)</f>
        <v>William</v>
      </c>
      <c r="Y171" s="11" t="str">
        <f ca="1">INDEX(tblNormalTestIM[],MATCH(tblDistributionTests[[#This Row],[Rand]],tblNormalTestIM[Score],-1),2)</f>
        <v>Frank</v>
      </c>
    </row>
    <row r="172" spans="22:25" x14ac:dyDescent="0.2">
      <c r="V172" s="1">
        <f t="shared" ca="1" si="2"/>
        <v>0.32</v>
      </c>
      <c r="W172" s="1" t="e">
        <f ca="1">VLOOKUP(tblDistributionTests[[#This Row],[Rand]]+MIN(tblFairTest[Score]),tblFairTest[],2,TRUE)</f>
        <v>#N/A</v>
      </c>
      <c r="X172" s="1" t="str">
        <f ca="1">VLOOKUP(tblDistributionTests[[#This Row],[Rand]],tblNormalTestVl[],2,TRUE)</f>
        <v>Luke</v>
      </c>
      <c r="Y172" s="11" t="str">
        <f ca="1">INDEX(tblNormalTestIM[],MATCH(tblDistributionTests[[#This Row],[Rand]],tblNormalTestIM[Score],-1),2)</f>
        <v>Riley</v>
      </c>
    </row>
    <row r="173" spans="22:25" x14ac:dyDescent="0.2">
      <c r="V173" s="1">
        <f t="shared" ca="1" si="2"/>
        <v>0.56000000000000005</v>
      </c>
      <c r="W173" s="1" t="str">
        <f ca="1">VLOOKUP(tblDistributionTests[[#This Row],[Rand]]+MIN(tblFairTest[Score]),tblFairTest[],2,TRUE)</f>
        <v>Todd</v>
      </c>
      <c r="X173" s="1" t="str">
        <f ca="1">VLOOKUP(tblDistributionTests[[#This Row],[Rand]],tblNormalTestVl[],2,TRUE)</f>
        <v>Riley</v>
      </c>
      <c r="Y173" s="11" t="str">
        <f ca="1">INDEX(tblNormalTestIM[],MATCH(tblDistributionTests[[#This Row],[Rand]],tblNormalTestIM[Score],-1),2)</f>
        <v>Luke</v>
      </c>
    </row>
    <row r="174" spans="22:25" x14ac:dyDescent="0.2">
      <c r="V174" s="1">
        <f t="shared" ca="1" si="2"/>
        <v>0.88</v>
      </c>
      <c r="W174" s="1" t="str">
        <f ca="1">VLOOKUP(tblDistributionTests[[#This Row],[Rand]]+MIN(tblFairTest[Score]),tblFairTest[],2,TRUE)</f>
        <v>Todd</v>
      </c>
      <c r="X174" s="1" t="str">
        <f ca="1">VLOOKUP(tblDistributionTests[[#This Row],[Rand]],tblNormalTestVl[],2,TRUE)</f>
        <v>William</v>
      </c>
      <c r="Y174" s="11" t="str">
        <f ca="1">INDEX(tblNormalTestIM[],MATCH(tblDistributionTests[[#This Row],[Rand]],tblNormalTestIM[Score],-1),2)</f>
        <v>Frank</v>
      </c>
    </row>
    <row r="175" spans="22:25" x14ac:dyDescent="0.2">
      <c r="V175" s="1">
        <f t="shared" ca="1" si="2"/>
        <v>0.94</v>
      </c>
      <c r="W175" s="1" t="str">
        <f ca="1">VLOOKUP(tblDistributionTests[[#This Row],[Rand]]+MIN(tblFairTest[Score]),tblFairTest[],2,TRUE)</f>
        <v>Todd</v>
      </c>
      <c r="X175" s="1" t="str">
        <f ca="1">VLOOKUP(tblDistributionTests[[#This Row],[Rand]],tblNormalTestVl[],2,TRUE)</f>
        <v>Eric</v>
      </c>
      <c r="Y175" s="11" t="str">
        <f ca="1">INDEX(tblNormalTestIM[],MATCH(tblDistributionTests[[#This Row],[Rand]],tblNormalTestIM[Score],-1),2)</f>
        <v>Bill</v>
      </c>
    </row>
    <row r="176" spans="22:25" x14ac:dyDescent="0.2">
      <c r="V176" s="1">
        <f t="shared" ca="1" si="2"/>
        <v>0.23</v>
      </c>
      <c r="W176" s="1" t="e">
        <f ca="1">VLOOKUP(tblDistributionTests[[#This Row],[Rand]]+MIN(tblFairTest[Score]),tblFairTest[],2,TRUE)</f>
        <v>#N/A</v>
      </c>
      <c r="X176" s="1" t="str">
        <f ca="1">VLOOKUP(tblDistributionTests[[#This Row],[Rand]],tblNormalTestVl[],2,TRUE)</f>
        <v>Luke</v>
      </c>
      <c r="Y176" s="11" t="str">
        <f ca="1">INDEX(tblNormalTestIM[],MATCH(tblDistributionTests[[#This Row],[Rand]],tblNormalTestIM[Score],-1),2)</f>
        <v>Riley</v>
      </c>
    </row>
    <row r="177" spans="22:25" x14ac:dyDescent="0.2">
      <c r="V177" s="1">
        <f t="shared" ca="1" si="2"/>
        <v>0.82</v>
      </c>
      <c r="W177" s="1" t="str">
        <f ca="1">VLOOKUP(tblDistributionTests[[#This Row],[Rand]]+MIN(tblFairTest[Score]),tblFairTest[],2,TRUE)</f>
        <v>Todd</v>
      </c>
      <c r="X177" s="1" t="str">
        <f ca="1">VLOOKUP(tblDistributionTests[[#This Row],[Rand]],tblNormalTestVl[],2,TRUE)</f>
        <v>William</v>
      </c>
      <c r="Y177" s="11" t="str">
        <f ca="1">INDEX(tblNormalTestIM[],MATCH(tblDistributionTests[[#This Row],[Rand]],tblNormalTestIM[Score],-1),2)</f>
        <v>Frank</v>
      </c>
    </row>
    <row r="178" spans="22:25" x14ac:dyDescent="0.2">
      <c r="V178" s="1">
        <f t="shared" ca="1" si="2"/>
        <v>0.15</v>
      </c>
      <c r="W178" s="1" t="e">
        <f ca="1">VLOOKUP(tblDistributionTests[[#This Row],[Rand]]+MIN(tblFairTest[Score]),tblFairTest[],2,TRUE)</f>
        <v>#N/A</v>
      </c>
      <c r="X178" s="1" t="str">
        <f ca="1">VLOOKUP(tblDistributionTests[[#This Row],[Rand]],tblNormalTestVl[],2,TRUE)</f>
        <v>Frank</v>
      </c>
      <c r="Y178" s="11" t="str">
        <f ca="1">INDEX(tblNormalTestIM[],MATCH(tblDistributionTests[[#This Row],[Rand]],tblNormalTestIM[Score],-1),2)</f>
        <v>William</v>
      </c>
    </row>
    <row r="179" spans="22:25" x14ac:dyDescent="0.2">
      <c r="V179" s="1">
        <f t="shared" ca="1" si="2"/>
        <v>0.11</v>
      </c>
      <c r="W179" s="1" t="e">
        <f ca="1">VLOOKUP(tblDistributionTests[[#This Row],[Rand]]+MIN(tblFairTest[Score]),tblFairTest[],2,TRUE)</f>
        <v>#N/A</v>
      </c>
      <c r="X179" s="1" t="str">
        <f ca="1">VLOOKUP(tblDistributionTests[[#This Row],[Rand]],tblNormalTestVl[],2,TRUE)</f>
        <v>Frank</v>
      </c>
      <c r="Y179" s="11" t="str">
        <f ca="1">INDEX(tblNormalTestIM[],MATCH(tblDistributionTests[[#This Row],[Rand]],tblNormalTestIM[Score],-1),2)</f>
        <v>William</v>
      </c>
    </row>
    <row r="180" spans="22:25" x14ac:dyDescent="0.2">
      <c r="V180" s="1">
        <f t="shared" ca="1" si="2"/>
        <v>0.25</v>
      </c>
      <c r="W180" s="1" t="e">
        <f ca="1">VLOOKUP(tblDistributionTests[[#This Row],[Rand]]+MIN(tblFairTest[Score]),tblFairTest[],2,TRUE)</f>
        <v>#N/A</v>
      </c>
      <c r="X180" s="1" t="str">
        <f ca="1">VLOOKUP(tblDistributionTests[[#This Row],[Rand]],tblNormalTestVl[],2,TRUE)</f>
        <v>Luke</v>
      </c>
      <c r="Y180" s="11" t="str">
        <f ca="1">INDEX(tblNormalTestIM[],MATCH(tblDistributionTests[[#This Row],[Rand]],tblNormalTestIM[Score],-1),2)</f>
        <v>Riley</v>
      </c>
    </row>
    <row r="181" spans="22:25" x14ac:dyDescent="0.2">
      <c r="V181" s="1">
        <f t="shared" ca="1" si="2"/>
        <v>0.89</v>
      </c>
      <c r="W181" s="1" t="str">
        <f ca="1">VLOOKUP(tblDistributionTests[[#This Row],[Rand]]+MIN(tblFairTest[Score]),tblFairTest[],2,TRUE)</f>
        <v>Todd</v>
      </c>
      <c r="X181" s="1" t="str">
        <f ca="1">VLOOKUP(tblDistributionTests[[#This Row],[Rand]],tblNormalTestVl[],2,TRUE)</f>
        <v>William</v>
      </c>
      <c r="Y181" s="11" t="str">
        <f ca="1">INDEX(tblNormalTestIM[],MATCH(tblDistributionTests[[#This Row],[Rand]],tblNormalTestIM[Score],-1),2)</f>
        <v>Frank</v>
      </c>
    </row>
    <row r="182" spans="22:25" x14ac:dyDescent="0.2">
      <c r="V182" s="1">
        <f t="shared" ca="1" si="2"/>
        <v>0.35</v>
      </c>
      <c r="W182" s="1" t="e">
        <f ca="1">VLOOKUP(tblDistributionTests[[#This Row],[Rand]]+MIN(tblFairTest[Score]),tblFairTest[],2,TRUE)</f>
        <v>#N/A</v>
      </c>
      <c r="X182" s="1" t="str">
        <f ca="1">VLOOKUP(tblDistributionTests[[#This Row],[Rand]],tblNormalTestVl[],2,TRUE)</f>
        <v>Luke</v>
      </c>
      <c r="Y182" s="11" t="str">
        <f ca="1">INDEX(tblNormalTestIM[],MATCH(tblDistributionTests[[#This Row],[Rand]],tblNormalTestIM[Score],-1),2)</f>
        <v>Riley</v>
      </c>
    </row>
    <row r="183" spans="22:25" x14ac:dyDescent="0.2">
      <c r="V183" s="1">
        <f t="shared" ca="1" si="2"/>
        <v>0.86</v>
      </c>
      <c r="W183" s="1" t="str">
        <f ca="1">VLOOKUP(tblDistributionTests[[#This Row],[Rand]]+MIN(tblFairTest[Score]),tblFairTest[],2,TRUE)</f>
        <v>Todd</v>
      </c>
      <c r="X183" s="1" t="str">
        <f ca="1">VLOOKUP(tblDistributionTests[[#This Row],[Rand]],tblNormalTestVl[],2,TRUE)</f>
        <v>William</v>
      </c>
      <c r="Y183" s="11" t="str">
        <f ca="1">INDEX(tblNormalTestIM[],MATCH(tblDistributionTests[[#This Row],[Rand]],tblNormalTestIM[Score],-1),2)</f>
        <v>Frank</v>
      </c>
    </row>
    <row r="184" spans="22:25" x14ac:dyDescent="0.2">
      <c r="V184" s="1">
        <f t="shared" ca="1" si="2"/>
        <v>0.84</v>
      </c>
      <c r="W184" s="1" t="str">
        <f ca="1">VLOOKUP(tblDistributionTests[[#This Row],[Rand]]+MIN(tblFairTest[Score]),tblFairTest[],2,TRUE)</f>
        <v>Todd</v>
      </c>
      <c r="X184" s="1" t="str">
        <f ca="1">VLOOKUP(tblDistributionTests[[#This Row],[Rand]],tblNormalTestVl[],2,TRUE)</f>
        <v>William</v>
      </c>
      <c r="Y184" s="11" t="str">
        <f ca="1">INDEX(tblNormalTestIM[],MATCH(tblDistributionTests[[#This Row],[Rand]],tblNormalTestIM[Score],-1),2)</f>
        <v>Frank</v>
      </c>
    </row>
    <row r="185" spans="22:25" x14ac:dyDescent="0.2">
      <c r="V185" s="1">
        <f t="shared" ca="1" si="2"/>
        <v>0.51</v>
      </c>
      <c r="W185" s="1" t="str">
        <f ca="1">VLOOKUP(tblDistributionTests[[#This Row],[Rand]]+MIN(tblFairTest[Score]),tblFairTest[],2,TRUE)</f>
        <v>Todd</v>
      </c>
      <c r="X185" s="1" t="str">
        <f ca="1">VLOOKUP(tblDistributionTests[[#This Row],[Rand]],tblNormalTestVl[],2,TRUE)</f>
        <v>Riley</v>
      </c>
      <c r="Y185" s="11" t="str">
        <f ca="1">INDEX(tblNormalTestIM[],MATCH(tblDistributionTests[[#This Row],[Rand]],tblNormalTestIM[Score],-1),2)</f>
        <v>Luke</v>
      </c>
    </row>
    <row r="186" spans="22:25" x14ac:dyDescent="0.2">
      <c r="V186" s="1">
        <f t="shared" ca="1" si="2"/>
        <v>1</v>
      </c>
      <c r="W186" s="1" t="str">
        <f ca="1">VLOOKUP(tblDistributionTests[[#This Row],[Rand]]+MIN(tblFairTest[Score]),tblFairTest[],2,TRUE)</f>
        <v>Todd</v>
      </c>
      <c r="X186" s="1" t="str">
        <f ca="1">VLOOKUP(tblDistributionTests[[#This Row],[Rand]],tblNormalTestVl[],2,TRUE)</f>
        <v>Todd</v>
      </c>
      <c r="Y186" s="11" t="e">
        <f ca="1">INDEX(tblNormalTestIM[],MATCH(tblDistributionTests[[#This Row],[Rand]],tblNormalTestIM[Score],-1),2)</f>
        <v>#N/A</v>
      </c>
    </row>
    <row r="187" spans="22:25" x14ac:dyDescent="0.2">
      <c r="V187" s="1">
        <f t="shared" ca="1" si="2"/>
        <v>0.27</v>
      </c>
      <c r="W187" s="1" t="e">
        <f ca="1">VLOOKUP(tblDistributionTests[[#This Row],[Rand]]+MIN(tblFairTest[Score]),tblFairTest[],2,TRUE)</f>
        <v>#N/A</v>
      </c>
      <c r="X187" s="1" t="str">
        <f ca="1">VLOOKUP(tblDistributionTests[[#This Row],[Rand]],tblNormalTestVl[],2,TRUE)</f>
        <v>Luke</v>
      </c>
      <c r="Y187" s="11" t="str">
        <f ca="1">INDEX(tblNormalTestIM[],MATCH(tblDistributionTests[[#This Row],[Rand]],tblNormalTestIM[Score],-1),2)</f>
        <v>Riley</v>
      </c>
    </row>
    <row r="188" spans="22:25" x14ac:dyDescent="0.2">
      <c r="V188" s="1">
        <f t="shared" ca="1" si="2"/>
        <v>0.5</v>
      </c>
      <c r="W188" s="1" t="str">
        <f ca="1">VLOOKUP(tblDistributionTests[[#This Row],[Rand]]+MIN(tblFairTest[Score]),tblFairTest[],2,TRUE)</f>
        <v>Riley</v>
      </c>
      <c r="X188" s="1" t="str">
        <f ca="1">VLOOKUP(tblDistributionTests[[#This Row],[Rand]],tblNormalTestVl[],2,TRUE)</f>
        <v>Riley</v>
      </c>
      <c r="Y188" s="11" t="str">
        <f ca="1">INDEX(tblNormalTestIM[],MATCH(tblDistributionTests[[#This Row],[Rand]],tblNormalTestIM[Score],-1),2)</f>
        <v>Riley</v>
      </c>
    </row>
    <row r="189" spans="22:25" x14ac:dyDescent="0.2">
      <c r="V189" s="1">
        <f t="shared" ca="1" si="2"/>
        <v>0.81</v>
      </c>
      <c r="W189" s="1" t="str">
        <f ca="1">VLOOKUP(tblDistributionTests[[#This Row],[Rand]]+MIN(tblFairTest[Score]),tblFairTest[],2,TRUE)</f>
        <v>Todd</v>
      </c>
      <c r="X189" s="1" t="str">
        <f ca="1">VLOOKUP(tblDistributionTests[[#This Row],[Rand]],tblNormalTestVl[],2,TRUE)</f>
        <v>William</v>
      </c>
      <c r="Y189" s="11" t="str">
        <f ca="1">INDEX(tblNormalTestIM[],MATCH(tblDistributionTests[[#This Row],[Rand]],tblNormalTestIM[Score],-1),2)</f>
        <v>Frank</v>
      </c>
    </row>
    <row r="190" spans="22:25" x14ac:dyDescent="0.2">
      <c r="V190" s="1">
        <f t="shared" ca="1" si="2"/>
        <v>0.5</v>
      </c>
      <c r="W190" s="1" t="str">
        <f ca="1">VLOOKUP(tblDistributionTests[[#This Row],[Rand]]+MIN(tblFairTest[Score]),tblFairTest[],2,TRUE)</f>
        <v>Riley</v>
      </c>
      <c r="X190" s="1" t="str">
        <f ca="1">VLOOKUP(tblDistributionTests[[#This Row],[Rand]],tblNormalTestVl[],2,TRUE)</f>
        <v>Riley</v>
      </c>
      <c r="Y190" s="11" t="str">
        <f ca="1">INDEX(tblNormalTestIM[],MATCH(tblDistributionTests[[#This Row],[Rand]],tblNormalTestIM[Score],-1),2)</f>
        <v>Riley</v>
      </c>
    </row>
    <row r="191" spans="22:25" x14ac:dyDescent="0.2">
      <c r="V191" s="1">
        <f t="shared" ca="1" si="2"/>
        <v>1</v>
      </c>
      <c r="W191" s="1" t="str">
        <f ca="1">VLOOKUP(tblDistributionTests[[#This Row],[Rand]]+MIN(tblFairTest[Score]),tblFairTest[],2,TRUE)</f>
        <v>Todd</v>
      </c>
      <c r="X191" s="1" t="str">
        <f ca="1">VLOOKUP(tblDistributionTests[[#This Row],[Rand]],tblNormalTestVl[],2,TRUE)</f>
        <v>Todd</v>
      </c>
      <c r="Y191" s="11" t="e">
        <f ca="1">INDEX(tblNormalTestIM[],MATCH(tblDistributionTests[[#This Row],[Rand]],tblNormalTestIM[Score],-1),2)</f>
        <v>#N/A</v>
      </c>
    </row>
    <row r="192" spans="22:25" x14ac:dyDescent="0.2">
      <c r="V192" s="1">
        <f t="shared" ca="1" si="2"/>
        <v>0.83</v>
      </c>
      <c r="W192" s="1" t="str">
        <f ca="1">VLOOKUP(tblDistributionTests[[#This Row],[Rand]]+MIN(tblFairTest[Score]),tblFairTest[],2,TRUE)</f>
        <v>Todd</v>
      </c>
      <c r="X192" s="1" t="str">
        <f ca="1">VLOOKUP(tblDistributionTests[[#This Row],[Rand]],tblNormalTestVl[],2,TRUE)</f>
        <v>William</v>
      </c>
      <c r="Y192" s="11" t="str">
        <f ca="1">INDEX(tblNormalTestIM[],MATCH(tblDistributionTests[[#This Row],[Rand]],tblNormalTestIM[Score],-1),2)</f>
        <v>Frank</v>
      </c>
    </row>
    <row r="193" spans="22:25" x14ac:dyDescent="0.2">
      <c r="V193" s="1">
        <f t="shared" ca="1" si="2"/>
        <v>0.43</v>
      </c>
      <c r="W193" s="1" t="e">
        <f ca="1">VLOOKUP(tblDistributionTests[[#This Row],[Rand]]+MIN(tblFairTest[Score]),tblFairTest[],2,TRUE)</f>
        <v>#N/A</v>
      </c>
      <c r="X193" s="1" t="str">
        <f ca="1">VLOOKUP(tblDistributionTests[[#This Row],[Rand]],tblNormalTestVl[],2,TRUE)</f>
        <v>Luke</v>
      </c>
      <c r="Y193" s="11" t="str">
        <f ca="1">INDEX(tblNormalTestIM[],MATCH(tblDistributionTests[[#This Row],[Rand]],tblNormalTestIM[Score],-1),2)</f>
        <v>Riley</v>
      </c>
    </row>
    <row r="194" spans="22:25" x14ac:dyDescent="0.2">
      <c r="V194" s="1">
        <f t="shared" ca="1" si="2"/>
        <v>0.24</v>
      </c>
      <c r="W194" s="1" t="e">
        <f ca="1">VLOOKUP(tblDistributionTests[[#This Row],[Rand]]+MIN(tblFairTest[Score]),tblFairTest[],2,TRUE)</f>
        <v>#N/A</v>
      </c>
      <c r="X194" s="1" t="str">
        <f ca="1">VLOOKUP(tblDistributionTests[[#This Row],[Rand]],tblNormalTestVl[],2,TRUE)</f>
        <v>Luke</v>
      </c>
      <c r="Y194" s="11" t="str">
        <f ca="1">INDEX(tblNormalTestIM[],MATCH(tblDistributionTests[[#This Row],[Rand]],tblNormalTestIM[Score],-1),2)</f>
        <v>Riley</v>
      </c>
    </row>
    <row r="195" spans="22:25" x14ac:dyDescent="0.2">
      <c r="V195" s="1">
        <f t="shared" ca="1" si="2"/>
        <v>0.32</v>
      </c>
      <c r="W195" s="1" t="e">
        <f ca="1">VLOOKUP(tblDistributionTests[[#This Row],[Rand]]+MIN(tblFairTest[Score]),tblFairTest[],2,TRUE)</f>
        <v>#N/A</v>
      </c>
      <c r="X195" s="1" t="str">
        <f ca="1">VLOOKUP(tblDistributionTests[[#This Row],[Rand]],tblNormalTestVl[],2,TRUE)</f>
        <v>Luke</v>
      </c>
      <c r="Y195" s="11" t="str">
        <f ca="1">INDEX(tblNormalTestIM[],MATCH(tblDistributionTests[[#This Row],[Rand]],tblNormalTestIM[Score],-1),2)</f>
        <v>Riley</v>
      </c>
    </row>
    <row r="196" spans="22:25" x14ac:dyDescent="0.2">
      <c r="V196" s="1">
        <f t="shared" ca="1" si="2"/>
        <v>0.13</v>
      </c>
      <c r="W196" s="1" t="e">
        <f ca="1">VLOOKUP(tblDistributionTests[[#This Row],[Rand]]+MIN(tblFairTest[Score]),tblFairTest[],2,TRUE)</f>
        <v>#N/A</v>
      </c>
      <c r="X196" s="1" t="str">
        <f ca="1">VLOOKUP(tblDistributionTests[[#This Row],[Rand]],tblNormalTestVl[],2,TRUE)</f>
        <v>Frank</v>
      </c>
      <c r="Y196" s="11" t="str">
        <f ca="1">INDEX(tblNormalTestIM[],MATCH(tblDistributionTests[[#This Row],[Rand]],tblNormalTestIM[Score],-1),2)</f>
        <v>William</v>
      </c>
    </row>
    <row r="197" spans="22:25" x14ac:dyDescent="0.2">
      <c r="V197" s="1">
        <f t="shared" ca="1" si="2"/>
        <v>0.4</v>
      </c>
      <c r="W197" s="1" t="e">
        <f ca="1">VLOOKUP(tblDistributionTests[[#This Row],[Rand]]+MIN(tblFairTest[Score]),tblFairTest[],2,TRUE)</f>
        <v>#N/A</v>
      </c>
      <c r="X197" s="1" t="str">
        <f ca="1">VLOOKUP(tblDistributionTests[[#This Row],[Rand]],tblNormalTestVl[],2,TRUE)</f>
        <v>Luke</v>
      </c>
      <c r="Y197" s="11" t="str">
        <f ca="1">INDEX(tblNormalTestIM[],MATCH(tblDistributionTests[[#This Row],[Rand]],tblNormalTestIM[Score],-1),2)</f>
        <v>Riley</v>
      </c>
    </row>
    <row r="198" spans="22:25" x14ac:dyDescent="0.2">
      <c r="V198" s="1">
        <f t="shared" ca="1" si="2"/>
        <v>0.9</v>
      </c>
      <c r="W198" s="1" t="str">
        <f ca="1">VLOOKUP(tblDistributionTests[[#This Row],[Rand]]+MIN(tblFairTest[Score]),tblFairTest[],2,TRUE)</f>
        <v>Todd</v>
      </c>
      <c r="X198" s="1" t="str">
        <f ca="1">VLOOKUP(tblDistributionTests[[#This Row],[Rand]],tblNormalTestVl[],2,TRUE)</f>
        <v>William</v>
      </c>
      <c r="Y198" s="11" t="str">
        <f ca="1">INDEX(tblNormalTestIM[],MATCH(tblDistributionTests[[#This Row],[Rand]],tblNormalTestIM[Score],-1),2)</f>
        <v>Frank</v>
      </c>
    </row>
    <row r="199" spans="22:25" x14ac:dyDescent="0.2">
      <c r="V199" s="1">
        <f t="shared" ca="1" si="2"/>
        <v>0.42</v>
      </c>
      <c r="W199" s="1" t="e">
        <f ca="1">VLOOKUP(tblDistributionTests[[#This Row],[Rand]]+MIN(tblFairTest[Score]),tblFairTest[],2,TRUE)</f>
        <v>#N/A</v>
      </c>
      <c r="X199" s="1" t="str">
        <f ca="1">VLOOKUP(tblDistributionTests[[#This Row],[Rand]],tblNormalTestVl[],2,TRUE)</f>
        <v>Luke</v>
      </c>
      <c r="Y199" s="11" t="str">
        <f ca="1">INDEX(tblNormalTestIM[],MATCH(tblDistributionTests[[#This Row],[Rand]],tblNormalTestIM[Score],-1),2)</f>
        <v>Riley</v>
      </c>
    </row>
    <row r="200" spans="22:25" x14ac:dyDescent="0.2">
      <c r="V200" s="1">
        <f t="shared" ref="V200:V263" ca="1" si="3">RANDBETWEEN(1,100)/100</f>
        <v>0.3</v>
      </c>
      <c r="W200" s="1" t="e">
        <f ca="1">VLOOKUP(tblDistributionTests[[#This Row],[Rand]]+MIN(tblFairTest[Score]),tblFairTest[],2,TRUE)</f>
        <v>#N/A</v>
      </c>
      <c r="X200" s="1" t="str">
        <f ca="1">VLOOKUP(tblDistributionTests[[#This Row],[Rand]],tblNormalTestVl[],2,TRUE)</f>
        <v>Luke</v>
      </c>
      <c r="Y200" s="11" t="str">
        <f ca="1">INDEX(tblNormalTestIM[],MATCH(tblDistributionTests[[#This Row],[Rand]],tblNormalTestIM[Score],-1),2)</f>
        <v>Riley</v>
      </c>
    </row>
    <row r="201" spans="22:25" x14ac:dyDescent="0.2">
      <c r="V201" s="1">
        <f t="shared" ca="1" si="3"/>
        <v>0.85</v>
      </c>
      <c r="W201" s="1" t="str">
        <f ca="1">VLOOKUP(tblDistributionTests[[#This Row],[Rand]]+MIN(tblFairTest[Score]),tblFairTest[],2,TRUE)</f>
        <v>Todd</v>
      </c>
      <c r="X201" s="1" t="str">
        <f ca="1">VLOOKUP(tblDistributionTests[[#This Row],[Rand]],tblNormalTestVl[],2,TRUE)</f>
        <v>William</v>
      </c>
      <c r="Y201" s="11" t="str">
        <f ca="1">INDEX(tblNormalTestIM[],MATCH(tblDistributionTests[[#This Row],[Rand]],tblNormalTestIM[Score],-1),2)</f>
        <v>Frank</v>
      </c>
    </row>
    <row r="202" spans="22:25" x14ac:dyDescent="0.2">
      <c r="V202" s="1">
        <f t="shared" ca="1" si="3"/>
        <v>1</v>
      </c>
      <c r="W202" s="1" t="str">
        <f ca="1">VLOOKUP(tblDistributionTests[[#This Row],[Rand]]+MIN(tblFairTest[Score]),tblFairTest[],2,TRUE)</f>
        <v>Todd</v>
      </c>
      <c r="X202" s="1" t="str">
        <f ca="1">VLOOKUP(tblDistributionTests[[#This Row],[Rand]],tblNormalTestVl[],2,TRUE)</f>
        <v>Todd</v>
      </c>
      <c r="Y202" s="11" t="e">
        <f ca="1">INDEX(tblNormalTestIM[],MATCH(tblDistributionTests[[#This Row],[Rand]],tblNormalTestIM[Score],-1),2)</f>
        <v>#N/A</v>
      </c>
    </row>
    <row r="203" spans="22:25" x14ac:dyDescent="0.2">
      <c r="V203" s="1">
        <f t="shared" ca="1" si="3"/>
        <v>0.8</v>
      </c>
      <c r="W203" s="1" t="str">
        <f ca="1">VLOOKUP(tblDistributionTests[[#This Row],[Rand]]+MIN(tblFairTest[Score]),tblFairTest[],2,TRUE)</f>
        <v>Todd</v>
      </c>
      <c r="X203" s="1" t="str">
        <f ca="1">VLOOKUP(tblDistributionTests[[#This Row],[Rand]],tblNormalTestVl[],2,TRUE)</f>
        <v>William</v>
      </c>
      <c r="Y203" s="11" t="str">
        <f ca="1">INDEX(tblNormalTestIM[],MATCH(tblDistributionTests[[#This Row],[Rand]],tblNormalTestIM[Score],-1),2)</f>
        <v>Frank</v>
      </c>
    </row>
    <row r="204" spans="22:25" x14ac:dyDescent="0.2">
      <c r="V204" s="1">
        <f t="shared" ca="1" si="3"/>
        <v>0.47</v>
      </c>
      <c r="W204" s="1" t="e">
        <f ca="1">VLOOKUP(tblDistributionTests[[#This Row],[Rand]]+MIN(tblFairTest[Score]),tblFairTest[],2,TRUE)</f>
        <v>#N/A</v>
      </c>
      <c r="X204" s="1" t="str">
        <f ca="1">VLOOKUP(tblDistributionTests[[#This Row],[Rand]],tblNormalTestVl[],2,TRUE)</f>
        <v>Luke</v>
      </c>
      <c r="Y204" s="11" t="str">
        <f ca="1">INDEX(tblNormalTestIM[],MATCH(tblDistributionTests[[#This Row],[Rand]],tblNormalTestIM[Score],-1),2)</f>
        <v>Riley</v>
      </c>
    </row>
    <row r="205" spans="22:25" x14ac:dyDescent="0.2">
      <c r="V205" s="1">
        <f t="shared" ca="1" si="3"/>
        <v>0.47</v>
      </c>
      <c r="W205" s="1" t="e">
        <f ca="1">VLOOKUP(tblDistributionTests[[#This Row],[Rand]]+MIN(tblFairTest[Score]),tblFairTest[],2,TRUE)</f>
        <v>#N/A</v>
      </c>
      <c r="X205" s="1" t="str">
        <f ca="1">VLOOKUP(tblDistributionTests[[#This Row],[Rand]],tblNormalTestVl[],2,TRUE)</f>
        <v>Luke</v>
      </c>
      <c r="Y205" s="11" t="str">
        <f ca="1">INDEX(tblNormalTestIM[],MATCH(tblDistributionTests[[#This Row],[Rand]],tblNormalTestIM[Score],-1),2)</f>
        <v>Riley</v>
      </c>
    </row>
    <row r="206" spans="22:25" x14ac:dyDescent="0.2">
      <c r="V206" s="1">
        <f t="shared" ca="1" si="3"/>
        <v>0.36</v>
      </c>
      <c r="W206" s="1" t="e">
        <f ca="1">VLOOKUP(tblDistributionTests[[#This Row],[Rand]]+MIN(tblFairTest[Score]),tblFairTest[],2,TRUE)</f>
        <v>#N/A</v>
      </c>
      <c r="X206" s="1" t="str">
        <f ca="1">VLOOKUP(tblDistributionTests[[#This Row],[Rand]],tblNormalTestVl[],2,TRUE)</f>
        <v>Luke</v>
      </c>
      <c r="Y206" s="11" t="str">
        <f ca="1">INDEX(tblNormalTestIM[],MATCH(tblDistributionTests[[#This Row],[Rand]],tblNormalTestIM[Score],-1),2)</f>
        <v>Riley</v>
      </c>
    </row>
    <row r="207" spans="22:25" x14ac:dyDescent="0.2">
      <c r="V207" s="1">
        <f t="shared" ca="1" si="3"/>
        <v>0.96</v>
      </c>
      <c r="W207" s="1" t="str">
        <f ca="1">VLOOKUP(tblDistributionTests[[#This Row],[Rand]]+MIN(tblFairTest[Score]),tblFairTest[],2,TRUE)</f>
        <v>Todd</v>
      </c>
      <c r="X207" s="1" t="str">
        <f ca="1">VLOOKUP(tblDistributionTests[[#This Row],[Rand]],tblNormalTestVl[],2,TRUE)</f>
        <v>Eric</v>
      </c>
      <c r="Y207" s="11" t="str">
        <f ca="1">INDEX(tblNormalTestIM[],MATCH(tblDistributionTests[[#This Row],[Rand]],tblNormalTestIM[Score],-1),2)</f>
        <v>Bill</v>
      </c>
    </row>
    <row r="208" spans="22:25" x14ac:dyDescent="0.2">
      <c r="V208" s="1">
        <f t="shared" ca="1" si="3"/>
        <v>0.26</v>
      </c>
      <c r="W208" s="1" t="e">
        <f ca="1">VLOOKUP(tblDistributionTests[[#This Row],[Rand]]+MIN(tblFairTest[Score]),tblFairTest[],2,TRUE)</f>
        <v>#N/A</v>
      </c>
      <c r="X208" s="1" t="str">
        <f ca="1">VLOOKUP(tblDistributionTests[[#This Row],[Rand]],tblNormalTestVl[],2,TRUE)</f>
        <v>Luke</v>
      </c>
      <c r="Y208" s="11" t="str">
        <f ca="1">INDEX(tblNormalTestIM[],MATCH(tblDistributionTests[[#This Row],[Rand]],tblNormalTestIM[Score],-1),2)</f>
        <v>Riley</v>
      </c>
    </row>
    <row r="209" spans="22:25" x14ac:dyDescent="0.2">
      <c r="V209" s="1">
        <f t="shared" ca="1" si="3"/>
        <v>0.17</v>
      </c>
      <c r="W209" s="1" t="e">
        <f ca="1">VLOOKUP(tblDistributionTests[[#This Row],[Rand]]+MIN(tblFairTest[Score]),tblFairTest[],2,TRUE)</f>
        <v>#N/A</v>
      </c>
      <c r="X209" s="1" t="str">
        <f ca="1">VLOOKUP(tblDistributionTests[[#This Row],[Rand]],tblNormalTestVl[],2,TRUE)</f>
        <v>Frank</v>
      </c>
      <c r="Y209" s="11" t="str">
        <f ca="1">INDEX(tblNormalTestIM[],MATCH(tblDistributionTests[[#This Row],[Rand]],tblNormalTestIM[Score],-1),2)</f>
        <v>William</v>
      </c>
    </row>
    <row r="210" spans="22:25" x14ac:dyDescent="0.2">
      <c r="V210" s="1">
        <f t="shared" ca="1" si="3"/>
        <v>0.26</v>
      </c>
      <c r="W210" s="1" t="e">
        <f ca="1">VLOOKUP(tblDistributionTests[[#This Row],[Rand]]+MIN(tblFairTest[Score]),tblFairTest[],2,TRUE)</f>
        <v>#N/A</v>
      </c>
      <c r="X210" s="1" t="str">
        <f ca="1">VLOOKUP(tblDistributionTests[[#This Row],[Rand]],tblNormalTestVl[],2,TRUE)</f>
        <v>Luke</v>
      </c>
      <c r="Y210" s="11" t="str">
        <f ca="1">INDEX(tblNormalTestIM[],MATCH(tblDistributionTests[[#This Row],[Rand]],tblNormalTestIM[Score],-1),2)</f>
        <v>Riley</v>
      </c>
    </row>
    <row r="211" spans="22:25" x14ac:dyDescent="0.2">
      <c r="V211" s="1">
        <f t="shared" ca="1" si="3"/>
        <v>0.2</v>
      </c>
      <c r="W211" s="1" t="e">
        <f ca="1">VLOOKUP(tblDistributionTests[[#This Row],[Rand]]+MIN(tblFairTest[Score]),tblFairTest[],2,TRUE)</f>
        <v>#N/A</v>
      </c>
      <c r="X211" s="1" t="str">
        <f ca="1">VLOOKUP(tblDistributionTests[[#This Row],[Rand]],tblNormalTestVl[],2,TRUE)</f>
        <v>Frank</v>
      </c>
      <c r="Y211" s="11" t="str">
        <f ca="1">INDEX(tblNormalTestIM[],MATCH(tblDistributionTests[[#This Row],[Rand]],tblNormalTestIM[Score],-1),2)</f>
        <v>William</v>
      </c>
    </row>
    <row r="212" spans="22:25" x14ac:dyDescent="0.2">
      <c r="V212" s="1">
        <f t="shared" ca="1" si="3"/>
        <v>0.13</v>
      </c>
      <c r="W212" s="1" t="e">
        <f ca="1">VLOOKUP(tblDistributionTests[[#This Row],[Rand]]+MIN(tblFairTest[Score]),tblFairTest[],2,TRUE)</f>
        <v>#N/A</v>
      </c>
      <c r="X212" s="1" t="str">
        <f ca="1">VLOOKUP(tblDistributionTests[[#This Row],[Rand]],tblNormalTestVl[],2,TRUE)</f>
        <v>Frank</v>
      </c>
      <c r="Y212" s="11" t="str">
        <f ca="1">INDEX(tblNormalTestIM[],MATCH(tblDistributionTests[[#This Row],[Rand]],tblNormalTestIM[Score],-1),2)</f>
        <v>William</v>
      </c>
    </row>
    <row r="213" spans="22:25" x14ac:dyDescent="0.2">
      <c r="V213" s="1">
        <f t="shared" ca="1" si="3"/>
        <v>0.75</v>
      </c>
      <c r="W213" s="1" t="str">
        <f ca="1">VLOOKUP(tblDistributionTests[[#This Row],[Rand]]+MIN(tblFairTest[Score]),tblFairTest[],2,TRUE)</f>
        <v>Todd</v>
      </c>
      <c r="X213" s="1" t="str">
        <f ca="1">VLOOKUP(tblDistributionTests[[#This Row],[Rand]],tblNormalTestVl[],2,TRUE)</f>
        <v>Riley</v>
      </c>
      <c r="Y213" s="11" t="str">
        <f ca="1">INDEX(tblNormalTestIM[],MATCH(tblDistributionTests[[#This Row],[Rand]],tblNormalTestIM[Score],-1),2)</f>
        <v>Luke</v>
      </c>
    </row>
    <row r="214" spans="22:25" x14ac:dyDescent="0.2">
      <c r="V214" s="1">
        <f t="shared" ca="1" si="3"/>
        <v>0.56000000000000005</v>
      </c>
      <c r="W214" s="1" t="str">
        <f ca="1">VLOOKUP(tblDistributionTests[[#This Row],[Rand]]+MIN(tblFairTest[Score]),tblFairTest[],2,TRUE)</f>
        <v>Todd</v>
      </c>
      <c r="X214" s="1" t="str">
        <f ca="1">VLOOKUP(tblDistributionTests[[#This Row],[Rand]],tblNormalTestVl[],2,TRUE)</f>
        <v>Riley</v>
      </c>
      <c r="Y214" s="11" t="str">
        <f ca="1">INDEX(tblNormalTestIM[],MATCH(tblDistributionTests[[#This Row],[Rand]],tblNormalTestIM[Score],-1),2)</f>
        <v>Luke</v>
      </c>
    </row>
    <row r="215" spans="22:25" x14ac:dyDescent="0.2">
      <c r="V215" s="1">
        <f t="shared" ca="1" si="3"/>
        <v>0.95</v>
      </c>
      <c r="W215" s="1" t="str">
        <f ca="1">VLOOKUP(tblDistributionTests[[#This Row],[Rand]]+MIN(tblFairTest[Score]),tblFairTest[],2,TRUE)</f>
        <v>Todd</v>
      </c>
      <c r="X215" s="1" t="str">
        <f ca="1">VLOOKUP(tblDistributionTests[[#This Row],[Rand]],tblNormalTestVl[],2,TRUE)</f>
        <v>Eric</v>
      </c>
      <c r="Y215" s="11" t="str">
        <f ca="1">INDEX(tblNormalTestIM[],MATCH(tblDistributionTests[[#This Row],[Rand]],tblNormalTestIM[Score],-1),2)</f>
        <v>Bill</v>
      </c>
    </row>
    <row r="216" spans="22:25" x14ac:dyDescent="0.2">
      <c r="V216" s="1">
        <f t="shared" ca="1" si="3"/>
        <v>0.27</v>
      </c>
      <c r="W216" s="1" t="e">
        <f ca="1">VLOOKUP(tblDistributionTests[[#This Row],[Rand]]+MIN(tblFairTest[Score]),tblFairTest[],2,TRUE)</f>
        <v>#N/A</v>
      </c>
      <c r="X216" s="1" t="str">
        <f ca="1">VLOOKUP(tblDistributionTests[[#This Row],[Rand]],tblNormalTestVl[],2,TRUE)</f>
        <v>Luke</v>
      </c>
      <c r="Y216" s="11" t="str">
        <f ca="1">INDEX(tblNormalTestIM[],MATCH(tblDistributionTests[[#This Row],[Rand]],tblNormalTestIM[Score],-1),2)</f>
        <v>Riley</v>
      </c>
    </row>
    <row r="217" spans="22:25" x14ac:dyDescent="0.2">
      <c r="V217" s="1">
        <f t="shared" ca="1" si="3"/>
        <v>1</v>
      </c>
      <c r="W217" s="1" t="str">
        <f ca="1">VLOOKUP(tblDistributionTests[[#This Row],[Rand]]+MIN(tblFairTest[Score]),tblFairTest[],2,TRUE)</f>
        <v>Todd</v>
      </c>
      <c r="X217" s="1" t="str">
        <f ca="1">VLOOKUP(tblDistributionTests[[#This Row],[Rand]],tblNormalTestVl[],2,TRUE)</f>
        <v>Todd</v>
      </c>
      <c r="Y217" s="11" t="e">
        <f ca="1">INDEX(tblNormalTestIM[],MATCH(tblDistributionTests[[#This Row],[Rand]],tblNormalTestIM[Score],-1),2)</f>
        <v>#N/A</v>
      </c>
    </row>
    <row r="218" spans="22:25" x14ac:dyDescent="0.2">
      <c r="V218" s="1">
        <f t="shared" ca="1" si="3"/>
        <v>0.4</v>
      </c>
      <c r="W218" s="1" t="e">
        <f ca="1">VLOOKUP(tblDistributionTests[[#This Row],[Rand]]+MIN(tblFairTest[Score]),tblFairTest[],2,TRUE)</f>
        <v>#N/A</v>
      </c>
      <c r="X218" s="1" t="str">
        <f ca="1">VLOOKUP(tblDistributionTests[[#This Row],[Rand]],tblNormalTestVl[],2,TRUE)</f>
        <v>Luke</v>
      </c>
      <c r="Y218" s="11" t="str">
        <f ca="1">INDEX(tblNormalTestIM[],MATCH(tblDistributionTests[[#This Row],[Rand]],tblNormalTestIM[Score],-1),2)</f>
        <v>Riley</v>
      </c>
    </row>
    <row r="219" spans="22:25" x14ac:dyDescent="0.2">
      <c r="V219" s="1">
        <f t="shared" ca="1" si="3"/>
        <v>0.53</v>
      </c>
      <c r="W219" s="1" t="str">
        <f ca="1">VLOOKUP(tblDistributionTests[[#This Row],[Rand]]+MIN(tblFairTest[Score]),tblFairTest[],2,TRUE)</f>
        <v>Todd</v>
      </c>
      <c r="X219" s="1" t="str">
        <f ca="1">VLOOKUP(tblDistributionTests[[#This Row],[Rand]],tblNormalTestVl[],2,TRUE)</f>
        <v>Riley</v>
      </c>
      <c r="Y219" s="11" t="str">
        <f ca="1">INDEX(tblNormalTestIM[],MATCH(tblDistributionTests[[#This Row],[Rand]],tblNormalTestIM[Score],-1),2)</f>
        <v>Luke</v>
      </c>
    </row>
    <row r="220" spans="22:25" x14ac:dyDescent="0.2">
      <c r="V220" s="1">
        <f t="shared" ca="1" si="3"/>
        <v>0.49</v>
      </c>
      <c r="W220" s="1" t="e">
        <f ca="1">VLOOKUP(tblDistributionTests[[#This Row],[Rand]]+MIN(tblFairTest[Score]),tblFairTest[],2,TRUE)</f>
        <v>#N/A</v>
      </c>
      <c r="X220" s="1" t="str">
        <f ca="1">VLOOKUP(tblDistributionTests[[#This Row],[Rand]],tblNormalTestVl[],2,TRUE)</f>
        <v>Luke</v>
      </c>
      <c r="Y220" s="11" t="str">
        <f ca="1">INDEX(tblNormalTestIM[],MATCH(tblDistributionTests[[#This Row],[Rand]],tblNormalTestIM[Score],-1),2)</f>
        <v>Riley</v>
      </c>
    </row>
    <row r="221" spans="22:25" x14ac:dyDescent="0.2">
      <c r="V221" s="1">
        <f t="shared" ca="1" si="3"/>
        <v>0.41</v>
      </c>
      <c r="W221" s="1" t="e">
        <f ca="1">VLOOKUP(tblDistributionTests[[#This Row],[Rand]]+MIN(tblFairTest[Score]),tblFairTest[],2,TRUE)</f>
        <v>#N/A</v>
      </c>
      <c r="X221" s="1" t="str">
        <f ca="1">VLOOKUP(tblDistributionTests[[#This Row],[Rand]],tblNormalTestVl[],2,TRUE)</f>
        <v>Luke</v>
      </c>
      <c r="Y221" s="11" t="str">
        <f ca="1">INDEX(tblNormalTestIM[],MATCH(tblDistributionTests[[#This Row],[Rand]],tblNormalTestIM[Score],-1),2)</f>
        <v>Riley</v>
      </c>
    </row>
    <row r="222" spans="22:25" x14ac:dyDescent="0.2">
      <c r="V222" s="1">
        <f t="shared" ca="1" si="3"/>
        <v>0.11</v>
      </c>
      <c r="W222" s="1" t="e">
        <f ca="1">VLOOKUP(tblDistributionTests[[#This Row],[Rand]]+MIN(tblFairTest[Score]),tblFairTest[],2,TRUE)</f>
        <v>#N/A</v>
      </c>
      <c r="X222" s="1" t="str">
        <f ca="1">VLOOKUP(tblDistributionTests[[#This Row],[Rand]],tblNormalTestVl[],2,TRUE)</f>
        <v>Frank</v>
      </c>
      <c r="Y222" s="11" t="str">
        <f ca="1">INDEX(tblNormalTestIM[],MATCH(tblDistributionTests[[#This Row],[Rand]],tblNormalTestIM[Score],-1),2)</f>
        <v>William</v>
      </c>
    </row>
    <row r="223" spans="22:25" x14ac:dyDescent="0.2">
      <c r="V223" s="1">
        <f t="shared" ca="1" si="3"/>
        <v>0.85</v>
      </c>
      <c r="W223" s="1" t="str">
        <f ca="1">VLOOKUP(tblDistributionTests[[#This Row],[Rand]]+MIN(tblFairTest[Score]),tblFairTest[],2,TRUE)</f>
        <v>Todd</v>
      </c>
      <c r="X223" s="1" t="str">
        <f ca="1">VLOOKUP(tblDistributionTests[[#This Row],[Rand]],tblNormalTestVl[],2,TRUE)</f>
        <v>William</v>
      </c>
      <c r="Y223" s="11" t="str">
        <f ca="1">INDEX(tblNormalTestIM[],MATCH(tblDistributionTests[[#This Row],[Rand]],tblNormalTestIM[Score],-1),2)</f>
        <v>Frank</v>
      </c>
    </row>
    <row r="224" spans="22:25" x14ac:dyDescent="0.2">
      <c r="V224" s="1">
        <f t="shared" ca="1" si="3"/>
        <v>0.7</v>
      </c>
      <c r="W224" s="1" t="str">
        <f ca="1">VLOOKUP(tblDistributionTests[[#This Row],[Rand]]+MIN(tblFairTest[Score]),tblFairTest[],2,TRUE)</f>
        <v>Todd</v>
      </c>
      <c r="X224" s="1" t="str">
        <f ca="1">VLOOKUP(tblDistributionTests[[#This Row],[Rand]],tblNormalTestVl[],2,TRUE)</f>
        <v>Riley</v>
      </c>
      <c r="Y224" s="11" t="str">
        <f ca="1">INDEX(tblNormalTestIM[],MATCH(tblDistributionTests[[#This Row],[Rand]],tblNormalTestIM[Score],-1),2)</f>
        <v>Luke</v>
      </c>
    </row>
    <row r="225" spans="22:25" x14ac:dyDescent="0.2">
      <c r="V225" s="1">
        <f t="shared" ca="1" si="3"/>
        <v>0.42</v>
      </c>
      <c r="W225" s="1" t="e">
        <f ca="1">VLOOKUP(tblDistributionTests[[#This Row],[Rand]]+MIN(tblFairTest[Score]),tblFairTest[],2,TRUE)</f>
        <v>#N/A</v>
      </c>
      <c r="X225" s="1" t="str">
        <f ca="1">VLOOKUP(tblDistributionTests[[#This Row],[Rand]],tblNormalTestVl[],2,TRUE)</f>
        <v>Luke</v>
      </c>
      <c r="Y225" s="11" t="str">
        <f ca="1">INDEX(tblNormalTestIM[],MATCH(tblDistributionTests[[#This Row],[Rand]],tblNormalTestIM[Score],-1),2)</f>
        <v>Riley</v>
      </c>
    </row>
    <row r="226" spans="22:25" x14ac:dyDescent="0.2">
      <c r="V226" s="1">
        <f t="shared" ca="1" si="3"/>
        <v>0.79</v>
      </c>
      <c r="W226" s="1" t="str">
        <f ca="1">VLOOKUP(tblDistributionTests[[#This Row],[Rand]]+MIN(tblFairTest[Score]),tblFairTest[],2,TRUE)</f>
        <v>Todd</v>
      </c>
      <c r="X226" s="1" t="str">
        <f ca="1">VLOOKUP(tblDistributionTests[[#This Row],[Rand]],tblNormalTestVl[],2,TRUE)</f>
        <v>William</v>
      </c>
      <c r="Y226" s="11" t="str">
        <f ca="1">INDEX(tblNormalTestIM[],MATCH(tblDistributionTests[[#This Row],[Rand]],tblNormalTestIM[Score],-1),2)</f>
        <v>Frank</v>
      </c>
    </row>
    <row r="227" spans="22:25" x14ac:dyDescent="0.2">
      <c r="V227" s="1">
        <f t="shared" ca="1" si="3"/>
        <v>0.76</v>
      </c>
      <c r="W227" s="1" t="str">
        <f ca="1">VLOOKUP(tblDistributionTests[[#This Row],[Rand]]+MIN(tblFairTest[Score]),tblFairTest[],2,TRUE)</f>
        <v>Todd</v>
      </c>
      <c r="X227" s="1" t="str">
        <f ca="1">VLOOKUP(tblDistributionTests[[#This Row],[Rand]],tblNormalTestVl[],2,TRUE)</f>
        <v>Riley</v>
      </c>
      <c r="Y227" s="11" t="str">
        <f ca="1">INDEX(tblNormalTestIM[],MATCH(tblDistributionTests[[#This Row],[Rand]],tblNormalTestIM[Score],-1),2)</f>
        <v>Luke</v>
      </c>
    </row>
    <row r="228" spans="22:25" x14ac:dyDescent="0.2">
      <c r="V228" s="1">
        <f t="shared" ca="1" si="3"/>
        <v>0.88</v>
      </c>
      <c r="W228" s="1" t="str">
        <f ca="1">VLOOKUP(tblDistributionTests[[#This Row],[Rand]]+MIN(tblFairTest[Score]),tblFairTest[],2,TRUE)</f>
        <v>Todd</v>
      </c>
      <c r="X228" s="1" t="str">
        <f ca="1">VLOOKUP(tblDistributionTests[[#This Row],[Rand]],tblNormalTestVl[],2,TRUE)</f>
        <v>William</v>
      </c>
      <c r="Y228" s="11" t="str">
        <f ca="1">INDEX(tblNormalTestIM[],MATCH(tblDistributionTests[[#This Row],[Rand]],tblNormalTestIM[Score],-1),2)</f>
        <v>Frank</v>
      </c>
    </row>
    <row r="229" spans="22:25" x14ac:dyDescent="0.2">
      <c r="V229" s="1">
        <f t="shared" ca="1" si="3"/>
        <v>0.64</v>
      </c>
      <c r="W229" s="1" t="str">
        <f ca="1">VLOOKUP(tblDistributionTests[[#This Row],[Rand]]+MIN(tblFairTest[Score]),tblFairTest[],2,TRUE)</f>
        <v>Todd</v>
      </c>
      <c r="X229" s="1" t="str">
        <f ca="1">VLOOKUP(tblDistributionTests[[#This Row],[Rand]],tblNormalTestVl[],2,TRUE)</f>
        <v>Riley</v>
      </c>
      <c r="Y229" s="11" t="str">
        <f ca="1">INDEX(tblNormalTestIM[],MATCH(tblDistributionTests[[#This Row],[Rand]],tblNormalTestIM[Score],-1),2)</f>
        <v>Luke</v>
      </c>
    </row>
    <row r="230" spans="22:25" x14ac:dyDescent="0.2">
      <c r="V230" s="1">
        <f t="shared" ca="1" si="3"/>
        <v>0.89</v>
      </c>
      <c r="W230" s="1" t="str">
        <f ca="1">VLOOKUP(tblDistributionTests[[#This Row],[Rand]]+MIN(tblFairTest[Score]),tblFairTest[],2,TRUE)</f>
        <v>Todd</v>
      </c>
      <c r="X230" s="1" t="str">
        <f ca="1">VLOOKUP(tblDistributionTests[[#This Row],[Rand]],tblNormalTestVl[],2,TRUE)</f>
        <v>William</v>
      </c>
      <c r="Y230" s="11" t="str">
        <f ca="1">INDEX(tblNormalTestIM[],MATCH(tblDistributionTests[[#This Row],[Rand]],tblNormalTestIM[Score],-1),2)</f>
        <v>Frank</v>
      </c>
    </row>
    <row r="231" spans="22:25" x14ac:dyDescent="0.2">
      <c r="V231" s="1">
        <f t="shared" ca="1" si="3"/>
        <v>0.72</v>
      </c>
      <c r="W231" s="1" t="str">
        <f ca="1">VLOOKUP(tblDistributionTests[[#This Row],[Rand]]+MIN(tblFairTest[Score]),tblFairTest[],2,TRUE)</f>
        <v>Todd</v>
      </c>
      <c r="X231" s="1" t="str">
        <f ca="1">VLOOKUP(tblDistributionTests[[#This Row],[Rand]],tblNormalTestVl[],2,TRUE)</f>
        <v>Riley</v>
      </c>
      <c r="Y231" s="11" t="str">
        <f ca="1">INDEX(tblNormalTestIM[],MATCH(tblDistributionTests[[#This Row],[Rand]],tblNormalTestIM[Score],-1),2)</f>
        <v>Luke</v>
      </c>
    </row>
    <row r="232" spans="22:25" x14ac:dyDescent="0.2">
      <c r="V232" s="1">
        <f t="shared" ca="1" si="3"/>
        <v>1</v>
      </c>
      <c r="W232" s="1" t="str">
        <f ca="1">VLOOKUP(tblDistributionTests[[#This Row],[Rand]]+MIN(tblFairTest[Score]),tblFairTest[],2,TRUE)</f>
        <v>Todd</v>
      </c>
      <c r="X232" s="1" t="str">
        <f ca="1">VLOOKUP(tblDistributionTests[[#This Row],[Rand]],tblNormalTestVl[],2,TRUE)</f>
        <v>Todd</v>
      </c>
      <c r="Y232" s="11" t="e">
        <f ca="1">INDEX(tblNormalTestIM[],MATCH(tblDistributionTests[[#This Row],[Rand]],tblNormalTestIM[Score],-1),2)</f>
        <v>#N/A</v>
      </c>
    </row>
    <row r="233" spans="22:25" x14ac:dyDescent="0.2">
      <c r="V233" s="1">
        <f t="shared" ca="1" si="3"/>
        <v>0.18</v>
      </c>
      <c r="W233" s="1" t="e">
        <f ca="1">VLOOKUP(tblDistributionTests[[#This Row],[Rand]]+MIN(tblFairTest[Score]),tblFairTest[],2,TRUE)</f>
        <v>#N/A</v>
      </c>
      <c r="X233" s="1" t="str">
        <f ca="1">VLOOKUP(tblDistributionTests[[#This Row],[Rand]],tblNormalTestVl[],2,TRUE)</f>
        <v>Frank</v>
      </c>
      <c r="Y233" s="11" t="str">
        <f ca="1">INDEX(tblNormalTestIM[],MATCH(tblDistributionTests[[#This Row],[Rand]],tblNormalTestIM[Score],-1),2)</f>
        <v>William</v>
      </c>
    </row>
    <row r="234" spans="22:25" x14ac:dyDescent="0.2">
      <c r="V234" s="1">
        <f t="shared" ca="1" si="3"/>
        <v>0.05</v>
      </c>
      <c r="W234" s="1" t="e">
        <f ca="1">VLOOKUP(tblDistributionTests[[#This Row],[Rand]]+MIN(tblFairTest[Score]),tblFairTest[],2,TRUE)</f>
        <v>#N/A</v>
      </c>
      <c r="X234" s="1" t="str">
        <f ca="1">VLOOKUP(tblDistributionTests[[#This Row],[Rand]],tblNormalTestVl[],2,TRUE)</f>
        <v>Bill</v>
      </c>
      <c r="Y234" s="11" t="str">
        <f ca="1">INDEX(tblNormalTestIM[],MATCH(tblDistributionTests[[#This Row],[Rand]],tblNormalTestIM[Score],-1),2)</f>
        <v>Eric</v>
      </c>
    </row>
    <row r="235" spans="22:25" x14ac:dyDescent="0.2">
      <c r="V235" s="1">
        <f t="shared" ca="1" si="3"/>
        <v>0.72</v>
      </c>
      <c r="W235" s="1" t="str">
        <f ca="1">VLOOKUP(tblDistributionTests[[#This Row],[Rand]]+MIN(tblFairTest[Score]),tblFairTest[],2,TRUE)</f>
        <v>Todd</v>
      </c>
      <c r="X235" s="1" t="str">
        <f ca="1">VLOOKUP(tblDistributionTests[[#This Row],[Rand]],tblNormalTestVl[],2,TRUE)</f>
        <v>Riley</v>
      </c>
      <c r="Y235" s="11" t="str">
        <f ca="1">INDEX(tblNormalTestIM[],MATCH(tblDistributionTests[[#This Row],[Rand]],tblNormalTestIM[Score],-1),2)</f>
        <v>Luke</v>
      </c>
    </row>
    <row r="236" spans="22:25" x14ac:dyDescent="0.2">
      <c r="V236" s="1">
        <f t="shared" ca="1" si="3"/>
        <v>0.1</v>
      </c>
      <c r="W236" s="1" t="e">
        <f ca="1">VLOOKUP(tblDistributionTests[[#This Row],[Rand]]+MIN(tblFairTest[Score]),tblFairTest[],2,TRUE)</f>
        <v>#N/A</v>
      </c>
      <c r="X236" s="1" t="str">
        <f ca="1">VLOOKUP(tblDistributionTests[[#This Row],[Rand]],tblNormalTestVl[],2,TRUE)</f>
        <v>Frank</v>
      </c>
      <c r="Y236" s="11" t="str">
        <f ca="1">INDEX(tblNormalTestIM[],MATCH(tblDistributionTests[[#This Row],[Rand]],tblNormalTestIM[Score],-1),2)</f>
        <v>William</v>
      </c>
    </row>
    <row r="237" spans="22:25" x14ac:dyDescent="0.2">
      <c r="V237" s="1">
        <f t="shared" ca="1" si="3"/>
        <v>0.98</v>
      </c>
      <c r="W237" s="1" t="str">
        <f ca="1">VLOOKUP(tblDistributionTests[[#This Row],[Rand]]+MIN(tblFairTest[Score]),tblFairTest[],2,TRUE)</f>
        <v>Todd</v>
      </c>
      <c r="X237" s="1" t="str">
        <f ca="1">VLOOKUP(tblDistributionTests[[#This Row],[Rand]],tblNormalTestVl[],2,TRUE)</f>
        <v>Eric</v>
      </c>
      <c r="Y237" s="11" t="str">
        <f ca="1">INDEX(tblNormalTestIM[],MATCH(tblDistributionTests[[#This Row],[Rand]],tblNormalTestIM[Score],-1),2)</f>
        <v>Bill</v>
      </c>
    </row>
    <row r="238" spans="22:25" x14ac:dyDescent="0.2">
      <c r="V238" s="1">
        <f t="shared" ca="1" si="3"/>
        <v>0.15</v>
      </c>
      <c r="W238" s="1" t="e">
        <f ca="1">VLOOKUP(tblDistributionTests[[#This Row],[Rand]]+MIN(tblFairTest[Score]),tblFairTest[],2,TRUE)</f>
        <v>#N/A</v>
      </c>
      <c r="X238" s="1" t="str">
        <f ca="1">VLOOKUP(tblDistributionTests[[#This Row],[Rand]],tblNormalTestVl[],2,TRUE)</f>
        <v>Frank</v>
      </c>
      <c r="Y238" s="11" t="str">
        <f ca="1">INDEX(tblNormalTestIM[],MATCH(tblDistributionTests[[#This Row],[Rand]],tblNormalTestIM[Score],-1),2)</f>
        <v>William</v>
      </c>
    </row>
    <row r="239" spans="22:25" x14ac:dyDescent="0.2">
      <c r="V239" s="1">
        <f t="shared" ca="1" si="3"/>
        <v>0.35</v>
      </c>
      <c r="W239" s="1" t="e">
        <f ca="1">VLOOKUP(tblDistributionTests[[#This Row],[Rand]]+MIN(tblFairTest[Score]),tblFairTest[],2,TRUE)</f>
        <v>#N/A</v>
      </c>
      <c r="X239" s="1" t="str">
        <f ca="1">VLOOKUP(tblDistributionTests[[#This Row],[Rand]],tblNormalTestVl[],2,TRUE)</f>
        <v>Luke</v>
      </c>
      <c r="Y239" s="11" t="str">
        <f ca="1">INDEX(tblNormalTestIM[],MATCH(tblDistributionTests[[#This Row],[Rand]],tblNormalTestIM[Score],-1),2)</f>
        <v>Riley</v>
      </c>
    </row>
    <row r="240" spans="22:25" x14ac:dyDescent="0.2">
      <c r="V240" s="1">
        <f t="shared" ca="1" si="3"/>
        <v>0.63</v>
      </c>
      <c r="W240" s="1" t="str">
        <f ca="1">VLOOKUP(tblDistributionTests[[#This Row],[Rand]]+MIN(tblFairTest[Score]),tblFairTest[],2,TRUE)</f>
        <v>Todd</v>
      </c>
      <c r="X240" s="1" t="str">
        <f ca="1">VLOOKUP(tblDistributionTests[[#This Row],[Rand]],tblNormalTestVl[],2,TRUE)</f>
        <v>Riley</v>
      </c>
      <c r="Y240" s="11" t="str">
        <f ca="1">INDEX(tblNormalTestIM[],MATCH(tblDistributionTests[[#This Row],[Rand]],tblNormalTestIM[Score],-1),2)</f>
        <v>Luke</v>
      </c>
    </row>
    <row r="241" spans="22:25" x14ac:dyDescent="0.2">
      <c r="V241" s="1">
        <f t="shared" ca="1" si="3"/>
        <v>0.95</v>
      </c>
      <c r="W241" s="1" t="str">
        <f ca="1">VLOOKUP(tblDistributionTests[[#This Row],[Rand]]+MIN(tblFairTest[Score]),tblFairTest[],2,TRUE)</f>
        <v>Todd</v>
      </c>
      <c r="X241" s="1" t="str">
        <f ca="1">VLOOKUP(tblDistributionTests[[#This Row],[Rand]],tblNormalTestVl[],2,TRUE)</f>
        <v>Eric</v>
      </c>
      <c r="Y241" s="11" t="str">
        <f ca="1">INDEX(tblNormalTestIM[],MATCH(tblDistributionTests[[#This Row],[Rand]],tblNormalTestIM[Score],-1),2)</f>
        <v>Bill</v>
      </c>
    </row>
    <row r="242" spans="22:25" x14ac:dyDescent="0.2">
      <c r="V242" s="1">
        <f t="shared" ca="1" si="3"/>
        <v>0.55000000000000004</v>
      </c>
      <c r="W242" s="1" t="str">
        <f ca="1">VLOOKUP(tblDistributionTests[[#This Row],[Rand]]+MIN(tblFairTest[Score]),tblFairTest[],2,TRUE)</f>
        <v>Todd</v>
      </c>
      <c r="X242" s="1" t="str">
        <f ca="1">VLOOKUP(tblDistributionTests[[#This Row],[Rand]],tblNormalTestVl[],2,TRUE)</f>
        <v>Riley</v>
      </c>
      <c r="Y242" s="11" t="str">
        <f ca="1">INDEX(tblNormalTestIM[],MATCH(tblDistributionTests[[#This Row],[Rand]],tblNormalTestIM[Score],-1),2)</f>
        <v>Luke</v>
      </c>
    </row>
    <row r="243" spans="22:25" x14ac:dyDescent="0.2">
      <c r="V243" s="1">
        <f t="shared" ca="1" si="3"/>
        <v>0.26</v>
      </c>
      <c r="W243" s="1" t="e">
        <f ca="1">VLOOKUP(tblDistributionTests[[#This Row],[Rand]]+MIN(tblFairTest[Score]),tblFairTest[],2,TRUE)</f>
        <v>#N/A</v>
      </c>
      <c r="X243" s="1" t="str">
        <f ca="1">VLOOKUP(tblDistributionTests[[#This Row],[Rand]],tblNormalTestVl[],2,TRUE)</f>
        <v>Luke</v>
      </c>
      <c r="Y243" s="11" t="str">
        <f ca="1">INDEX(tblNormalTestIM[],MATCH(tblDistributionTests[[#This Row],[Rand]],tblNormalTestIM[Score],-1),2)</f>
        <v>Riley</v>
      </c>
    </row>
    <row r="244" spans="22:25" x14ac:dyDescent="0.2">
      <c r="V244" s="1">
        <f t="shared" ca="1" si="3"/>
        <v>1</v>
      </c>
      <c r="W244" s="1" t="str">
        <f ca="1">VLOOKUP(tblDistributionTests[[#This Row],[Rand]]+MIN(tblFairTest[Score]),tblFairTest[],2,TRUE)</f>
        <v>Todd</v>
      </c>
      <c r="X244" s="1" t="str">
        <f ca="1">VLOOKUP(tblDistributionTests[[#This Row],[Rand]],tblNormalTestVl[],2,TRUE)</f>
        <v>Todd</v>
      </c>
      <c r="Y244" s="11" t="e">
        <f ca="1">INDEX(tblNormalTestIM[],MATCH(tblDistributionTests[[#This Row],[Rand]],tblNormalTestIM[Score],-1),2)</f>
        <v>#N/A</v>
      </c>
    </row>
    <row r="245" spans="22:25" x14ac:dyDescent="0.2">
      <c r="V245" s="1">
        <f t="shared" ca="1" si="3"/>
        <v>0.45</v>
      </c>
      <c r="W245" s="1" t="e">
        <f ca="1">VLOOKUP(tblDistributionTests[[#This Row],[Rand]]+MIN(tblFairTest[Score]),tblFairTest[],2,TRUE)</f>
        <v>#N/A</v>
      </c>
      <c r="X245" s="1" t="str">
        <f ca="1">VLOOKUP(tblDistributionTests[[#This Row],[Rand]],tblNormalTestVl[],2,TRUE)</f>
        <v>Luke</v>
      </c>
      <c r="Y245" s="11" t="str">
        <f ca="1">INDEX(tblNormalTestIM[],MATCH(tblDistributionTests[[#This Row],[Rand]],tblNormalTestIM[Score],-1),2)</f>
        <v>Riley</v>
      </c>
    </row>
    <row r="246" spans="22:25" x14ac:dyDescent="0.2">
      <c r="V246" s="1">
        <f t="shared" ca="1" si="3"/>
        <v>0.83</v>
      </c>
      <c r="W246" s="1" t="str">
        <f ca="1">VLOOKUP(tblDistributionTests[[#This Row],[Rand]]+MIN(tblFairTest[Score]),tblFairTest[],2,TRUE)</f>
        <v>Todd</v>
      </c>
      <c r="X246" s="1" t="str">
        <f ca="1">VLOOKUP(tblDistributionTests[[#This Row],[Rand]],tblNormalTestVl[],2,TRUE)</f>
        <v>William</v>
      </c>
      <c r="Y246" s="11" t="str">
        <f ca="1">INDEX(tblNormalTestIM[],MATCH(tblDistributionTests[[#This Row],[Rand]],tblNormalTestIM[Score],-1),2)</f>
        <v>Frank</v>
      </c>
    </row>
    <row r="247" spans="22:25" x14ac:dyDescent="0.2">
      <c r="V247" s="1">
        <f t="shared" ca="1" si="3"/>
        <v>0.03</v>
      </c>
      <c r="W247" s="1" t="e">
        <f ca="1">VLOOKUP(tblDistributionTests[[#This Row],[Rand]]+MIN(tblFairTest[Score]),tblFairTest[],2,TRUE)</f>
        <v>#N/A</v>
      </c>
      <c r="X247" s="1" t="str">
        <f ca="1">VLOOKUP(tblDistributionTests[[#This Row],[Rand]],tblNormalTestVl[],2,TRUE)</f>
        <v>Bill</v>
      </c>
      <c r="Y247" s="11" t="str">
        <f ca="1">INDEX(tblNormalTestIM[],MATCH(tblDistributionTests[[#This Row],[Rand]],tblNormalTestIM[Score],-1),2)</f>
        <v>Eric</v>
      </c>
    </row>
    <row r="248" spans="22:25" x14ac:dyDescent="0.2">
      <c r="V248" s="1">
        <f t="shared" ca="1" si="3"/>
        <v>0.14000000000000001</v>
      </c>
      <c r="W248" s="1" t="e">
        <f ca="1">VLOOKUP(tblDistributionTests[[#This Row],[Rand]]+MIN(tblFairTest[Score]),tblFairTest[],2,TRUE)</f>
        <v>#N/A</v>
      </c>
      <c r="X248" s="1" t="str">
        <f ca="1">VLOOKUP(tblDistributionTests[[#This Row],[Rand]],tblNormalTestVl[],2,TRUE)</f>
        <v>Frank</v>
      </c>
      <c r="Y248" s="11" t="str">
        <f ca="1">INDEX(tblNormalTestIM[],MATCH(tblDistributionTests[[#This Row],[Rand]],tblNormalTestIM[Score],-1),2)</f>
        <v>William</v>
      </c>
    </row>
    <row r="249" spans="22:25" x14ac:dyDescent="0.2">
      <c r="V249" s="1">
        <f t="shared" ca="1" si="3"/>
        <v>0.71</v>
      </c>
      <c r="W249" s="1" t="str">
        <f ca="1">VLOOKUP(tblDistributionTests[[#This Row],[Rand]]+MIN(tblFairTest[Score]),tblFairTest[],2,TRUE)</f>
        <v>Todd</v>
      </c>
      <c r="X249" s="1" t="str">
        <f ca="1">VLOOKUP(tblDistributionTests[[#This Row],[Rand]],tblNormalTestVl[],2,TRUE)</f>
        <v>Riley</v>
      </c>
      <c r="Y249" s="11" t="str">
        <f ca="1">INDEX(tblNormalTestIM[],MATCH(tblDistributionTests[[#This Row],[Rand]],tblNormalTestIM[Score],-1),2)</f>
        <v>Luke</v>
      </c>
    </row>
    <row r="250" spans="22:25" x14ac:dyDescent="0.2">
      <c r="V250" s="1">
        <f t="shared" ca="1" si="3"/>
        <v>0.52</v>
      </c>
      <c r="W250" s="1" t="str">
        <f ca="1">VLOOKUP(tblDistributionTests[[#This Row],[Rand]]+MIN(tblFairTest[Score]),tblFairTest[],2,TRUE)</f>
        <v>Todd</v>
      </c>
      <c r="X250" s="1" t="str">
        <f ca="1">VLOOKUP(tblDistributionTests[[#This Row],[Rand]],tblNormalTestVl[],2,TRUE)</f>
        <v>Riley</v>
      </c>
      <c r="Y250" s="11" t="str">
        <f ca="1">INDEX(tblNormalTestIM[],MATCH(tblDistributionTests[[#This Row],[Rand]],tblNormalTestIM[Score],-1),2)</f>
        <v>Luke</v>
      </c>
    </row>
    <row r="251" spans="22:25" x14ac:dyDescent="0.2">
      <c r="V251" s="1">
        <f t="shared" ca="1" si="3"/>
        <v>0.01</v>
      </c>
      <c r="W251" s="1" t="e">
        <f ca="1">VLOOKUP(tblDistributionTests[[#This Row],[Rand]]+MIN(tblFairTest[Score]),tblFairTest[],2,TRUE)</f>
        <v>#N/A</v>
      </c>
      <c r="X251" s="1" t="e">
        <f ca="1">VLOOKUP(tblDistributionTests[[#This Row],[Rand]],tblNormalTestVl[],2,TRUE)</f>
        <v>#N/A</v>
      </c>
      <c r="Y251" s="11" t="str">
        <f ca="1">INDEX(tblNormalTestIM[],MATCH(tblDistributionTests[[#This Row],[Rand]],tblNormalTestIM[Score],-1),2)</f>
        <v>Chuck</v>
      </c>
    </row>
    <row r="252" spans="22:25" x14ac:dyDescent="0.2">
      <c r="V252" s="1">
        <f t="shared" ca="1" si="3"/>
        <v>0.63</v>
      </c>
      <c r="W252" s="1" t="str">
        <f ca="1">VLOOKUP(tblDistributionTests[[#This Row],[Rand]]+MIN(tblFairTest[Score]),tblFairTest[],2,TRUE)</f>
        <v>Todd</v>
      </c>
      <c r="X252" s="1" t="str">
        <f ca="1">VLOOKUP(tblDistributionTests[[#This Row],[Rand]],tblNormalTestVl[],2,TRUE)</f>
        <v>Riley</v>
      </c>
      <c r="Y252" s="11" t="str">
        <f ca="1">INDEX(tblNormalTestIM[],MATCH(tblDistributionTests[[#This Row],[Rand]],tblNormalTestIM[Score],-1),2)</f>
        <v>Luke</v>
      </c>
    </row>
    <row r="253" spans="22:25" x14ac:dyDescent="0.2">
      <c r="V253" s="1">
        <f t="shared" ca="1" si="3"/>
        <v>0.82</v>
      </c>
      <c r="W253" s="1" t="str">
        <f ca="1">VLOOKUP(tblDistributionTests[[#This Row],[Rand]]+MIN(tblFairTest[Score]),tblFairTest[],2,TRUE)</f>
        <v>Todd</v>
      </c>
      <c r="X253" s="1" t="str">
        <f ca="1">VLOOKUP(tblDistributionTests[[#This Row],[Rand]],tblNormalTestVl[],2,TRUE)</f>
        <v>William</v>
      </c>
      <c r="Y253" s="11" t="str">
        <f ca="1">INDEX(tblNormalTestIM[],MATCH(tblDistributionTests[[#This Row],[Rand]],tblNormalTestIM[Score],-1),2)</f>
        <v>Frank</v>
      </c>
    </row>
    <row r="254" spans="22:25" x14ac:dyDescent="0.2">
      <c r="V254" s="1">
        <f t="shared" ca="1" si="3"/>
        <v>0.98</v>
      </c>
      <c r="W254" s="1" t="str">
        <f ca="1">VLOOKUP(tblDistributionTests[[#This Row],[Rand]]+MIN(tblFairTest[Score]),tblFairTest[],2,TRUE)</f>
        <v>Todd</v>
      </c>
      <c r="X254" s="1" t="str">
        <f ca="1">VLOOKUP(tblDistributionTests[[#This Row],[Rand]],tblNormalTestVl[],2,TRUE)</f>
        <v>Eric</v>
      </c>
      <c r="Y254" s="11" t="str">
        <f ca="1">INDEX(tblNormalTestIM[],MATCH(tblDistributionTests[[#This Row],[Rand]],tblNormalTestIM[Score],-1),2)</f>
        <v>Bill</v>
      </c>
    </row>
    <row r="255" spans="22:25" x14ac:dyDescent="0.2">
      <c r="V255" s="1">
        <f t="shared" ca="1" si="3"/>
        <v>0.91</v>
      </c>
      <c r="W255" s="1" t="str">
        <f ca="1">VLOOKUP(tblDistributionTests[[#This Row],[Rand]]+MIN(tblFairTest[Score]),tblFairTest[],2,TRUE)</f>
        <v>Todd</v>
      </c>
      <c r="X255" s="1" t="str">
        <f ca="1">VLOOKUP(tblDistributionTests[[#This Row],[Rand]],tblNormalTestVl[],2,TRUE)</f>
        <v>William</v>
      </c>
      <c r="Y255" s="11" t="str">
        <f ca="1">INDEX(tblNormalTestIM[],MATCH(tblDistributionTests[[#This Row],[Rand]],tblNormalTestIM[Score],-1),2)</f>
        <v>Frank</v>
      </c>
    </row>
    <row r="256" spans="22:25" x14ac:dyDescent="0.2">
      <c r="V256" s="1">
        <f t="shared" ca="1" si="3"/>
        <v>0.38</v>
      </c>
      <c r="W256" s="1" t="e">
        <f ca="1">VLOOKUP(tblDistributionTests[[#This Row],[Rand]]+MIN(tblFairTest[Score]),tblFairTest[],2,TRUE)</f>
        <v>#N/A</v>
      </c>
      <c r="X256" s="1" t="str">
        <f ca="1">VLOOKUP(tblDistributionTests[[#This Row],[Rand]],tblNormalTestVl[],2,TRUE)</f>
        <v>Luke</v>
      </c>
      <c r="Y256" s="11" t="str">
        <f ca="1">INDEX(tblNormalTestIM[],MATCH(tblDistributionTests[[#This Row],[Rand]],tblNormalTestIM[Score],-1),2)</f>
        <v>Riley</v>
      </c>
    </row>
    <row r="257" spans="22:25" x14ac:dyDescent="0.2">
      <c r="V257" s="1">
        <f t="shared" ca="1" si="3"/>
        <v>0.71</v>
      </c>
      <c r="W257" s="1" t="str">
        <f ca="1">VLOOKUP(tblDistributionTests[[#This Row],[Rand]]+MIN(tblFairTest[Score]),tblFairTest[],2,TRUE)</f>
        <v>Todd</v>
      </c>
      <c r="X257" s="1" t="str">
        <f ca="1">VLOOKUP(tblDistributionTests[[#This Row],[Rand]],tblNormalTestVl[],2,TRUE)</f>
        <v>Riley</v>
      </c>
      <c r="Y257" s="11" t="str">
        <f ca="1">INDEX(tblNormalTestIM[],MATCH(tblDistributionTests[[#This Row],[Rand]],tblNormalTestIM[Score],-1),2)</f>
        <v>Luke</v>
      </c>
    </row>
    <row r="258" spans="22:25" x14ac:dyDescent="0.2">
      <c r="V258" s="1">
        <f t="shared" ca="1" si="3"/>
        <v>0.18</v>
      </c>
      <c r="W258" s="1" t="e">
        <f ca="1">VLOOKUP(tblDistributionTests[[#This Row],[Rand]]+MIN(tblFairTest[Score]),tblFairTest[],2,TRUE)</f>
        <v>#N/A</v>
      </c>
      <c r="X258" s="1" t="str">
        <f ca="1">VLOOKUP(tblDistributionTests[[#This Row],[Rand]],tblNormalTestVl[],2,TRUE)</f>
        <v>Frank</v>
      </c>
      <c r="Y258" s="11" t="str">
        <f ca="1">INDEX(tblNormalTestIM[],MATCH(tblDistributionTests[[#This Row],[Rand]],tblNormalTestIM[Score],-1),2)</f>
        <v>William</v>
      </c>
    </row>
    <row r="259" spans="22:25" x14ac:dyDescent="0.2">
      <c r="V259" s="1">
        <f t="shared" ca="1" si="3"/>
        <v>0.97</v>
      </c>
      <c r="W259" s="1" t="str">
        <f ca="1">VLOOKUP(tblDistributionTests[[#This Row],[Rand]]+MIN(tblFairTest[Score]),tblFairTest[],2,TRUE)</f>
        <v>Todd</v>
      </c>
      <c r="X259" s="1" t="str">
        <f ca="1">VLOOKUP(tblDistributionTests[[#This Row],[Rand]],tblNormalTestVl[],2,TRUE)</f>
        <v>Eric</v>
      </c>
      <c r="Y259" s="11" t="str">
        <f ca="1">INDEX(tblNormalTestIM[],MATCH(tblDistributionTests[[#This Row],[Rand]],tblNormalTestIM[Score],-1),2)</f>
        <v>Bill</v>
      </c>
    </row>
    <row r="260" spans="22:25" x14ac:dyDescent="0.2">
      <c r="V260" s="1">
        <f t="shared" ca="1" si="3"/>
        <v>0.15</v>
      </c>
      <c r="W260" s="1" t="e">
        <f ca="1">VLOOKUP(tblDistributionTests[[#This Row],[Rand]]+MIN(tblFairTest[Score]),tblFairTest[],2,TRUE)</f>
        <v>#N/A</v>
      </c>
      <c r="X260" s="1" t="str">
        <f ca="1">VLOOKUP(tblDistributionTests[[#This Row],[Rand]],tblNormalTestVl[],2,TRUE)</f>
        <v>Frank</v>
      </c>
      <c r="Y260" s="11" t="str">
        <f ca="1">INDEX(tblNormalTestIM[],MATCH(tblDistributionTests[[#This Row],[Rand]],tblNormalTestIM[Score],-1),2)</f>
        <v>William</v>
      </c>
    </row>
    <row r="261" spans="22:25" x14ac:dyDescent="0.2">
      <c r="V261" s="1">
        <f t="shared" ca="1" si="3"/>
        <v>0.37</v>
      </c>
      <c r="W261" s="1" t="e">
        <f ca="1">VLOOKUP(tblDistributionTests[[#This Row],[Rand]]+MIN(tblFairTest[Score]),tblFairTest[],2,TRUE)</f>
        <v>#N/A</v>
      </c>
      <c r="X261" s="1" t="str">
        <f ca="1">VLOOKUP(tblDistributionTests[[#This Row],[Rand]],tblNormalTestVl[],2,TRUE)</f>
        <v>Luke</v>
      </c>
      <c r="Y261" s="11" t="str">
        <f ca="1">INDEX(tblNormalTestIM[],MATCH(tblDistributionTests[[#This Row],[Rand]],tblNormalTestIM[Score],-1),2)</f>
        <v>Riley</v>
      </c>
    </row>
    <row r="262" spans="22:25" x14ac:dyDescent="0.2">
      <c r="V262" s="1">
        <f t="shared" ca="1" si="3"/>
        <v>0.96</v>
      </c>
      <c r="W262" s="1" t="str">
        <f ca="1">VLOOKUP(tblDistributionTests[[#This Row],[Rand]]+MIN(tblFairTest[Score]),tblFairTest[],2,TRUE)</f>
        <v>Todd</v>
      </c>
      <c r="X262" s="1" t="str">
        <f ca="1">VLOOKUP(tblDistributionTests[[#This Row],[Rand]],tblNormalTestVl[],2,TRUE)</f>
        <v>Eric</v>
      </c>
      <c r="Y262" s="11" t="str">
        <f ca="1">INDEX(tblNormalTestIM[],MATCH(tblDistributionTests[[#This Row],[Rand]],tblNormalTestIM[Score],-1),2)</f>
        <v>Bill</v>
      </c>
    </row>
    <row r="263" spans="22:25" x14ac:dyDescent="0.2">
      <c r="V263" s="1">
        <f t="shared" ca="1" si="3"/>
        <v>0.21</v>
      </c>
      <c r="W263" s="1" t="e">
        <f ca="1">VLOOKUP(tblDistributionTests[[#This Row],[Rand]]+MIN(tblFairTest[Score]),tblFairTest[],2,TRUE)</f>
        <v>#N/A</v>
      </c>
      <c r="X263" s="1" t="str">
        <f ca="1">VLOOKUP(tblDistributionTests[[#This Row],[Rand]],tblNormalTestVl[],2,TRUE)</f>
        <v>Frank</v>
      </c>
      <c r="Y263" s="11" t="str">
        <f ca="1">INDEX(tblNormalTestIM[],MATCH(tblDistributionTests[[#This Row],[Rand]],tblNormalTestIM[Score],-1),2)</f>
        <v>William</v>
      </c>
    </row>
    <row r="264" spans="22:25" x14ac:dyDescent="0.2">
      <c r="V264" s="1">
        <f t="shared" ref="V264:V327" ca="1" si="4">RANDBETWEEN(1,100)/100</f>
        <v>0.04</v>
      </c>
      <c r="W264" s="1" t="e">
        <f ca="1">VLOOKUP(tblDistributionTests[[#This Row],[Rand]]+MIN(tblFairTest[Score]),tblFairTest[],2,TRUE)</f>
        <v>#N/A</v>
      </c>
      <c r="X264" s="1" t="str">
        <f ca="1">VLOOKUP(tblDistributionTests[[#This Row],[Rand]],tblNormalTestVl[],2,TRUE)</f>
        <v>Bill</v>
      </c>
      <c r="Y264" s="11" t="str">
        <f ca="1">INDEX(tblNormalTestIM[],MATCH(tblDistributionTests[[#This Row],[Rand]],tblNormalTestIM[Score],-1),2)</f>
        <v>Eric</v>
      </c>
    </row>
    <row r="265" spans="22:25" x14ac:dyDescent="0.2">
      <c r="V265" s="1">
        <f t="shared" ca="1" si="4"/>
        <v>0.9</v>
      </c>
      <c r="W265" s="1" t="str">
        <f ca="1">VLOOKUP(tblDistributionTests[[#This Row],[Rand]]+MIN(tblFairTest[Score]),tblFairTest[],2,TRUE)</f>
        <v>Todd</v>
      </c>
      <c r="X265" s="1" t="str">
        <f ca="1">VLOOKUP(tblDistributionTests[[#This Row],[Rand]],tblNormalTestVl[],2,TRUE)</f>
        <v>William</v>
      </c>
      <c r="Y265" s="11" t="str">
        <f ca="1">INDEX(tblNormalTestIM[],MATCH(tblDistributionTests[[#This Row],[Rand]],tblNormalTestIM[Score],-1),2)</f>
        <v>Frank</v>
      </c>
    </row>
    <row r="266" spans="22:25" x14ac:dyDescent="0.2">
      <c r="V266" s="1">
        <f t="shared" ca="1" si="4"/>
        <v>0.65</v>
      </c>
      <c r="W266" s="1" t="str">
        <f ca="1">VLOOKUP(tblDistributionTests[[#This Row],[Rand]]+MIN(tblFairTest[Score]),tblFairTest[],2,TRUE)</f>
        <v>Todd</v>
      </c>
      <c r="X266" s="1" t="str">
        <f ca="1">VLOOKUP(tblDistributionTests[[#This Row],[Rand]],tblNormalTestVl[],2,TRUE)</f>
        <v>Riley</v>
      </c>
      <c r="Y266" s="11" t="str">
        <f ca="1">INDEX(tblNormalTestIM[],MATCH(tblDistributionTests[[#This Row],[Rand]],tblNormalTestIM[Score],-1),2)</f>
        <v>Luke</v>
      </c>
    </row>
    <row r="267" spans="22:25" x14ac:dyDescent="0.2">
      <c r="V267" s="1">
        <f t="shared" ca="1" si="4"/>
        <v>0.38</v>
      </c>
      <c r="W267" s="1" t="e">
        <f ca="1">VLOOKUP(tblDistributionTests[[#This Row],[Rand]]+MIN(tblFairTest[Score]),tblFairTest[],2,TRUE)</f>
        <v>#N/A</v>
      </c>
      <c r="X267" s="1" t="str">
        <f ca="1">VLOOKUP(tblDistributionTests[[#This Row],[Rand]],tblNormalTestVl[],2,TRUE)</f>
        <v>Luke</v>
      </c>
      <c r="Y267" s="11" t="str">
        <f ca="1">INDEX(tblNormalTestIM[],MATCH(tblDistributionTests[[#This Row],[Rand]],tblNormalTestIM[Score],-1),2)</f>
        <v>Riley</v>
      </c>
    </row>
    <row r="268" spans="22:25" x14ac:dyDescent="0.2">
      <c r="V268" s="1">
        <f t="shared" ca="1" si="4"/>
        <v>0.61</v>
      </c>
      <c r="W268" s="1" t="str">
        <f ca="1">VLOOKUP(tblDistributionTests[[#This Row],[Rand]]+MIN(tblFairTest[Score]),tblFairTest[],2,TRUE)</f>
        <v>Todd</v>
      </c>
      <c r="X268" s="1" t="str">
        <f ca="1">VLOOKUP(tblDistributionTests[[#This Row],[Rand]],tblNormalTestVl[],2,TRUE)</f>
        <v>Riley</v>
      </c>
      <c r="Y268" s="11" t="str">
        <f ca="1">INDEX(tblNormalTestIM[],MATCH(tblDistributionTests[[#This Row],[Rand]],tblNormalTestIM[Score],-1),2)</f>
        <v>Luke</v>
      </c>
    </row>
    <row r="269" spans="22:25" x14ac:dyDescent="0.2">
      <c r="V269" s="1">
        <f t="shared" ca="1" si="4"/>
        <v>0.43</v>
      </c>
      <c r="W269" s="1" t="e">
        <f ca="1">VLOOKUP(tblDistributionTests[[#This Row],[Rand]]+MIN(tblFairTest[Score]),tblFairTest[],2,TRUE)</f>
        <v>#N/A</v>
      </c>
      <c r="X269" s="1" t="str">
        <f ca="1">VLOOKUP(tblDistributionTests[[#This Row],[Rand]],tblNormalTestVl[],2,TRUE)</f>
        <v>Luke</v>
      </c>
      <c r="Y269" s="11" t="str">
        <f ca="1">INDEX(tblNormalTestIM[],MATCH(tblDistributionTests[[#This Row],[Rand]],tblNormalTestIM[Score],-1),2)</f>
        <v>Riley</v>
      </c>
    </row>
    <row r="270" spans="22:25" x14ac:dyDescent="0.2">
      <c r="V270" s="1">
        <f t="shared" ca="1" si="4"/>
        <v>0.94</v>
      </c>
      <c r="W270" s="1" t="str">
        <f ca="1">VLOOKUP(tblDistributionTests[[#This Row],[Rand]]+MIN(tblFairTest[Score]),tblFairTest[],2,TRUE)</f>
        <v>Todd</v>
      </c>
      <c r="X270" s="1" t="str">
        <f ca="1">VLOOKUP(tblDistributionTests[[#This Row],[Rand]],tblNormalTestVl[],2,TRUE)</f>
        <v>Eric</v>
      </c>
      <c r="Y270" s="11" t="str">
        <f ca="1">INDEX(tblNormalTestIM[],MATCH(tblDistributionTests[[#This Row],[Rand]],tblNormalTestIM[Score],-1),2)</f>
        <v>Bill</v>
      </c>
    </row>
    <row r="271" spans="22:25" x14ac:dyDescent="0.2">
      <c r="V271" s="1">
        <f t="shared" ca="1" si="4"/>
        <v>0.63</v>
      </c>
      <c r="W271" s="1" t="str">
        <f ca="1">VLOOKUP(tblDistributionTests[[#This Row],[Rand]]+MIN(tblFairTest[Score]),tblFairTest[],2,TRUE)</f>
        <v>Todd</v>
      </c>
      <c r="X271" s="1" t="str">
        <f ca="1">VLOOKUP(tblDistributionTests[[#This Row],[Rand]],tblNormalTestVl[],2,TRUE)</f>
        <v>Riley</v>
      </c>
      <c r="Y271" s="11" t="str">
        <f ca="1">INDEX(tblNormalTestIM[],MATCH(tblDistributionTests[[#This Row],[Rand]],tblNormalTestIM[Score],-1),2)</f>
        <v>Luke</v>
      </c>
    </row>
    <row r="272" spans="22:25" x14ac:dyDescent="0.2">
      <c r="V272" s="1">
        <f t="shared" ca="1" si="4"/>
        <v>0.68</v>
      </c>
      <c r="W272" s="1" t="str">
        <f ca="1">VLOOKUP(tblDistributionTests[[#This Row],[Rand]]+MIN(tblFairTest[Score]),tblFairTest[],2,TRUE)</f>
        <v>Todd</v>
      </c>
      <c r="X272" s="1" t="str">
        <f ca="1">VLOOKUP(tblDistributionTests[[#This Row],[Rand]],tblNormalTestVl[],2,TRUE)</f>
        <v>Riley</v>
      </c>
      <c r="Y272" s="11" t="str">
        <f ca="1">INDEX(tblNormalTestIM[],MATCH(tblDistributionTests[[#This Row],[Rand]],tblNormalTestIM[Score],-1),2)</f>
        <v>Luke</v>
      </c>
    </row>
    <row r="273" spans="22:25" x14ac:dyDescent="0.2">
      <c r="V273" s="1">
        <f t="shared" ca="1" si="4"/>
        <v>0.23</v>
      </c>
      <c r="W273" s="1" t="e">
        <f ca="1">VLOOKUP(tblDistributionTests[[#This Row],[Rand]]+MIN(tblFairTest[Score]),tblFairTest[],2,TRUE)</f>
        <v>#N/A</v>
      </c>
      <c r="X273" s="1" t="str">
        <f ca="1">VLOOKUP(tblDistributionTests[[#This Row],[Rand]],tblNormalTestVl[],2,TRUE)</f>
        <v>Luke</v>
      </c>
      <c r="Y273" s="11" t="str">
        <f ca="1">INDEX(tblNormalTestIM[],MATCH(tblDistributionTests[[#This Row],[Rand]],tblNormalTestIM[Score],-1),2)</f>
        <v>Riley</v>
      </c>
    </row>
    <row r="274" spans="22:25" x14ac:dyDescent="0.2">
      <c r="V274" s="1">
        <f t="shared" ca="1" si="4"/>
        <v>0.11</v>
      </c>
      <c r="W274" s="1" t="e">
        <f ca="1">VLOOKUP(tblDistributionTests[[#This Row],[Rand]]+MIN(tblFairTest[Score]),tblFairTest[],2,TRUE)</f>
        <v>#N/A</v>
      </c>
      <c r="X274" s="1" t="str">
        <f ca="1">VLOOKUP(tblDistributionTests[[#This Row],[Rand]],tblNormalTestVl[],2,TRUE)</f>
        <v>Frank</v>
      </c>
      <c r="Y274" s="11" t="str">
        <f ca="1">INDEX(tblNormalTestIM[],MATCH(tblDistributionTests[[#This Row],[Rand]],tblNormalTestIM[Score],-1),2)</f>
        <v>William</v>
      </c>
    </row>
    <row r="275" spans="22:25" x14ac:dyDescent="0.2">
      <c r="V275" s="1">
        <f t="shared" ca="1" si="4"/>
        <v>1</v>
      </c>
      <c r="W275" s="1" t="str">
        <f ca="1">VLOOKUP(tblDistributionTests[[#This Row],[Rand]]+MIN(tblFairTest[Score]),tblFairTest[],2,TRUE)</f>
        <v>Todd</v>
      </c>
      <c r="X275" s="1" t="str">
        <f ca="1">VLOOKUP(tblDistributionTests[[#This Row],[Rand]],tblNormalTestVl[],2,TRUE)</f>
        <v>Todd</v>
      </c>
      <c r="Y275" s="11" t="e">
        <f ca="1">INDEX(tblNormalTestIM[],MATCH(tblDistributionTests[[#This Row],[Rand]],tblNormalTestIM[Score],-1),2)</f>
        <v>#N/A</v>
      </c>
    </row>
    <row r="276" spans="22:25" x14ac:dyDescent="0.2">
      <c r="V276" s="1">
        <f t="shared" ca="1" si="4"/>
        <v>0.16</v>
      </c>
      <c r="W276" s="1" t="e">
        <f ca="1">VLOOKUP(tblDistributionTests[[#This Row],[Rand]]+MIN(tblFairTest[Score]),tblFairTest[],2,TRUE)</f>
        <v>#N/A</v>
      </c>
      <c r="X276" s="1" t="str">
        <f ca="1">VLOOKUP(tblDistributionTests[[#This Row],[Rand]],tblNormalTestVl[],2,TRUE)</f>
        <v>Frank</v>
      </c>
      <c r="Y276" s="11" t="str">
        <f ca="1">INDEX(tblNormalTestIM[],MATCH(tblDistributionTests[[#This Row],[Rand]],tblNormalTestIM[Score],-1),2)</f>
        <v>William</v>
      </c>
    </row>
    <row r="277" spans="22:25" x14ac:dyDescent="0.2">
      <c r="V277" s="1">
        <f t="shared" ca="1" si="4"/>
        <v>0.54</v>
      </c>
      <c r="W277" s="1" t="str">
        <f ca="1">VLOOKUP(tblDistributionTests[[#This Row],[Rand]]+MIN(tblFairTest[Score]),tblFairTest[],2,TRUE)</f>
        <v>Todd</v>
      </c>
      <c r="X277" s="1" t="str">
        <f ca="1">VLOOKUP(tblDistributionTests[[#This Row],[Rand]],tblNormalTestVl[],2,TRUE)</f>
        <v>Riley</v>
      </c>
      <c r="Y277" s="11" t="str">
        <f ca="1">INDEX(tblNormalTestIM[],MATCH(tblDistributionTests[[#This Row],[Rand]],tblNormalTestIM[Score],-1),2)</f>
        <v>Luke</v>
      </c>
    </row>
    <row r="278" spans="22:25" x14ac:dyDescent="0.2">
      <c r="V278" s="1">
        <f t="shared" ca="1" si="4"/>
        <v>0.47</v>
      </c>
      <c r="W278" s="1" t="e">
        <f ca="1">VLOOKUP(tblDistributionTests[[#This Row],[Rand]]+MIN(tblFairTest[Score]),tblFairTest[],2,TRUE)</f>
        <v>#N/A</v>
      </c>
      <c r="X278" s="1" t="str">
        <f ca="1">VLOOKUP(tblDistributionTests[[#This Row],[Rand]],tblNormalTestVl[],2,TRUE)</f>
        <v>Luke</v>
      </c>
      <c r="Y278" s="11" t="str">
        <f ca="1">INDEX(tblNormalTestIM[],MATCH(tblDistributionTests[[#This Row],[Rand]],tblNormalTestIM[Score],-1),2)</f>
        <v>Riley</v>
      </c>
    </row>
    <row r="279" spans="22:25" x14ac:dyDescent="0.2">
      <c r="V279" s="1">
        <f t="shared" ca="1" si="4"/>
        <v>0.05</v>
      </c>
      <c r="W279" s="1" t="e">
        <f ca="1">VLOOKUP(tblDistributionTests[[#This Row],[Rand]]+MIN(tblFairTest[Score]),tblFairTest[],2,TRUE)</f>
        <v>#N/A</v>
      </c>
      <c r="X279" s="1" t="str">
        <f ca="1">VLOOKUP(tblDistributionTests[[#This Row],[Rand]],tblNormalTestVl[],2,TRUE)</f>
        <v>Bill</v>
      </c>
      <c r="Y279" s="11" t="str">
        <f ca="1">INDEX(tblNormalTestIM[],MATCH(tblDistributionTests[[#This Row],[Rand]],tblNormalTestIM[Score],-1),2)</f>
        <v>Eric</v>
      </c>
    </row>
    <row r="280" spans="22:25" x14ac:dyDescent="0.2">
      <c r="V280" s="1">
        <f t="shared" ca="1" si="4"/>
        <v>0.21</v>
      </c>
      <c r="W280" s="1" t="e">
        <f ca="1">VLOOKUP(tblDistributionTests[[#This Row],[Rand]]+MIN(tblFairTest[Score]),tblFairTest[],2,TRUE)</f>
        <v>#N/A</v>
      </c>
      <c r="X280" s="1" t="str">
        <f ca="1">VLOOKUP(tblDistributionTests[[#This Row],[Rand]],tblNormalTestVl[],2,TRUE)</f>
        <v>Frank</v>
      </c>
      <c r="Y280" s="11" t="str">
        <f ca="1">INDEX(tblNormalTestIM[],MATCH(tblDistributionTests[[#This Row],[Rand]],tblNormalTestIM[Score],-1),2)</f>
        <v>William</v>
      </c>
    </row>
    <row r="281" spans="22:25" x14ac:dyDescent="0.2">
      <c r="V281" s="1">
        <f t="shared" ca="1" si="4"/>
        <v>0.34</v>
      </c>
      <c r="W281" s="1" t="e">
        <f ca="1">VLOOKUP(tblDistributionTests[[#This Row],[Rand]]+MIN(tblFairTest[Score]),tblFairTest[],2,TRUE)</f>
        <v>#N/A</v>
      </c>
      <c r="X281" s="1" t="str">
        <f ca="1">VLOOKUP(tblDistributionTests[[#This Row],[Rand]],tblNormalTestVl[],2,TRUE)</f>
        <v>Luke</v>
      </c>
      <c r="Y281" s="11" t="str">
        <f ca="1">INDEX(tblNormalTestIM[],MATCH(tblDistributionTests[[#This Row],[Rand]],tblNormalTestIM[Score],-1),2)</f>
        <v>Riley</v>
      </c>
    </row>
    <row r="282" spans="22:25" x14ac:dyDescent="0.2">
      <c r="V282" s="1">
        <f t="shared" ca="1" si="4"/>
        <v>0.87</v>
      </c>
      <c r="W282" s="1" t="str">
        <f ca="1">VLOOKUP(tblDistributionTests[[#This Row],[Rand]]+MIN(tblFairTest[Score]),tblFairTest[],2,TRUE)</f>
        <v>Todd</v>
      </c>
      <c r="X282" s="1" t="str">
        <f ca="1">VLOOKUP(tblDistributionTests[[#This Row],[Rand]],tblNormalTestVl[],2,TRUE)</f>
        <v>William</v>
      </c>
      <c r="Y282" s="11" t="str">
        <f ca="1">INDEX(tblNormalTestIM[],MATCH(tblDistributionTests[[#This Row],[Rand]],tblNormalTestIM[Score],-1),2)</f>
        <v>Frank</v>
      </c>
    </row>
    <row r="283" spans="22:25" x14ac:dyDescent="0.2">
      <c r="V283" s="1">
        <f t="shared" ca="1" si="4"/>
        <v>0.91</v>
      </c>
      <c r="W283" s="1" t="str">
        <f ca="1">VLOOKUP(tblDistributionTests[[#This Row],[Rand]]+MIN(tblFairTest[Score]),tblFairTest[],2,TRUE)</f>
        <v>Todd</v>
      </c>
      <c r="X283" s="1" t="str">
        <f ca="1">VLOOKUP(tblDistributionTests[[#This Row],[Rand]],tblNormalTestVl[],2,TRUE)</f>
        <v>William</v>
      </c>
      <c r="Y283" s="11" t="str">
        <f ca="1">INDEX(tblNormalTestIM[],MATCH(tblDistributionTests[[#This Row],[Rand]],tblNormalTestIM[Score],-1),2)</f>
        <v>Frank</v>
      </c>
    </row>
    <row r="284" spans="22:25" x14ac:dyDescent="0.2">
      <c r="V284" s="1">
        <f t="shared" ca="1" si="4"/>
        <v>0.53</v>
      </c>
      <c r="W284" s="1" t="str">
        <f ca="1">VLOOKUP(tblDistributionTests[[#This Row],[Rand]]+MIN(tblFairTest[Score]),tblFairTest[],2,TRUE)</f>
        <v>Todd</v>
      </c>
      <c r="X284" s="1" t="str">
        <f ca="1">VLOOKUP(tblDistributionTests[[#This Row],[Rand]],tblNormalTestVl[],2,TRUE)</f>
        <v>Riley</v>
      </c>
      <c r="Y284" s="11" t="str">
        <f ca="1">INDEX(tblNormalTestIM[],MATCH(tblDistributionTests[[#This Row],[Rand]],tblNormalTestIM[Score],-1),2)</f>
        <v>Luke</v>
      </c>
    </row>
    <row r="285" spans="22:25" x14ac:dyDescent="0.2">
      <c r="V285" s="1">
        <f t="shared" ca="1" si="4"/>
        <v>0.61</v>
      </c>
      <c r="W285" s="1" t="str">
        <f ca="1">VLOOKUP(tblDistributionTests[[#This Row],[Rand]]+MIN(tblFairTest[Score]),tblFairTest[],2,TRUE)</f>
        <v>Todd</v>
      </c>
      <c r="X285" s="1" t="str">
        <f ca="1">VLOOKUP(tblDistributionTests[[#This Row],[Rand]],tblNormalTestVl[],2,TRUE)</f>
        <v>Riley</v>
      </c>
      <c r="Y285" s="11" t="str">
        <f ca="1">INDEX(tblNormalTestIM[],MATCH(tblDistributionTests[[#This Row],[Rand]],tblNormalTestIM[Score],-1),2)</f>
        <v>Luke</v>
      </c>
    </row>
    <row r="286" spans="22:25" x14ac:dyDescent="0.2">
      <c r="V286" s="1">
        <f t="shared" ca="1" si="4"/>
        <v>0.53</v>
      </c>
      <c r="W286" s="1" t="str">
        <f ca="1">VLOOKUP(tblDistributionTests[[#This Row],[Rand]]+MIN(tblFairTest[Score]),tblFairTest[],2,TRUE)</f>
        <v>Todd</v>
      </c>
      <c r="X286" s="1" t="str">
        <f ca="1">VLOOKUP(tblDistributionTests[[#This Row],[Rand]],tblNormalTestVl[],2,TRUE)</f>
        <v>Riley</v>
      </c>
      <c r="Y286" s="11" t="str">
        <f ca="1">INDEX(tblNormalTestIM[],MATCH(tblDistributionTests[[#This Row],[Rand]],tblNormalTestIM[Score],-1),2)</f>
        <v>Luke</v>
      </c>
    </row>
    <row r="287" spans="22:25" x14ac:dyDescent="0.2">
      <c r="V287" s="1">
        <f t="shared" ca="1" si="4"/>
        <v>0.87</v>
      </c>
      <c r="W287" s="1" t="str">
        <f ca="1">VLOOKUP(tblDistributionTests[[#This Row],[Rand]]+MIN(tblFairTest[Score]),tblFairTest[],2,TRUE)</f>
        <v>Todd</v>
      </c>
      <c r="X287" s="1" t="str">
        <f ca="1">VLOOKUP(tblDistributionTests[[#This Row],[Rand]],tblNormalTestVl[],2,TRUE)</f>
        <v>William</v>
      </c>
      <c r="Y287" s="11" t="str">
        <f ca="1">INDEX(tblNormalTestIM[],MATCH(tblDistributionTests[[#This Row],[Rand]],tblNormalTestIM[Score],-1),2)</f>
        <v>Frank</v>
      </c>
    </row>
    <row r="288" spans="22:25" x14ac:dyDescent="0.2">
      <c r="V288" s="1">
        <f t="shared" ca="1" si="4"/>
        <v>0.6</v>
      </c>
      <c r="W288" s="1" t="str">
        <f ca="1">VLOOKUP(tblDistributionTests[[#This Row],[Rand]]+MIN(tblFairTest[Score]),tblFairTest[],2,TRUE)</f>
        <v>Todd</v>
      </c>
      <c r="X288" s="1" t="str">
        <f ca="1">VLOOKUP(tblDistributionTests[[#This Row],[Rand]],tblNormalTestVl[],2,TRUE)</f>
        <v>Riley</v>
      </c>
      <c r="Y288" s="11" t="str">
        <f ca="1">INDEX(tblNormalTestIM[],MATCH(tblDistributionTests[[#This Row],[Rand]],tblNormalTestIM[Score],-1),2)</f>
        <v>Luke</v>
      </c>
    </row>
    <row r="289" spans="22:25" x14ac:dyDescent="0.2">
      <c r="V289" s="1">
        <f t="shared" ca="1" si="4"/>
        <v>0.66</v>
      </c>
      <c r="W289" s="1" t="str">
        <f ca="1">VLOOKUP(tblDistributionTests[[#This Row],[Rand]]+MIN(tblFairTest[Score]),tblFairTest[],2,TRUE)</f>
        <v>Todd</v>
      </c>
      <c r="X289" s="1" t="str">
        <f ca="1">VLOOKUP(tblDistributionTests[[#This Row],[Rand]],tblNormalTestVl[],2,TRUE)</f>
        <v>Riley</v>
      </c>
      <c r="Y289" s="11" t="str">
        <f ca="1">INDEX(tblNormalTestIM[],MATCH(tblDistributionTests[[#This Row],[Rand]],tblNormalTestIM[Score],-1),2)</f>
        <v>Luke</v>
      </c>
    </row>
    <row r="290" spans="22:25" x14ac:dyDescent="0.2">
      <c r="V290" s="1">
        <f t="shared" ca="1" si="4"/>
        <v>0.13</v>
      </c>
      <c r="W290" s="1" t="e">
        <f ca="1">VLOOKUP(tblDistributionTests[[#This Row],[Rand]]+MIN(tblFairTest[Score]),tblFairTest[],2,TRUE)</f>
        <v>#N/A</v>
      </c>
      <c r="X290" s="1" t="str">
        <f ca="1">VLOOKUP(tblDistributionTests[[#This Row],[Rand]],tblNormalTestVl[],2,TRUE)</f>
        <v>Frank</v>
      </c>
      <c r="Y290" s="11" t="str">
        <f ca="1">INDEX(tblNormalTestIM[],MATCH(tblDistributionTests[[#This Row],[Rand]],tblNormalTestIM[Score],-1),2)</f>
        <v>William</v>
      </c>
    </row>
    <row r="291" spans="22:25" x14ac:dyDescent="0.2">
      <c r="V291" s="1">
        <f t="shared" ca="1" si="4"/>
        <v>0.44</v>
      </c>
      <c r="W291" s="1" t="e">
        <f ca="1">VLOOKUP(tblDistributionTests[[#This Row],[Rand]]+MIN(tblFairTest[Score]),tblFairTest[],2,TRUE)</f>
        <v>#N/A</v>
      </c>
      <c r="X291" s="1" t="str">
        <f ca="1">VLOOKUP(tblDistributionTests[[#This Row],[Rand]],tblNormalTestVl[],2,TRUE)</f>
        <v>Luke</v>
      </c>
      <c r="Y291" s="11" t="str">
        <f ca="1">INDEX(tblNormalTestIM[],MATCH(tblDistributionTests[[#This Row],[Rand]],tblNormalTestIM[Score],-1),2)</f>
        <v>Riley</v>
      </c>
    </row>
    <row r="292" spans="22:25" x14ac:dyDescent="0.2">
      <c r="V292" s="1">
        <f t="shared" ca="1" si="4"/>
        <v>0.77</v>
      </c>
      <c r="W292" s="1" t="str">
        <f ca="1">VLOOKUP(tblDistributionTests[[#This Row],[Rand]]+MIN(tblFairTest[Score]),tblFairTest[],2,TRUE)</f>
        <v>Todd</v>
      </c>
      <c r="X292" s="1" t="str">
        <f ca="1">VLOOKUP(tblDistributionTests[[#This Row],[Rand]],tblNormalTestVl[],2,TRUE)</f>
        <v>Riley</v>
      </c>
      <c r="Y292" s="11" t="str">
        <f ca="1">INDEX(tblNormalTestIM[],MATCH(tblDistributionTests[[#This Row],[Rand]],tblNormalTestIM[Score],-1),2)</f>
        <v>Luke</v>
      </c>
    </row>
    <row r="293" spans="22:25" x14ac:dyDescent="0.2">
      <c r="V293" s="1">
        <f t="shared" ca="1" si="4"/>
        <v>0.31</v>
      </c>
      <c r="W293" s="1" t="e">
        <f ca="1">VLOOKUP(tblDistributionTests[[#This Row],[Rand]]+MIN(tblFairTest[Score]),tblFairTest[],2,TRUE)</f>
        <v>#N/A</v>
      </c>
      <c r="X293" s="1" t="str">
        <f ca="1">VLOOKUP(tblDistributionTests[[#This Row],[Rand]],tblNormalTestVl[],2,TRUE)</f>
        <v>Luke</v>
      </c>
      <c r="Y293" s="11" t="str">
        <f ca="1">INDEX(tblNormalTestIM[],MATCH(tblDistributionTests[[#This Row],[Rand]],tblNormalTestIM[Score],-1),2)</f>
        <v>Riley</v>
      </c>
    </row>
    <row r="294" spans="22:25" x14ac:dyDescent="0.2">
      <c r="V294" s="1">
        <f t="shared" ca="1" si="4"/>
        <v>0.84</v>
      </c>
      <c r="W294" s="1" t="str">
        <f ca="1">VLOOKUP(tblDistributionTests[[#This Row],[Rand]]+MIN(tblFairTest[Score]),tblFairTest[],2,TRUE)</f>
        <v>Todd</v>
      </c>
      <c r="X294" s="1" t="str">
        <f ca="1">VLOOKUP(tblDistributionTests[[#This Row],[Rand]],tblNormalTestVl[],2,TRUE)</f>
        <v>William</v>
      </c>
      <c r="Y294" s="11" t="str">
        <f ca="1">INDEX(tblNormalTestIM[],MATCH(tblDistributionTests[[#This Row],[Rand]],tblNormalTestIM[Score],-1),2)</f>
        <v>Frank</v>
      </c>
    </row>
    <row r="295" spans="22:25" x14ac:dyDescent="0.2">
      <c r="V295" s="1">
        <f t="shared" ca="1" si="4"/>
        <v>0.97</v>
      </c>
      <c r="W295" s="1" t="str">
        <f ca="1">VLOOKUP(tblDistributionTests[[#This Row],[Rand]]+MIN(tblFairTest[Score]),tblFairTest[],2,TRUE)</f>
        <v>Todd</v>
      </c>
      <c r="X295" s="1" t="str">
        <f ca="1">VLOOKUP(tblDistributionTests[[#This Row],[Rand]],tblNormalTestVl[],2,TRUE)</f>
        <v>Eric</v>
      </c>
      <c r="Y295" s="11" t="str">
        <f ca="1">INDEX(tblNormalTestIM[],MATCH(tblDistributionTests[[#This Row],[Rand]],tblNormalTestIM[Score],-1),2)</f>
        <v>Bill</v>
      </c>
    </row>
    <row r="296" spans="22:25" x14ac:dyDescent="0.2">
      <c r="V296" s="1">
        <f t="shared" ca="1" si="4"/>
        <v>0.57999999999999996</v>
      </c>
      <c r="W296" s="1" t="str">
        <f ca="1">VLOOKUP(tblDistributionTests[[#This Row],[Rand]]+MIN(tblFairTest[Score]),tblFairTest[],2,TRUE)</f>
        <v>Todd</v>
      </c>
      <c r="X296" s="1" t="str">
        <f ca="1">VLOOKUP(tblDistributionTests[[#This Row],[Rand]],tblNormalTestVl[],2,TRUE)</f>
        <v>Riley</v>
      </c>
      <c r="Y296" s="11" t="str">
        <f ca="1">INDEX(tblNormalTestIM[],MATCH(tblDistributionTests[[#This Row],[Rand]],tblNormalTestIM[Score],-1),2)</f>
        <v>Luke</v>
      </c>
    </row>
    <row r="297" spans="22:25" x14ac:dyDescent="0.2">
      <c r="V297" s="1">
        <f t="shared" ca="1" si="4"/>
        <v>0.95</v>
      </c>
      <c r="W297" s="1" t="str">
        <f ca="1">VLOOKUP(tblDistributionTests[[#This Row],[Rand]]+MIN(tblFairTest[Score]),tblFairTest[],2,TRUE)</f>
        <v>Todd</v>
      </c>
      <c r="X297" s="1" t="str">
        <f ca="1">VLOOKUP(tblDistributionTests[[#This Row],[Rand]],tblNormalTestVl[],2,TRUE)</f>
        <v>Eric</v>
      </c>
      <c r="Y297" s="11" t="str">
        <f ca="1">INDEX(tblNormalTestIM[],MATCH(tblDistributionTests[[#This Row],[Rand]],tblNormalTestIM[Score],-1),2)</f>
        <v>Bill</v>
      </c>
    </row>
    <row r="298" spans="22:25" x14ac:dyDescent="0.2">
      <c r="V298" s="1">
        <f t="shared" ca="1" si="4"/>
        <v>0.48</v>
      </c>
      <c r="W298" s="1" t="e">
        <f ca="1">VLOOKUP(tblDistributionTests[[#This Row],[Rand]]+MIN(tblFairTest[Score]),tblFairTest[],2,TRUE)</f>
        <v>#N/A</v>
      </c>
      <c r="X298" s="1" t="str">
        <f ca="1">VLOOKUP(tblDistributionTests[[#This Row],[Rand]],tblNormalTestVl[],2,TRUE)</f>
        <v>Luke</v>
      </c>
      <c r="Y298" s="11" t="str">
        <f ca="1">INDEX(tblNormalTestIM[],MATCH(tblDistributionTests[[#This Row],[Rand]],tblNormalTestIM[Score],-1),2)</f>
        <v>Riley</v>
      </c>
    </row>
    <row r="299" spans="22:25" x14ac:dyDescent="0.2">
      <c r="V299" s="1">
        <f t="shared" ca="1" si="4"/>
        <v>0.01</v>
      </c>
      <c r="W299" s="1" t="e">
        <f ca="1">VLOOKUP(tblDistributionTests[[#This Row],[Rand]]+MIN(tblFairTest[Score]),tblFairTest[],2,TRUE)</f>
        <v>#N/A</v>
      </c>
      <c r="X299" s="1" t="e">
        <f ca="1">VLOOKUP(tblDistributionTests[[#This Row],[Rand]],tblNormalTestVl[],2,TRUE)</f>
        <v>#N/A</v>
      </c>
      <c r="Y299" s="11" t="str">
        <f ca="1">INDEX(tblNormalTestIM[],MATCH(tblDistributionTests[[#This Row],[Rand]],tblNormalTestIM[Score],-1),2)</f>
        <v>Chuck</v>
      </c>
    </row>
    <row r="300" spans="22:25" x14ac:dyDescent="0.2">
      <c r="V300" s="1">
        <f t="shared" ca="1" si="4"/>
        <v>0.08</v>
      </c>
      <c r="W300" s="1" t="e">
        <f ca="1">VLOOKUP(tblDistributionTests[[#This Row],[Rand]]+MIN(tblFairTest[Score]),tblFairTest[],2,TRUE)</f>
        <v>#N/A</v>
      </c>
      <c r="X300" s="1" t="str">
        <f ca="1">VLOOKUP(tblDistributionTests[[#This Row],[Rand]],tblNormalTestVl[],2,TRUE)</f>
        <v>Frank</v>
      </c>
      <c r="Y300" s="11" t="str">
        <f ca="1">INDEX(tblNormalTestIM[],MATCH(tblDistributionTests[[#This Row],[Rand]],tblNormalTestIM[Score],-1),2)</f>
        <v>William</v>
      </c>
    </row>
    <row r="301" spans="22:25" x14ac:dyDescent="0.2">
      <c r="V301" s="1">
        <f t="shared" ca="1" si="4"/>
        <v>0.02</v>
      </c>
      <c r="W301" s="1" t="e">
        <f ca="1">VLOOKUP(tblDistributionTests[[#This Row],[Rand]]+MIN(tblFairTest[Score]),tblFairTest[],2,TRUE)</f>
        <v>#N/A</v>
      </c>
      <c r="X301" s="1" t="str">
        <f ca="1">VLOOKUP(tblDistributionTests[[#This Row],[Rand]],tblNormalTestVl[],2,TRUE)</f>
        <v>Bill</v>
      </c>
      <c r="Y301" s="11" t="str">
        <f ca="1">INDEX(tblNormalTestIM[],MATCH(tblDistributionTests[[#This Row],[Rand]],tblNormalTestIM[Score],-1),2)</f>
        <v>Eric</v>
      </c>
    </row>
    <row r="302" spans="22:25" x14ac:dyDescent="0.2">
      <c r="V302" s="1">
        <f t="shared" ca="1" si="4"/>
        <v>0.45</v>
      </c>
      <c r="W302" s="1" t="e">
        <f ca="1">VLOOKUP(tblDistributionTests[[#This Row],[Rand]]+MIN(tblFairTest[Score]),tblFairTest[],2,TRUE)</f>
        <v>#N/A</v>
      </c>
      <c r="X302" s="1" t="str">
        <f ca="1">VLOOKUP(tblDistributionTests[[#This Row],[Rand]],tblNormalTestVl[],2,TRUE)</f>
        <v>Luke</v>
      </c>
      <c r="Y302" s="11" t="str">
        <f ca="1">INDEX(tblNormalTestIM[],MATCH(tblDistributionTests[[#This Row],[Rand]],tblNormalTestIM[Score],-1),2)</f>
        <v>Riley</v>
      </c>
    </row>
    <row r="303" spans="22:25" x14ac:dyDescent="0.2">
      <c r="V303" s="1">
        <f t="shared" ca="1" si="4"/>
        <v>0.33</v>
      </c>
      <c r="W303" s="1" t="e">
        <f ca="1">VLOOKUP(tblDistributionTests[[#This Row],[Rand]]+MIN(tblFairTest[Score]),tblFairTest[],2,TRUE)</f>
        <v>#N/A</v>
      </c>
      <c r="X303" s="1" t="str">
        <f ca="1">VLOOKUP(tblDistributionTests[[#This Row],[Rand]],tblNormalTestVl[],2,TRUE)</f>
        <v>Luke</v>
      </c>
      <c r="Y303" s="11" t="str">
        <f ca="1">INDEX(tblNormalTestIM[],MATCH(tblDistributionTests[[#This Row],[Rand]],tblNormalTestIM[Score],-1),2)</f>
        <v>Riley</v>
      </c>
    </row>
    <row r="304" spans="22:25" x14ac:dyDescent="0.2">
      <c r="V304" s="1">
        <f t="shared" ca="1" si="4"/>
        <v>0.16</v>
      </c>
      <c r="W304" s="1" t="e">
        <f ca="1">VLOOKUP(tblDistributionTests[[#This Row],[Rand]]+MIN(tblFairTest[Score]),tblFairTest[],2,TRUE)</f>
        <v>#N/A</v>
      </c>
      <c r="X304" s="1" t="str">
        <f ca="1">VLOOKUP(tblDistributionTests[[#This Row],[Rand]],tblNormalTestVl[],2,TRUE)</f>
        <v>Frank</v>
      </c>
      <c r="Y304" s="11" t="str">
        <f ca="1">INDEX(tblNormalTestIM[],MATCH(tblDistributionTests[[#This Row],[Rand]],tblNormalTestIM[Score],-1),2)</f>
        <v>William</v>
      </c>
    </row>
    <row r="305" spans="22:25" x14ac:dyDescent="0.2">
      <c r="V305" s="1">
        <f t="shared" ca="1" si="4"/>
        <v>0.83</v>
      </c>
      <c r="W305" s="1" t="str">
        <f ca="1">VLOOKUP(tblDistributionTests[[#This Row],[Rand]]+MIN(tblFairTest[Score]),tblFairTest[],2,TRUE)</f>
        <v>Todd</v>
      </c>
      <c r="X305" s="1" t="str">
        <f ca="1">VLOOKUP(tblDistributionTests[[#This Row],[Rand]],tblNormalTestVl[],2,TRUE)</f>
        <v>William</v>
      </c>
      <c r="Y305" s="11" t="str">
        <f ca="1">INDEX(tblNormalTestIM[],MATCH(tblDistributionTests[[#This Row],[Rand]],tblNormalTestIM[Score],-1),2)</f>
        <v>Frank</v>
      </c>
    </row>
    <row r="306" spans="22:25" x14ac:dyDescent="0.2">
      <c r="V306" s="1">
        <f t="shared" ca="1" si="4"/>
        <v>1</v>
      </c>
      <c r="W306" s="1" t="str">
        <f ca="1">VLOOKUP(tblDistributionTests[[#This Row],[Rand]]+MIN(tblFairTest[Score]),tblFairTest[],2,TRUE)</f>
        <v>Todd</v>
      </c>
      <c r="X306" s="1" t="str">
        <f ca="1">VLOOKUP(tblDistributionTests[[#This Row],[Rand]],tblNormalTestVl[],2,TRUE)</f>
        <v>Todd</v>
      </c>
      <c r="Y306" s="11" t="e">
        <f ca="1">INDEX(tblNormalTestIM[],MATCH(tblDistributionTests[[#This Row],[Rand]],tblNormalTestIM[Score],-1),2)</f>
        <v>#N/A</v>
      </c>
    </row>
    <row r="307" spans="22:25" x14ac:dyDescent="0.2">
      <c r="V307" s="1">
        <f t="shared" ca="1" si="4"/>
        <v>0.13</v>
      </c>
      <c r="W307" s="1" t="e">
        <f ca="1">VLOOKUP(tblDistributionTests[[#This Row],[Rand]]+MIN(tblFairTest[Score]),tblFairTest[],2,TRUE)</f>
        <v>#N/A</v>
      </c>
      <c r="X307" s="1" t="str">
        <f ca="1">VLOOKUP(tblDistributionTests[[#This Row],[Rand]],tblNormalTestVl[],2,TRUE)</f>
        <v>Frank</v>
      </c>
      <c r="Y307" s="11" t="str">
        <f ca="1">INDEX(tblNormalTestIM[],MATCH(tblDistributionTests[[#This Row],[Rand]],tblNormalTestIM[Score],-1),2)</f>
        <v>William</v>
      </c>
    </row>
    <row r="308" spans="22:25" x14ac:dyDescent="0.2">
      <c r="V308" s="1">
        <f t="shared" ca="1" si="4"/>
        <v>0.82</v>
      </c>
      <c r="W308" s="1" t="str">
        <f ca="1">VLOOKUP(tblDistributionTests[[#This Row],[Rand]]+MIN(tblFairTest[Score]),tblFairTest[],2,TRUE)</f>
        <v>Todd</v>
      </c>
      <c r="X308" s="1" t="str">
        <f ca="1">VLOOKUP(tblDistributionTests[[#This Row],[Rand]],tblNormalTestVl[],2,TRUE)</f>
        <v>William</v>
      </c>
      <c r="Y308" s="11" t="str">
        <f ca="1">INDEX(tblNormalTestIM[],MATCH(tblDistributionTests[[#This Row],[Rand]],tblNormalTestIM[Score],-1),2)</f>
        <v>Frank</v>
      </c>
    </row>
    <row r="309" spans="22:25" x14ac:dyDescent="0.2">
      <c r="V309" s="1">
        <f t="shared" ca="1" si="4"/>
        <v>0.01</v>
      </c>
      <c r="W309" s="1" t="e">
        <f ca="1">VLOOKUP(tblDistributionTests[[#This Row],[Rand]]+MIN(tblFairTest[Score]),tblFairTest[],2,TRUE)</f>
        <v>#N/A</v>
      </c>
      <c r="X309" s="1" t="e">
        <f ca="1">VLOOKUP(tblDistributionTests[[#This Row],[Rand]],tblNormalTestVl[],2,TRUE)</f>
        <v>#N/A</v>
      </c>
      <c r="Y309" s="11" t="str">
        <f ca="1">INDEX(tblNormalTestIM[],MATCH(tblDistributionTests[[#This Row],[Rand]],tblNormalTestIM[Score],-1),2)</f>
        <v>Chuck</v>
      </c>
    </row>
    <row r="310" spans="22:25" x14ac:dyDescent="0.2">
      <c r="V310" s="1">
        <f t="shared" ca="1" si="4"/>
        <v>0.77</v>
      </c>
      <c r="W310" s="1" t="str">
        <f ca="1">VLOOKUP(tblDistributionTests[[#This Row],[Rand]]+MIN(tblFairTest[Score]),tblFairTest[],2,TRUE)</f>
        <v>Todd</v>
      </c>
      <c r="X310" s="1" t="str">
        <f ca="1">VLOOKUP(tblDistributionTests[[#This Row],[Rand]],tblNormalTestVl[],2,TRUE)</f>
        <v>Riley</v>
      </c>
      <c r="Y310" s="11" t="str">
        <f ca="1">INDEX(tblNormalTestIM[],MATCH(tblDistributionTests[[#This Row],[Rand]],tblNormalTestIM[Score],-1),2)</f>
        <v>Luke</v>
      </c>
    </row>
    <row r="311" spans="22:25" x14ac:dyDescent="0.2">
      <c r="V311" s="1">
        <f t="shared" ca="1" si="4"/>
        <v>1</v>
      </c>
      <c r="W311" s="1" t="str">
        <f ca="1">VLOOKUP(tblDistributionTests[[#This Row],[Rand]]+MIN(tblFairTest[Score]),tblFairTest[],2,TRUE)</f>
        <v>Todd</v>
      </c>
      <c r="X311" s="1" t="str">
        <f ca="1">VLOOKUP(tblDistributionTests[[#This Row],[Rand]],tblNormalTestVl[],2,TRUE)</f>
        <v>Todd</v>
      </c>
      <c r="Y311" s="11" t="e">
        <f ca="1">INDEX(tblNormalTestIM[],MATCH(tblDistributionTests[[#This Row],[Rand]],tblNormalTestIM[Score],-1),2)</f>
        <v>#N/A</v>
      </c>
    </row>
    <row r="312" spans="22:25" x14ac:dyDescent="0.2">
      <c r="V312" s="1">
        <f t="shared" ca="1" si="4"/>
        <v>0.35</v>
      </c>
      <c r="W312" s="1" t="e">
        <f ca="1">VLOOKUP(tblDistributionTests[[#This Row],[Rand]]+MIN(tblFairTest[Score]),tblFairTest[],2,TRUE)</f>
        <v>#N/A</v>
      </c>
      <c r="X312" s="1" t="str">
        <f ca="1">VLOOKUP(tblDistributionTests[[#This Row],[Rand]],tblNormalTestVl[],2,TRUE)</f>
        <v>Luke</v>
      </c>
      <c r="Y312" s="11" t="str">
        <f ca="1">INDEX(tblNormalTestIM[],MATCH(tblDistributionTests[[#This Row],[Rand]],tblNormalTestIM[Score],-1),2)</f>
        <v>Riley</v>
      </c>
    </row>
    <row r="313" spans="22:25" x14ac:dyDescent="0.2">
      <c r="V313" s="1">
        <f t="shared" ca="1" si="4"/>
        <v>0.15</v>
      </c>
      <c r="W313" s="1" t="e">
        <f ca="1">VLOOKUP(tblDistributionTests[[#This Row],[Rand]]+MIN(tblFairTest[Score]),tblFairTest[],2,TRUE)</f>
        <v>#N/A</v>
      </c>
      <c r="X313" s="1" t="str">
        <f ca="1">VLOOKUP(tblDistributionTests[[#This Row],[Rand]],tblNormalTestVl[],2,TRUE)</f>
        <v>Frank</v>
      </c>
      <c r="Y313" s="11" t="str">
        <f ca="1">INDEX(tblNormalTestIM[],MATCH(tblDistributionTests[[#This Row],[Rand]],tblNormalTestIM[Score],-1),2)</f>
        <v>William</v>
      </c>
    </row>
    <row r="314" spans="22:25" x14ac:dyDescent="0.2">
      <c r="V314" s="1">
        <f t="shared" ca="1" si="4"/>
        <v>0.04</v>
      </c>
      <c r="W314" s="1" t="e">
        <f ca="1">VLOOKUP(tblDistributionTests[[#This Row],[Rand]]+MIN(tblFairTest[Score]),tblFairTest[],2,TRUE)</f>
        <v>#N/A</v>
      </c>
      <c r="X314" s="1" t="str">
        <f ca="1">VLOOKUP(tblDistributionTests[[#This Row],[Rand]],tblNormalTestVl[],2,TRUE)</f>
        <v>Bill</v>
      </c>
      <c r="Y314" s="11" t="str">
        <f ca="1">INDEX(tblNormalTestIM[],MATCH(tblDistributionTests[[#This Row],[Rand]],tblNormalTestIM[Score],-1),2)</f>
        <v>Eric</v>
      </c>
    </row>
    <row r="315" spans="22:25" x14ac:dyDescent="0.2">
      <c r="V315" s="1">
        <f t="shared" ca="1" si="4"/>
        <v>0.05</v>
      </c>
      <c r="W315" s="1" t="e">
        <f ca="1">VLOOKUP(tblDistributionTests[[#This Row],[Rand]]+MIN(tblFairTest[Score]),tblFairTest[],2,TRUE)</f>
        <v>#N/A</v>
      </c>
      <c r="X315" s="1" t="str">
        <f ca="1">VLOOKUP(tblDistributionTests[[#This Row],[Rand]],tblNormalTestVl[],2,TRUE)</f>
        <v>Bill</v>
      </c>
      <c r="Y315" s="11" t="str">
        <f ca="1">INDEX(tblNormalTestIM[],MATCH(tblDistributionTests[[#This Row],[Rand]],tblNormalTestIM[Score],-1),2)</f>
        <v>Eric</v>
      </c>
    </row>
    <row r="316" spans="22:25" x14ac:dyDescent="0.2">
      <c r="V316" s="1">
        <f t="shared" ca="1" si="4"/>
        <v>0.3</v>
      </c>
      <c r="W316" s="1" t="e">
        <f ca="1">VLOOKUP(tblDistributionTests[[#This Row],[Rand]]+MIN(tblFairTest[Score]),tblFairTest[],2,TRUE)</f>
        <v>#N/A</v>
      </c>
      <c r="X316" s="1" t="str">
        <f ca="1">VLOOKUP(tblDistributionTests[[#This Row],[Rand]],tblNormalTestVl[],2,TRUE)</f>
        <v>Luke</v>
      </c>
      <c r="Y316" s="11" t="str">
        <f ca="1">INDEX(tblNormalTestIM[],MATCH(tblDistributionTests[[#This Row],[Rand]],tblNormalTestIM[Score],-1),2)</f>
        <v>Riley</v>
      </c>
    </row>
    <row r="317" spans="22:25" x14ac:dyDescent="0.2">
      <c r="V317" s="1">
        <f t="shared" ca="1" si="4"/>
        <v>0.35</v>
      </c>
      <c r="W317" s="1" t="e">
        <f ca="1">VLOOKUP(tblDistributionTests[[#This Row],[Rand]]+MIN(tblFairTest[Score]),tblFairTest[],2,TRUE)</f>
        <v>#N/A</v>
      </c>
      <c r="X317" s="1" t="str">
        <f ca="1">VLOOKUP(tblDistributionTests[[#This Row],[Rand]],tblNormalTestVl[],2,TRUE)</f>
        <v>Luke</v>
      </c>
      <c r="Y317" s="11" t="str">
        <f ca="1">INDEX(tblNormalTestIM[],MATCH(tblDistributionTests[[#This Row],[Rand]],tblNormalTestIM[Score],-1),2)</f>
        <v>Riley</v>
      </c>
    </row>
    <row r="318" spans="22:25" x14ac:dyDescent="0.2">
      <c r="V318" s="1">
        <f t="shared" ca="1" si="4"/>
        <v>0.26</v>
      </c>
      <c r="W318" s="1" t="e">
        <f ca="1">VLOOKUP(tblDistributionTests[[#This Row],[Rand]]+MIN(tblFairTest[Score]),tblFairTest[],2,TRUE)</f>
        <v>#N/A</v>
      </c>
      <c r="X318" s="1" t="str">
        <f ca="1">VLOOKUP(tblDistributionTests[[#This Row],[Rand]],tblNormalTestVl[],2,TRUE)</f>
        <v>Luke</v>
      </c>
      <c r="Y318" s="11" t="str">
        <f ca="1">INDEX(tblNormalTestIM[],MATCH(tblDistributionTests[[#This Row],[Rand]],tblNormalTestIM[Score],-1),2)</f>
        <v>Riley</v>
      </c>
    </row>
    <row r="319" spans="22:25" x14ac:dyDescent="0.2">
      <c r="V319" s="1">
        <f t="shared" ca="1" si="4"/>
        <v>0.63</v>
      </c>
      <c r="W319" s="1" t="str">
        <f ca="1">VLOOKUP(tblDistributionTests[[#This Row],[Rand]]+MIN(tblFairTest[Score]),tblFairTest[],2,TRUE)</f>
        <v>Todd</v>
      </c>
      <c r="X319" s="1" t="str">
        <f ca="1">VLOOKUP(tblDistributionTests[[#This Row],[Rand]],tblNormalTestVl[],2,TRUE)</f>
        <v>Riley</v>
      </c>
      <c r="Y319" s="11" t="str">
        <f ca="1">INDEX(tblNormalTestIM[],MATCH(tblDistributionTests[[#This Row],[Rand]],tblNormalTestIM[Score],-1),2)</f>
        <v>Luke</v>
      </c>
    </row>
    <row r="320" spans="22:25" x14ac:dyDescent="0.2">
      <c r="V320" s="1">
        <f t="shared" ca="1" si="4"/>
        <v>0.36</v>
      </c>
      <c r="W320" s="1" t="e">
        <f ca="1">VLOOKUP(tblDistributionTests[[#This Row],[Rand]]+MIN(tblFairTest[Score]),tblFairTest[],2,TRUE)</f>
        <v>#N/A</v>
      </c>
      <c r="X320" s="1" t="str">
        <f ca="1">VLOOKUP(tblDistributionTests[[#This Row],[Rand]],tblNormalTestVl[],2,TRUE)</f>
        <v>Luke</v>
      </c>
      <c r="Y320" s="11" t="str">
        <f ca="1">INDEX(tblNormalTestIM[],MATCH(tblDistributionTests[[#This Row],[Rand]],tblNormalTestIM[Score],-1),2)</f>
        <v>Riley</v>
      </c>
    </row>
    <row r="321" spans="22:25" x14ac:dyDescent="0.2">
      <c r="V321" s="1">
        <f t="shared" ca="1" si="4"/>
        <v>0.09</v>
      </c>
      <c r="W321" s="1" t="e">
        <f ca="1">VLOOKUP(tblDistributionTests[[#This Row],[Rand]]+MIN(tblFairTest[Score]),tblFairTest[],2,TRUE)</f>
        <v>#N/A</v>
      </c>
      <c r="X321" s="1" t="str">
        <f ca="1">VLOOKUP(tblDistributionTests[[#This Row],[Rand]],tblNormalTestVl[],2,TRUE)</f>
        <v>Frank</v>
      </c>
      <c r="Y321" s="11" t="str">
        <f ca="1">INDEX(tblNormalTestIM[],MATCH(tblDistributionTests[[#This Row],[Rand]],tblNormalTestIM[Score],-1),2)</f>
        <v>William</v>
      </c>
    </row>
    <row r="322" spans="22:25" x14ac:dyDescent="0.2">
      <c r="V322" s="1">
        <f t="shared" ca="1" si="4"/>
        <v>0.28999999999999998</v>
      </c>
      <c r="W322" s="1" t="e">
        <f ca="1">VLOOKUP(tblDistributionTests[[#This Row],[Rand]]+MIN(tblFairTest[Score]),tblFairTest[],2,TRUE)</f>
        <v>#N/A</v>
      </c>
      <c r="X322" s="1" t="str">
        <f ca="1">VLOOKUP(tblDistributionTests[[#This Row],[Rand]],tblNormalTestVl[],2,TRUE)</f>
        <v>Luke</v>
      </c>
      <c r="Y322" s="11" t="str">
        <f ca="1">INDEX(tblNormalTestIM[],MATCH(tblDistributionTests[[#This Row],[Rand]],tblNormalTestIM[Score],-1),2)</f>
        <v>Riley</v>
      </c>
    </row>
    <row r="323" spans="22:25" x14ac:dyDescent="0.2">
      <c r="V323" s="1">
        <f t="shared" ca="1" si="4"/>
        <v>0.18</v>
      </c>
      <c r="W323" s="1" t="e">
        <f ca="1">VLOOKUP(tblDistributionTests[[#This Row],[Rand]]+MIN(tblFairTest[Score]),tblFairTest[],2,TRUE)</f>
        <v>#N/A</v>
      </c>
      <c r="X323" s="1" t="str">
        <f ca="1">VLOOKUP(tblDistributionTests[[#This Row],[Rand]],tblNormalTestVl[],2,TRUE)</f>
        <v>Frank</v>
      </c>
      <c r="Y323" s="11" t="str">
        <f ca="1">INDEX(tblNormalTestIM[],MATCH(tblDistributionTests[[#This Row],[Rand]],tblNormalTestIM[Score],-1),2)</f>
        <v>William</v>
      </c>
    </row>
    <row r="324" spans="22:25" x14ac:dyDescent="0.2">
      <c r="V324" s="1">
        <f t="shared" ca="1" si="4"/>
        <v>0.48</v>
      </c>
      <c r="W324" s="1" t="e">
        <f ca="1">VLOOKUP(tblDistributionTests[[#This Row],[Rand]]+MIN(tblFairTest[Score]),tblFairTest[],2,TRUE)</f>
        <v>#N/A</v>
      </c>
      <c r="X324" s="1" t="str">
        <f ca="1">VLOOKUP(tblDistributionTests[[#This Row],[Rand]],tblNormalTestVl[],2,TRUE)</f>
        <v>Luke</v>
      </c>
      <c r="Y324" s="11" t="str">
        <f ca="1">INDEX(tblNormalTestIM[],MATCH(tblDistributionTests[[#This Row],[Rand]],tblNormalTestIM[Score],-1),2)</f>
        <v>Riley</v>
      </c>
    </row>
    <row r="325" spans="22:25" x14ac:dyDescent="0.2">
      <c r="V325" s="1">
        <f t="shared" ca="1" si="4"/>
        <v>0.96</v>
      </c>
      <c r="W325" s="1" t="str">
        <f ca="1">VLOOKUP(tblDistributionTests[[#This Row],[Rand]]+MIN(tblFairTest[Score]),tblFairTest[],2,TRUE)</f>
        <v>Todd</v>
      </c>
      <c r="X325" s="1" t="str">
        <f ca="1">VLOOKUP(tblDistributionTests[[#This Row],[Rand]],tblNormalTestVl[],2,TRUE)</f>
        <v>Eric</v>
      </c>
      <c r="Y325" s="11" t="str">
        <f ca="1">INDEX(tblNormalTestIM[],MATCH(tblDistributionTests[[#This Row],[Rand]],tblNormalTestIM[Score],-1),2)</f>
        <v>Bill</v>
      </c>
    </row>
    <row r="326" spans="22:25" x14ac:dyDescent="0.2">
      <c r="V326" s="1">
        <f t="shared" ca="1" si="4"/>
        <v>0.85</v>
      </c>
      <c r="W326" s="1" t="str">
        <f ca="1">VLOOKUP(tblDistributionTests[[#This Row],[Rand]]+MIN(tblFairTest[Score]),tblFairTest[],2,TRUE)</f>
        <v>Todd</v>
      </c>
      <c r="X326" s="1" t="str">
        <f ca="1">VLOOKUP(tblDistributionTests[[#This Row],[Rand]],tblNormalTestVl[],2,TRUE)</f>
        <v>William</v>
      </c>
      <c r="Y326" s="11" t="str">
        <f ca="1">INDEX(tblNormalTestIM[],MATCH(tblDistributionTests[[#This Row],[Rand]],tblNormalTestIM[Score],-1),2)</f>
        <v>Frank</v>
      </c>
    </row>
    <row r="327" spans="22:25" x14ac:dyDescent="0.2">
      <c r="V327" s="1">
        <f t="shared" ca="1" si="4"/>
        <v>0.54</v>
      </c>
      <c r="W327" s="1" t="str">
        <f ca="1">VLOOKUP(tblDistributionTests[[#This Row],[Rand]]+MIN(tblFairTest[Score]),tblFairTest[],2,TRUE)</f>
        <v>Todd</v>
      </c>
      <c r="X327" s="1" t="str">
        <f ca="1">VLOOKUP(tblDistributionTests[[#This Row],[Rand]],tblNormalTestVl[],2,TRUE)</f>
        <v>Riley</v>
      </c>
      <c r="Y327" s="11" t="str">
        <f ca="1">INDEX(tblNormalTestIM[],MATCH(tblDistributionTests[[#This Row],[Rand]],tblNormalTestIM[Score],-1),2)</f>
        <v>Luke</v>
      </c>
    </row>
    <row r="328" spans="22:25" x14ac:dyDescent="0.2">
      <c r="V328" s="1">
        <f t="shared" ref="V328:V391" ca="1" si="5">RANDBETWEEN(1,100)/100</f>
        <v>0.56000000000000005</v>
      </c>
      <c r="W328" s="1" t="str">
        <f ca="1">VLOOKUP(tblDistributionTests[[#This Row],[Rand]]+MIN(tblFairTest[Score]),tblFairTest[],2,TRUE)</f>
        <v>Todd</v>
      </c>
      <c r="X328" s="1" t="str">
        <f ca="1">VLOOKUP(tblDistributionTests[[#This Row],[Rand]],tblNormalTestVl[],2,TRUE)</f>
        <v>Riley</v>
      </c>
      <c r="Y328" s="11" t="str">
        <f ca="1">INDEX(tblNormalTestIM[],MATCH(tblDistributionTests[[#This Row],[Rand]],tblNormalTestIM[Score],-1),2)</f>
        <v>Luke</v>
      </c>
    </row>
    <row r="329" spans="22:25" x14ac:dyDescent="0.2">
      <c r="V329" s="1">
        <f t="shared" ca="1" si="5"/>
        <v>0.65</v>
      </c>
      <c r="W329" s="1" t="str">
        <f ca="1">VLOOKUP(tblDistributionTests[[#This Row],[Rand]]+MIN(tblFairTest[Score]),tblFairTest[],2,TRUE)</f>
        <v>Todd</v>
      </c>
      <c r="X329" s="1" t="str">
        <f ca="1">VLOOKUP(tblDistributionTests[[#This Row],[Rand]],tblNormalTestVl[],2,TRUE)</f>
        <v>Riley</v>
      </c>
      <c r="Y329" s="11" t="str">
        <f ca="1">INDEX(tblNormalTestIM[],MATCH(tblDistributionTests[[#This Row],[Rand]],tblNormalTestIM[Score],-1),2)</f>
        <v>Luke</v>
      </c>
    </row>
    <row r="330" spans="22:25" x14ac:dyDescent="0.2">
      <c r="V330" s="1">
        <f t="shared" ca="1" si="5"/>
        <v>0.33</v>
      </c>
      <c r="W330" s="1" t="e">
        <f ca="1">VLOOKUP(tblDistributionTests[[#This Row],[Rand]]+MIN(tblFairTest[Score]),tblFairTest[],2,TRUE)</f>
        <v>#N/A</v>
      </c>
      <c r="X330" s="1" t="str">
        <f ca="1">VLOOKUP(tblDistributionTests[[#This Row],[Rand]],tblNormalTestVl[],2,TRUE)</f>
        <v>Luke</v>
      </c>
      <c r="Y330" s="11" t="str">
        <f ca="1">INDEX(tblNormalTestIM[],MATCH(tblDistributionTests[[#This Row],[Rand]],tblNormalTestIM[Score],-1),2)</f>
        <v>Riley</v>
      </c>
    </row>
    <row r="331" spans="22:25" x14ac:dyDescent="0.2">
      <c r="V331" s="1">
        <f t="shared" ca="1" si="5"/>
        <v>0.57999999999999996</v>
      </c>
      <c r="W331" s="1" t="str">
        <f ca="1">VLOOKUP(tblDistributionTests[[#This Row],[Rand]]+MIN(tblFairTest[Score]),tblFairTest[],2,TRUE)</f>
        <v>Todd</v>
      </c>
      <c r="X331" s="1" t="str">
        <f ca="1">VLOOKUP(tblDistributionTests[[#This Row],[Rand]],tblNormalTestVl[],2,TRUE)</f>
        <v>Riley</v>
      </c>
      <c r="Y331" s="11" t="str">
        <f ca="1">INDEX(tblNormalTestIM[],MATCH(tblDistributionTests[[#This Row],[Rand]],tblNormalTestIM[Score],-1),2)</f>
        <v>Luke</v>
      </c>
    </row>
    <row r="332" spans="22:25" x14ac:dyDescent="0.2">
      <c r="V332" s="1">
        <f t="shared" ca="1" si="5"/>
        <v>0.28999999999999998</v>
      </c>
      <c r="W332" s="1" t="e">
        <f ca="1">VLOOKUP(tblDistributionTests[[#This Row],[Rand]]+MIN(tblFairTest[Score]),tblFairTest[],2,TRUE)</f>
        <v>#N/A</v>
      </c>
      <c r="X332" s="1" t="str">
        <f ca="1">VLOOKUP(tblDistributionTests[[#This Row],[Rand]],tblNormalTestVl[],2,TRUE)</f>
        <v>Luke</v>
      </c>
      <c r="Y332" s="11" t="str">
        <f ca="1">INDEX(tblNormalTestIM[],MATCH(tblDistributionTests[[#This Row],[Rand]],tblNormalTestIM[Score],-1),2)</f>
        <v>Riley</v>
      </c>
    </row>
    <row r="333" spans="22:25" x14ac:dyDescent="0.2">
      <c r="V333" s="1">
        <f t="shared" ca="1" si="5"/>
        <v>0.45</v>
      </c>
      <c r="W333" s="1" t="e">
        <f ca="1">VLOOKUP(tblDistributionTests[[#This Row],[Rand]]+MIN(tblFairTest[Score]),tblFairTest[],2,TRUE)</f>
        <v>#N/A</v>
      </c>
      <c r="X333" s="1" t="str">
        <f ca="1">VLOOKUP(tblDistributionTests[[#This Row],[Rand]],tblNormalTestVl[],2,TRUE)</f>
        <v>Luke</v>
      </c>
      <c r="Y333" s="11" t="str">
        <f ca="1">INDEX(tblNormalTestIM[],MATCH(tblDistributionTests[[#This Row],[Rand]],tblNormalTestIM[Score],-1),2)</f>
        <v>Riley</v>
      </c>
    </row>
    <row r="334" spans="22:25" x14ac:dyDescent="0.2">
      <c r="V334" s="1">
        <f t="shared" ca="1" si="5"/>
        <v>0.09</v>
      </c>
      <c r="W334" s="1" t="e">
        <f ca="1">VLOOKUP(tblDistributionTests[[#This Row],[Rand]]+MIN(tblFairTest[Score]),tblFairTest[],2,TRUE)</f>
        <v>#N/A</v>
      </c>
      <c r="X334" s="1" t="str">
        <f ca="1">VLOOKUP(tblDistributionTests[[#This Row],[Rand]],tblNormalTestVl[],2,TRUE)</f>
        <v>Frank</v>
      </c>
      <c r="Y334" s="11" t="str">
        <f ca="1">INDEX(tblNormalTestIM[],MATCH(tblDistributionTests[[#This Row],[Rand]],tblNormalTestIM[Score],-1),2)</f>
        <v>William</v>
      </c>
    </row>
    <row r="335" spans="22:25" x14ac:dyDescent="0.2">
      <c r="V335" s="1">
        <f t="shared" ca="1" si="5"/>
        <v>0.3</v>
      </c>
      <c r="W335" s="1" t="e">
        <f ca="1">VLOOKUP(tblDistributionTests[[#This Row],[Rand]]+MIN(tblFairTest[Score]),tblFairTest[],2,TRUE)</f>
        <v>#N/A</v>
      </c>
      <c r="X335" s="1" t="str">
        <f ca="1">VLOOKUP(tblDistributionTests[[#This Row],[Rand]],tblNormalTestVl[],2,TRUE)</f>
        <v>Luke</v>
      </c>
      <c r="Y335" s="11" t="str">
        <f ca="1">INDEX(tblNormalTestIM[],MATCH(tblDistributionTests[[#This Row],[Rand]],tblNormalTestIM[Score],-1),2)</f>
        <v>Riley</v>
      </c>
    </row>
    <row r="336" spans="22:25" x14ac:dyDescent="0.2">
      <c r="V336" s="1">
        <f t="shared" ca="1" si="5"/>
        <v>0.39</v>
      </c>
      <c r="W336" s="1" t="e">
        <f ca="1">VLOOKUP(tblDistributionTests[[#This Row],[Rand]]+MIN(tblFairTest[Score]),tblFairTest[],2,TRUE)</f>
        <v>#N/A</v>
      </c>
      <c r="X336" s="1" t="str">
        <f ca="1">VLOOKUP(tblDistributionTests[[#This Row],[Rand]],tblNormalTestVl[],2,TRUE)</f>
        <v>Luke</v>
      </c>
      <c r="Y336" s="11" t="str">
        <f ca="1">INDEX(tblNormalTestIM[],MATCH(tblDistributionTests[[#This Row],[Rand]],tblNormalTestIM[Score],-1),2)</f>
        <v>Riley</v>
      </c>
    </row>
    <row r="337" spans="22:25" x14ac:dyDescent="0.2">
      <c r="V337" s="1">
        <f t="shared" ca="1" si="5"/>
        <v>0.26</v>
      </c>
      <c r="W337" s="1" t="e">
        <f ca="1">VLOOKUP(tblDistributionTests[[#This Row],[Rand]]+MIN(tblFairTest[Score]),tblFairTest[],2,TRUE)</f>
        <v>#N/A</v>
      </c>
      <c r="X337" s="1" t="str">
        <f ca="1">VLOOKUP(tblDistributionTests[[#This Row],[Rand]],tblNormalTestVl[],2,TRUE)</f>
        <v>Luke</v>
      </c>
      <c r="Y337" s="11" t="str">
        <f ca="1">INDEX(tblNormalTestIM[],MATCH(tblDistributionTests[[#This Row],[Rand]],tblNormalTestIM[Score],-1),2)</f>
        <v>Riley</v>
      </c>
    </row>
    <row r="338" spans="22:25" x14ac:dyDescent="0.2">
      <c r="V338" s="1">
        <f t="shared" ca="1" si="5"/>
        <v>0.99</v>
      </c>
      <c r="W338" s="1" t="str">
        <f ca="1">VLOOKUP(tblDistributionTests[[#This Row],[Rand]]+MIN(tblFairTest[Score]),tblFairTest[],2,TRUE)</f>
        <v>Todd</v>
      </c>
      <c r="X338" s="1" t="str">
        <f ca="1">VLOOKUP(tblDistributionTests[[#This Row],[Rand]],tblNormalTestVl[],2,TRUE)</f>
        <v>Chuck</v>
      </c>
      <c r="Y338" s="11" t="e">
        <f ca="1">INDEX(tblNormalTestIM[],MATCH(tblDistributionTests[[#This Row],[Rand]],tblNormalTestIM[Score],-1),2)</f>
        <v>#N/A</v>
      </c>
    </row>
    <row r="339" spans="22:25" x14ac:dyDescent="0.2">
      <c r="V339" s="1">
        <f t="shared" ca="1" si="5"/>
        <v>0.08</v>
      </c>
      <c r="W339" s="1" t="e">
        <f ca="1">VLOOKUP(tblDistributionTests[[#This Row],[Rand]]+MIN(tblFairTest[Score]),tblFairTest[],2,TRUE)</f>
        <v>#N/A</v>
      </c>
      <c r="X339" s="1" t="str">
        <f ca="1">VLOOKUP(tblDistributionTests[[#This Row],[Rand]],tblNormalTestVl[],2,TRUE)</f>
        <v>Frank</v>
      </c>
      <c r="Y339" s="11" t="str">
        <f ca="1">INDEX(tblNormalTestIM[],MATCH(tblDistributionTests[[#This Row],[Rand]],tblNormalTestIM[Score],-1),2)</f>
        <v>William</v>
      </c>
    </row>
    <row r="340" spans="22:25" x14ac:dyDescent="0.2">
      <c r="V340" s="1">
        <f t="shared" ca="1" si="5"/>
        <v>0.09</v>
      </c>
      <c r="W340" s="1" t="e">
        <f ca="1">VLOOKUP(tblDistributionTests[[#This Row],[Rand]]+MIN(tblFairTest[Score]),tblFairTest[],2,TRUE)</f>
        <v>#N/A</v>
      </c>
      <c r="X340" s="1" t="str">
        <f ca="1">VLOOKUP(tblDistributionTests[[#This Row],[Rand]],tblNormalTestVl[],2,TRUE)</f>
        <v>Frank</v>
      </c>
      <c r="Y340" s="11" t="str">
        <f ca="1">INDEX(tblNormalTestIM[],MATCH(tblDistributionTests[[#This Row],[Rand]],tblNormalTestIM[Score],-1),2)</f>
        <v>William</v>
      </c>
    </row>
    <row r="341" spans="22:25" x14ac:dyDescent="0.2">
      <c r="V341" s="1">
        <f t="shared" ca="1" si="5"/>
        <v>0.81</v>
      </c>
      <c r="W341" s="1" t="str">
        <f ca="1">VLOOKUP(tblDistributionTests[[#This Row],[Rand]]+MIN(tblFairTest[Score]),tblFairTest[],2,TRUE)</f>
        <v>Todd</v>
      </c>
      <c r="X341" s="1" t="str">
        <f ca="1">VLOOKUP(tblDistributionTests[[#This Row],[Rand]],tblNormalTestVl[],2,TRUE)</f>
        <v>William</v>
      </c>
      <c r="Y341" s="11" t="str">
        <f ca="1">INDEX(tblNormalTestIM[],MATCH(tblDistributionTests[[#This Row],[Rand]],tblNormalTestIM[Score],-1),2)</f>
        <v>Frank</v>
      </c>
    </row>
    <row r="342" spans="22:25" x14ac:dyDescent="0.2">
      <c r="V342" s="1">
        <f t="shared" ca="1" si="5"/>
        <v>0.2</v>
      </c>
      <c r="W342" s="1" t="e">
        <f ca="1">VLOOKUP(tblDistributionTests[[#This Row],[Rand]]+MIN(tblFairTest[Score]),tblFairTest[],2,TRUE)</f>
        <v>#N/A</v>
      </c>
      <c r="X342" s="1" t="str">
        <f ca="1">VLOOKUP(tblDistributionTests[[#This Row],[Rand]],tblNormalTestVl[],2,TRUE)</f>
        <v>Frank</v>
      </c>
      <c r="Y342" s="11" t="str">
        <f ca="1">INDEX(tblNormalTestIM[],MATCH(tblDistributionTests[[#This Row],[Rand]],tblNormalTestIM[Score],-1),2)</f>
        <v>William</v>
      </c>
    </row>
    <row r="343" spans="22:25" x14ac:dyDescent="0.2">
      <c r="V343" s="1">
        <f t="shared" ca="1" si="5"/>
        <v>0.21</v>
      </c>
      <c r="W343" s="1" t="e">
        <f ca="1">VLOOKUP(tblDistributionTests[[#This Row],[Rand]]+MIN(tblFairTest[Score]),tblFairTest[],2,TRUE)</f>
        <v>#N/A</v>
      </c>
      <c r="X343" s="1" t="str">
        <f ca="1">VLOOKUP(tblDistributionTests[[#This Row],[Rand]],tblNormalTestVl[],2,TRUE)</f>
        <v>Frank</v>
      </c>
      <c r="Y343" s="11" t="str">
        <f ca="1">INDEX(tblNormalTestIM[],MATCH(tblDistributionTests[[#This Row],[Rand]],tblNormalTestIM[Score],-1),2)</f>
        <v>William</v>
      </c>
    </row>
    <row r="344" spans="22:25" x14ac:dyDescent="0.2">
      <c r="V344" s="1">
        <f t="shared" ca="1" si="5"/>
        <v>0.5</v>
      </c>
      <c r="W344" s="1" t="str">
        <f ca="1">VLOOKUP(tblDistributionTests[[#This Row],[Rand]]+MIN(tblFairTest[Score]),tblFairTest[],2,TRUE)</f>
        <v>Riley</v>
      </c>
      <c r="X344" s="1" t="str">
        <f ca="1">VLOOKUP(tblDistributionTests[[#This Row],[Rand]],tblNormalTestVl[],2,TRUE)</f>
        <v>Riley</v>
      </c>
      <c r="Y344" s="11" t="str">
        <f ca="1">INDEX(tblNormalTestIM[],MATCH(tblDistributionTests[[#This Row],[Rand]],tblNormalTestIM[Score],-1),2)</f>
        <v>Riley</v>
      </c>
    </row>
    <row r="345" spans="22:25" x14ac:dyDescent="0.2">
      <c r="V345" s="1">
        <f t="shared" ca="1" si="5"/>
        <v>0.14000000000000001</v>
      </c>
      <c r="W345" s="1" t="e">
        <f ca="1">VLOOKUP(tblDistributionTests[[#This Row],[Rand]]+MIN(tblFairTest[Score]),tblFairTest[],2,TRUE)</f>
        <v>#N/A</v>
      </c>
      <c r="X345" s="1" t="str">
        <f ca="1">VLOOKUP(tblDistributionTests[[#This Row],[Rand]],tblNormalTestVl[],2,TRUE)</f>
        <v>Frank</v>
      </c>
      <c r="Y345" s="11" t="str">
        <f ca="1">INDEX(tblNormalTestIM[],MATCH(tblDistributionTests[[#This Row],[Rand]],tblNormalTestIM[Score],-1),2)</f>
        <v>William</v>
      </c>
    </row>
    <row r="346" spans="22:25" x14ac:dyDescent="0.2">
      <c r="V346" s="1">
        <f t="shared" ca="1" si="5"/>
        <v>0.11</v>
      </c>
      <c r="W346" s="1" t="e">
        <f ca="1">VLOOKUP(tblDistributionTests[[#This Row],[Rand]]+MIN(tblFairTest[Score]),tblFairTest[],2,TRUE)</f>
        <v>#N/A</v>
      </c>
      <c r="X346" s="1" t="str">
        <f ca="1">VLOOKUP(tblDistributionTests[[#This Row],[Rand]],tblNormalTestVl[],2,TRUE)</f>
        <v>Frank</v>
      </c>
      <c r="Y346" s="11" t="str">
        <f ca="1">INDEX(tblNormalTestIM[],MATCH(tblDistributionTests[[#This Row],[Rand]],tblNormalTestIM[Score],-1),2)</f>
        <v>William</v>
      </c>
    </row>
    <row r="347" spans="22:25" x14ac:dyDescent="0.2">
      <c r="V347" s="1">
        <f t="shared" ca="1" si="5"/>
        <v>0.97</v>
      </c>
      <c r="W347" s="1" t="str">
        <f ca="1">VLOOKUP(tblDistributionTests[[#This Row],[Rand]]+MIN(tblFairTest[Score]),tblFairTest[],2,TRUE)</f>
        <v>Todd</v>
      </c>
      <c r="X347" s="1" t="str">
        <f ca="1">VLOOKUP(tblDistributionTests[[#This Row],[Rand]],tblNormalTestVl[],2,TRUE)</f>
        <v>Eric</v>
      </c>
      <c r="Y347" s="11" t="str">
        <f ca="1">INDEX(tblNormalTestIM[],MATCH(tblDistributionTests[[#This Row],[Rand]],tblNormalTestIM[Score],-1),2)</f>
        <v>Bill</v>
      </c>
    </row>
    <row r="348" spans="22:25" x14ac:dyDescent="0.2">
      <c r="V348" s="1">
        <f t="shared" ca="1" si="5"/>
        <v>0.4</v>
      </c>
      <c r="W348" s="1" t="e">
        <f ca="1">VLOOKUP(tblDistributionTests[[#This Row],[Rand]]+MIN(tblFairTest[Score]),tblFairTest[],2,TRUE)</f>
        <v>#N/A</v>
      </c>
      <c r="X348" s="1" t="str">
        <f ca="1">VLOOKUP(tblDistributionTests[[#This Row],[Rand]],tblNormalTestVl[],2,TRUE)</f>
        <v>Luke</v>
      </c>
      <c r="Y348" s="11" t="str">
        <f ca="1">INDEX(tblNormalTestIM[],MATCH(tblDistributionTests[[#This Row],[Rand]],tblNormalTestIM[Score],-1),2)</f>
        <v>Riley</v>
      </c>
    </row>
    <row r="349" spans="22:25" x14ac:dyDescent="0.2">
      <c r="V349" s="1">
        <f t="shared" ca="1" si="5"/>
        <v>0.64</v>
      </c>
      <c r="W349" s="1" t="str">
        <f ca="1">VLOOKUP(tblDistributionTests[[#This Row],[Rand]]+MIN(tblFairTest[Score]),tblFairTest[],2,TRUE)</f>
        <v>Todd</v>
      </c>
      <c r="X349" s="1" t="str">
        <f ca="1">VLOOKUP(tblDistributionTests[[#This Row],[Rand]],tblNormalTestVl[],2,TRUE)</f>
        <v>Riley</v>
      </c>
      <c r="Y349" s="11" t="str">
        <f ca="1">INDEX(tblNormalTestIM[],MATCH(tblDistributionTests[[#This Row],[Rand]],tblNormalTestIM[Score],-1),2)</f>
        <v>Luke</v>
      </c>
    </row>
    <row r="350" spans="22:25" x14ac:dyDescent="0.2">
      <c r="V350" s="1">
        <f t="shared" ca="1" si="5"/>
        <v>0.86</v>
      </c>
      <c r="W350" s="1" t="str">
        <f ca="1">VLOOKUP(tblDistributionTests[[#This Row],[Rand]]+MIN(tblFairTest[Score]),tblFairTest[],2,TRUE)</f>
        <v>Todd</v>
      </c>
      <c r="X350" s="1" t="str">
        <f ca="1">VLOOKUP(tblDistributionTests[[#This Row],[Rand]],tblNormalTestVl[],2,TRUE)</f>
        <v>William</v>
      </c>
      <c r="Y350" s="11" t="str">
        <f ca="1">INDEX(tblNormalTestIM[],MATCH(tblDistributionTests[[#This Row],[Rand]],tblNormalTestIM[Score],-1),2)</f>
        <v>Frank</v>
      </c>
    </row>
    <row r="351" spans="22:25" x14ac:dyDescent="0.2">
      <c r="V351" s="1">
        <f t="shared" ca="1" si="5"/>
        <v>0.54</v>
      </c>
      <c r="W351" s="1" t="str">
        <f ca="1">VLOOKUP(tblDistributionTests[[#This Row],[Rand]]+MIN(tblFairTest[Score]),tblFairTest[],2,TRUE)</f>
        <v>Todd</v>
      </c>
      <c r="X351" s="1" t="str">
        <f ca="1">VLOOKUP(tblDistributionTests[[#This Row],[Rand]],tblNormalTestVl[],2,TRUE)</f>
        <v>Riley</v>
      </c>
      <c r="Y351" s="11" t="str">
        <f ca="1">INDEX(tblNormalTestIM[],MATCH(tblDistributionTests[[#This Row],[Rand]],tblNormalTestIM[Score],-1),2)</f>
        <v>Luke</v>
      </c>
    </row>
    <row r="352" spans="22:25" x14ac:dyDescent="0.2">
      <c r="V352" s="1">
        <f t="shared" ca="1" si="5"/>
        <v>0.4</v>
      </c>
      <c r="W352" s="1" t="e">
        <f ca="1">VLOOKUP(tblDistributionTests[[#This Row],[Rand]]+MIN(tblFairTest[Score]),tblFairTest[],2,TRUE)</f>
        <v>#N/A</v>
      </c>
      <c r="X352" s="1" t="str">
        <f ca="1">VLOOKUP(tblDistributionTests[[#This Row],[Rand]],tblNormalTestVl[],2,TRUE)</f>
        <v>Luke</v>
      </c>
      <c r="Y352" s="11" t="str">
        <f ca="1">INDEX(tblNormalTestIM[],MATCH(tblDistributionTests[[#This Row],[Rand]],tblNormalTestIM[Score],-1),2)</f>
        <v>Riley</v>
      </c>
    </row>
    <row r="353" spans="22:25" x14ac:dyDescent="0.2">
      <c r="V353" s="1">
        <f t="shared" ca="1" si="5"/>
        <v>0.84</v>
      </c>
      <c r="W353" s="1" t="str">
        <f ca="1">VLOOKUP(tblDistributionTests[[#This Row],[Rand]]+MIN(tblFairTest[Score]),tblFairTest[],2,TRUE)</f>
        <v>Todd</v>
      </c>
      <c r="X353" s="1" t="str">
        <f ca="1">VLOOKUP(tblDistributionTests[[#This Row],[Rand]],tblNormalTestVl[],2,TRUE)</f>
        <v>William</v>
      </c>
      <c r="Y353" s="11" t="str">
        <f ca="1">INDEX(tblNormalTestIM[],MATCH(tblDistributionTests[[#This Row],[Rand]],tblNormalTestIM[Score],-1),2)</f>
        <v>Frank</v>
      </c>
    </row>
    <row r="354" spans="22:25" x14ac:dyDescent="0.2">
      <c r="V354" s="1">
        <f t="shared" ca="1" si="5"/>
        <v>0.06</v>
      </c>
      <c r="W354" s="1" t="e">
        <f ca="1">VLOOKUP(tblDistributionTests[[#This Row],[Rand]]+MIN(tblFairTest[Score]),tblFairTest[],2,TRUE)</f>
        <v>#N/A</v>
      </c>
      <c r="X354" s="1" t="str">
        <f ca="1">VLOOKUP(tblDistributionTests[[#This Row],[Rand]],tblNormalTestVl[],2,TRUE)</f>
        <v>Bill</v>
      </c>
      <c r="Y354" s="11" t="str">
        <f ca="1">INDEX(tblNormalTestIM[],MATCH(tblDistributionTests[[#This Row],[Rand]],tblNormalTestIM[Score],-1),2)</f>
        <v>Eric</v>
      </c>
    </row>
    <row r="355" spans="22:25" x14ac:dyDescent="0.2">
      <c r="V355" s="1">
        <f t="shared" ca="1" si="5"/>
        <v>0.97</v>
      </c>
      <c r="W355" s="1" t="str">
        <f ca="1">VLOOKUP(tblDistributionTests[[#This Row],[Rand]]+MIN(tblFairTest[Score]),tblFairTest[],2,TRUE)</f>
        <v>Todd</v>
      </c>
      <c r="X355" s="1" t="str">
        <f ca="1">VLOOKUP(tblDistributionTests[[#This Row],[Rand]],tblNormalTestVl[],2,TRUE)</f>
        <v>Eric</v>
      </c>
      <c r="Y355" s="11" t="str">
        <f ca="1">INDEX(tblNormalTestIM[],MATCH(tblDistributionTests[[#This Row],[Rand]],tblNormalTestIM[Score],-1),2)</f>
        <v>Bill</v>
      </c>
    </row>
    <row r="356" spans="22:25" x14ac:dyDescent="0.2">
      <c r="V356" s="1">
        <f t="shared" ca="1" si="5"/>
        <v>0.3</v>
      </c>
      <c r="W356" s="1" t="e">
        <f ca="1">VLOOKUP(tblDistributionTests[[#This Row],[Rand]]+MIN(tblFairTest[Score]),tblFairTest[],2,TRUE)</f>
        <v>#N/A</v>
      </c>
      <c r="X356" s="1" t="str">
        <f ca="1">VLOOKUP(tblDistributionTests[[#This Row],[Rand]],tblNormalTestVl[],2,TRUE)</f>
        <v>Luke</v>
      </c>
      <c r="Y356" s="11" t="str">
        <f ca="1">INDEX(tblNormalTestIM[],MATCH(tblDistributionTests[[#This Row],[Rand]],tblNormalTestIM[Score],-1),2)</f>
        <v>Riley</v>
      </c>
    </row>
    <row r="357" spans="22:25" x14ac:dyDescent="0.2">
      <c r="V357" s="1">
        <f t="shared" ca="1" si="5"/>
        <v>0.87</v>
      </c>
      <c r="W357" s="1" t="str">
        <f ca="1">VLOOKUP(tblDistributionTests[[#This Row],[Rand]]+MIN(tblFairTest[Score]),tblFairTest[],2,TRUE)</f>
        <v>Todd</v>
      </c>
      <c r="X357" s="1" t="str">
        <f ca="1">VLOOKUP(tblDistributionTests[[#This Row],[Rand]],tblNormalTestVl[],2,TRUE)</f>
        <v>William</v>
      </c>
      <c r="Y357" s="11" t="str">
        <f ca="1">INDEX(tblNormalTestIM[],MATCH(tblDistributionTests[[#This Row],[Rand]],tblNormalTestIM[Score],-1),2)</f>
        <v>Frank</v>
      </c>
    </row>
    <row r="358" spans="22:25" x14ac:dyDescent="0.2">
      <c r="V358" s="1">
        <f t="shared" ca="1" si="5"/>
        <v>0.88</v>
      </c>
      <c r="W358" s="1" t="str">
        <f ca="1">VLOOKUP(tblDistributionTests[[#This Row],[Rand]]+MIN(tblFairTest[Score]),tblFairTest[],2,TRUE)</f>
        <v>Todd</v>
      </c>
      <c r="X358" s="1" t="str">
        <f ca="1">VLOOKUP(tblDistributionTests[[#This Row],[Rand]],tblNormalTestVl[],2,TRUE)</f>
        <v>William</v>
      </c>
      <c r="Y358" s="11" t="str">
        <f ca="1">INDEX(tblNormalTestIM[],MATCH(tblDistributionTests[[#This Row],[Rand]],tblNormalTestIM[Score],-1),2)</f>
        <v>Frank</v>
      </c>
    </row>
    <row r="359" spans="22:25" x14ac:dyDescent="0.2">
      <c r="V359" s="1">
        <f t="shared" ca="1" si="5"/>
        <v>0.77</v>
      </c>
      <c r="W359" s="1" t="str">
        <f ca="1">VLOOKUP(tblDistributionTests[[#This Row],[Rand]]+MIN(tblFairTest[Score]),tblFairTest[],2,TRUE)</f>
        <v>Todd</v>
      </c>
      <c r="X359" s="1" t="str">
        <f ca="1">VLOOKUP(tblDistributionTests[[#This Row],[Rand]],tblNormalTestVl[],2,TRUE)</f>
        <v>Riley</v>
      </c>
      <c r="Y359" s="11" t="str">
        <f ca="1">INDEX(tblNormalTestIM[],MATCH(tblDistributionTests[[#This Row],[Rand]],tblNormalTestIM[Score],-1),2)</f>
        <v>Luke</v>
      </c>
    </row>
    <row r="360" spans="22:25" x14ac:dyDescent="0.2">
      <c r="V360" s="1">
        <f t="shared" ca="1" si="5"/>
        <v>0.23</v>
      </c>
      <c r="W360" s="1" t="e">
        <f ca="1">VLOOKUP(tblDistributionTests[[#This Row],[Rand]]+MIN(tblFairTest[Score]),tblFairTest[],2,TRUE)</f>
        <v>#N/A</v>
      </c>
      <c r="X360" s="1" t="str">
        <f ca="1">VLOOKUP(tblDistributionTests[[#This Row],[Rand]],tblNormalTestVl[],2,TRUE)</f>
        <v>Luke</v>
      </c>
      <c r="Y360" s="11" t="str">
        <f ca="1">INDEX(tblNormalTestIM[],MATCH(tblDistributionTests[[#This Row],[Rand]],tblNormalTestIM[Score],-1),2)</f>
        <v>Riley</v>
      </c>
    </row>
    <row r="361" spans="22:25" x14ac:dyDescent="0.2">
      <c r="V361" s="1">
        <f t="shared" ca="1" si="5"/>
        <v>0.93</v>
      </c>
      <c r="W361" s="1" t="str">
        <f ca="1">VLOOKUP(tblDistributionTests[[#This Row],[Rand]]+MIN(tblFairTest[Score]),tblFairTest[],2,TRUE)</f>
        <v>Todd</v>
      </c>
      <c r="X361" s="1" t="str">
        <f ca="1">VLOOKUP(tblDistributionTests[[#This Row],[Rand]],tblNormalTestVl[],2,TRUE)</f>
        <v>William</v>
      </c>
      <c r="Y361" s="11" t="str">
        <f ca="1">INDEX(tblNormalTestIM[],MATCH(tblDistributionTests[[#This Row],[Rand]],tblNormalTestIM[Score],-1),2)</f>
        <v>Frank</v>
      </c>
    </row>
    <row r="362" spans="22:25" x14ac:dyDescent="0.2">
      <c r="V362" s="1">
        <f t="shared" ca="1" si="5"/>
        <v>0.1</v>
      </c>
      <c r="W362" s="1" t="e">
        <f ca="1">VLOOKUP(tblDistributionTests[[#This Row],[Rand]]+MIN(tblFairTest[Score]),tblFairTest[],2,TRUE)</f>
        <v>#N/A</v>
      </c>
      <c r="X362" s="1" t="str">
        <f ca="1">VLOOKUP(tblDistributionTests[[#This Row],[Rand]],tblNormalTestVl[],2,TRUE)</f>
        <v>Frank</v>
      </c>
      <c r="Y362" s="11" t="str">
        <f ca="1">INDEX(tblNormalTestIM[],MATCH(tblDistributionTests[[#This Row],[Rand]],tblNormalTestIM[Score],-1),2)</f>
        <v>William</v>
      </c>
    </row>
    <row r="363" spans="22:25" x14ac:dyDescent="0.2">
      <c r="V363" s="1">
        <f t="shared" ca="1" si="5"/>
        <v>0.56999999999999995</v>
      </c>
      <c r="W363" s="1" t="str">
        <f ca="1">VLOOKUP(tblDistributionTests[[#This Row],[Rand]]+MIN(tblFairTest[Score]),tblFairTest[],2,TRUE)</f>
        <v>Todd</v>
      </c>
      <c r="X363" s="1" t="str">
        <f ca="1">VLOOKUP(tblDistributionTests[[#This Row],[Rand]],tblNormalTestVl[],2,TRUE)</f>
        <v>Riley</v>
      </c>
      <c r="Y363" s="11" t="str">
        <f ca="1">INDEX(tblNormalTestIM[],MATCH(tblDistributionTests[[#This Row],[Rand]],tblNormalTestIM[Score],-1),2)</f>
        <v>Luke</v>
      </c>
    </row>
    <row r="364" spans="22:25" x14ac:dyDescent="0.2">
      <c r="V364" s="1">
        <f t="shared" ca="1" si="5"/>
        <v>0.01</v>
      </c>
      <c r="W364" s="1" t="e">
        <f ca="1">VLOOKUP(tblDistributionTests[[#This Row],[Rand]]+MIN(tblFairTest[Score]),tblFairTest[],2,TRUE)</f>
        <v>#N/A</v>
      </c>
      <c r="X364" s="1" t="e">
        <f ca="1">VLOOKUP(tblDistributionTests[[#This Row],[Rand]],tblNormalTestVl[],2,TRUE)</f>
        <v>#N/A</v>
      </c>
      <c r="Y364" s="11" t="str">
        <f ca="1">INDEX(tblNormalTestIM[],MATCH(tblDistributionTests[[#This Row],[Rand]],tblNormalTestIM[Score],-1),2)</f>
        <v>Chuck</v>
      </c>
    </row>
    <row r="365" spans="22:25" x14ac:dyDescent="0.2">
      <c r="V365" s="1">
        <f t="shared" ca="1" si="5"/>
        <v>0.3</v>
      </c>
      <c r="W365" s="1" t="e">
        <f ca="1">VLOOKUP(tblDistributionTests[[#This Row],[Rand]]+MIN(tblFairTest[Score]),tblFairTest[],2,TRUE)</f>
        <v>#N/A</v>
      </c>
      <c r="X365" s="1" t="str">
        <f ca="1">VLOOKUP(tblDistributionTests[[#This Row],[Rand]],tblNormalTestVl[],2,TRUE)</f>
        <v>Luke</v>
      </c>
      <c r="Y365" s="11" t="str">
        <f ca="1">INDEX(tblNormalTestIM[],MATCH(tblDistributionTests[[#This Row],[Rand]],tblNormalTestIM[Score],-1),2)</f>
        <v>Riley</v>
      </c>
    </row>
    <row r="366" spans="22:25" x14ac:dyDescent="0.2">
      <c r="V366" s="1">
        <f t="shared" ca="1" si="5"/>
        <v>0.59</v>
      </c>
      <c r="W366" s="1" t="str">
        <f ca="1">VLOOKUP(tblDistributionTests[[#This Row],[Rand]]+MIN(tblFairTest[Score]),tblFairTest[],2,TRUE)</f>
        <v>Todd</v>
      </c>
      <c r="X366" s="1" t="str">
        <f ca="1">VLOOKUP(tblDistributionTests[[#This Row],[Rand]],tblNormalTestVl[],2,TRUE)</f>
        <v>Riley</v>
      </c>
      <c r="Y366" s="11" t="str">
        <f ca="1">INDEX(tblNormalTestIM[],MATCH(tblDistributionTests[[#This Row],[Rand]],tblNormalTestIM[Score],-1),2)</f>
        <v>Luke</v>
      </c>
    </row>
    <row r="367" spans="22:25" x14ac:dyDescent="0.2">
      <c r="V367" s="1">
        <f t="shared" ca="1" si="5"/>
        <v>0.56999999999999995</v>
      </c>
      <c r="W367" s="1" t="str">
        <f ca="1">VLOOKUP(tblDistributionTests[[#This Row],[Rand]]+MIN(tblFairTest[Score]),tblFairTest[],2,TRUE)</f>
        <v>Todd</v>
      </c>
      <c r="X367" s="1" t="str">
        <f ca="1">VLOOKUP(tblDistributionTests[[#This Row],[Rand]],tblNormalTestVl[],2,TRUE)</f>
        <v>Riley</v>
      </c>
      <c r="Y367" s="11" t="str">
        <f ca="1">INDEX(tblNormalTestIM[],MATCH(tblDistributionTests[[#This Row],[Rand]],tblNormalTestIM[Score],-1),2)</f>
        <v>Luke</v>
      </c>
    </row>
    <row r="368" spans="22:25" x14ac:dyDescent="0.2">
      <c r="V368" s="1">
        <f t="shared" ca="1" si="5"/>
        <v>0.4</v>
      </c>
      <c r="W368" s="1" t="e">
        <f ca="1">VLOOKUP(tblDistributionTests[[#This Row],[Rand]]+MIN(tblFairTest[Score]),tblFairTest[],2,TRUE)</f>
        <v>#N/A</v>
      </c>
      <c r="X368" s="1" t="str">
        <f ca="1">VLOOKUP(tblDistributionTests[[#This Row],[Rand]],tblNormalTestVl[],2,TRUE)</f>
        <v>Luke</v>
      </c>
      <c r="Y368" s="11" t="str">
        <f ca="1">INDEX(tblNormalTestIM[],MATCH(tblDistributionTests[[#This Row],[Rand]],tblNormalTestIM[Score],-1),2)</f>
        <v>Riley</v>
      </c>
    </row>
    <row r="369" spans="22:25" x14ac:dyDescent="0.2">
      <c r="V369" s="1">
        <f t="shared" ca="1" si="5"/>
        <v>0.32</v>
      </c>
      <c r="W369" s="1" t="e">
        <f ca="1">VLOOKUP(tblDistributionTests[[#This Row],[Rand]]+MIN(tblFairTest[Score]),tblFairTest[],2,TRUE)</f>
        <v>#N/A</v>
      </c>
      <c r="X369" s="1" t="str">
        <f ca="1">VLOOKUP(tblDistributionTests[[#This Row],[Rand]],tblNormalTestVl[],2,TRUE)</f>
        <v>Luke</v>
      </c>
      <c r="Y369" s="11" t="str">
        <f ca="1">INDEX(tblNormalTestIM[],MATCH(tblDistributionTests[[#This Row],[Rand]],tblNormalTestIM[Score],-1),2)</f>
        <v>Riley</v>
      </c>
    </row>
    <row r="370" spans="22:25" x14ac:dyDescent="0.2">
      <c r="V370" s="1">
        <f t="shared" ca="1" si="5"/>
        <v>0.78</v>
      </c>
      <c r="W370" s="1" t="str">
        <f ca="1">VLOOKUP(tblDistributionTests[[#This Row],[Rand]]+MIN(tblFairTest[Score]),tblFairTest[],2,TRUE)</f>
        <v>Todd</v>
      </c>
      <c r="X370" s="1" t="str">
        <f ca="1">VLOOKUP(tblDistributionTests[[#This Row],[Rand]],tblNormalTestVl[],2,TRUE)</f>
        <v>William</v>
      </c>
      <c r="Y370" s="11" t="str">
        <f ca="1">INDEX(tblNormalTestIM[],MATCH(tblDistributionTests[[#This Row],[Rand]],tblNormalTestIM[Score],-1),2)</f>
        <v>Frank</v>
      </c>
    </row>
    <row r="371" spans="22:25" x14ac:dyDescent="0.2">
      <c r="V371" s="1">
        <f t="shared" ca="1" si="5"/>
        <v>0.44</v>
      </c>
      <c r="W371" s="1" t="e">
        <f ca="1">VLOOKUP(tblDistributionTests[[#This Row],[Rand]]+MIN(tblFairTest[Score]),tblFairTest[],2,TRUE)</f>
        <v>#N/A</v>
      </c>
      <c r="X371" s="1" t="str">
        <f ca="1">VLOOKUP(tblDistributionTests[[#This Row],[Rand]],tblNormalTestVl[],2,TRUE)</f>
        <v>Luke</v>
      </c>
      <c r="Y371" s="11" t="str">
        <f ca="1">INDEX(tblNormalTestIM[],MATCH(tblDistributionTests[[#This Row],[Rand]],tblNormalTestIM[Score],-1),2)</f>
        <v>Riley</v>
      </c>
    </row>
    <row r="372" spans="22:25" x14ac:dyDescent="0.2">
      <c r="V372" s="1">
        <f t="shared" ca="1" si="5"/>
        <v>0.89</v>
      </c>
      <c r="W372" s="1" t="str">
        <f ca="1">VLOOKUP(tblDistributionTests[[#This Row],[Rand]]+MIN(tblFairTest[Score]),tblFairTest[],2,TRUE)</f>
        <v>Todd</v>
      </c>
      <c r="X372" s="1" t="str">
        <f ca="1">VLOOKUP(tblDistributionTests[[#This Row],[Rand]],tblNormalTestVl[],2,TRUE)</f>
        <v>William</v>
      </c>
      <c r="Y372" s="11" t="str">
        <f ca="1">INDEX(tblNormalTestIM[],MATCH(tblDistributionTests[[#This Row],[Rand]],tblNormalTestIM[Score],-1),2)</f>
        <v>Frank</v>
      </c>
    </row>
    <row r="373" spans="22:25" x14ac:dyDescent="0.2">
      <c r="V373" s="1">
        <f t="shared" ca="1" si="5"/>
        <v>0.42</v>
      </c>
      <c r="W373" s="1" t="e">
        <f ca="1">VLOOKUP(tblDistributionTests[[#This Row],[Rand]]+MIN(tblFairTest[Score]),tblFairTest[],2,TRUE)</f>
        <v>#N/A</v>
      </c>
      <c r="X373" s="1" t="str">
        <f ca="1">VLOOKUP(tblDistributionTests[[#This Row],[Rand]],tblNormalTestVl[],2,TRUE)</f>
        <v>Luke</v>
      </c>
      <c r="Y373" s="11" t="str">
        <f ca="1">INDEX(tblNormalTestIM[],MATCH(tblDistributionTests[[#This Row],[Rand]],tblNormalTestIM[Score],-1),2)</f>
        <v>Riley</v>
      </c>
    </row>
    <row r="374" spans="22:25" x14ac:dyDescent="0.2">
      <c r="V374" s="1">
        <f t="shared" ca="1" si="5"/>
        <v>0.27</v>
      </c>
      <c r="W374" s="1" t="e">
        <f ca="1">VLOOKUP(tblDistributionTests[[#This Row],[Rand]]+MIN(tblFairTest[Score]),tblFairTest[],2,TRUE)</f>
        <v>#N/A</v>
      </c>
      <c r="X374" s="1" t="str">
        <f ca="1">VLOOKUP(tblDistributionTests[[#This Row],[Rand]],tblNormalTestVl[],2,TRUE)</f>
        <v>Luke</v>
      </c>
      <c r="Y374" s="11" t="str">
        <f ca="1">INDEX(tblNormalTestIM[],MATCH(tblDistributionTests[[#This Row],[Rand]],tblNormalTestIM[Score],-1),2)</f>
        <v>Riley</v>
      </c>
    </row>
    <row r="375" spans="22:25" x14ac:dyDescent="0.2">
      <c r="V375" s="1">
        <f t="shared" ca="1" si="5"/>
        <v>0.86</v>
      </c>
      <c r="W375" s="1" t="str">
        <f ca="1">VLOOKUP(tblDistributionTests[[#This Row],[Rand]]+MIN(tblFairTest[Score]),tblFairTest[],2,TRUE)</f>
        <v>Todd</v>
      </c>
      <c r="X375" s="1" t="str">
        <f ca="1">VLOOKUP(tblDistributionTests[[#This Row],[Rand]],tblNormalTestVl[],2,TRUE)</f>
        <v>William</v>
      </c>
      <c r="Y375" s="11" t="str">
        <f ca="1">INDEX(tblNormalTestIM[],MATCH(tblDistributionTests[[#This Row],[Rand]],tblNormalTestIM[Score],-1),2)</f>
        <v>Frank</v>
      </c>
    </row>
    <row r="376" spans="22:25" x14ac:dyDescent="0.2">
      <c r="V376" s="1">
        <f t="shared" ca="1" si="5"/>
        <v>0.38</v>
      </c>
      <c r="W376" s="1" t="e">
        <f ca="1">VLOOKUP(tblDistributionTests[[#This Row],[Rand]]+MIN(tblFairTest[Score]),tblFairTest[],2,TRUE)</f>
        <v>#N/A</v>
      </c>
      <c r="X376" s="1" t="str">
        <f ca="1">VLOOKUP(tblDistributionTests[[#This Row],[Rand]],tblNormalTestVl[],2,TRUE)</f>
        <v>Luke</v>
      </c>
      <c r="Y376" s="11" t="str">
        <f ca="1">INDEX(tblNormalTestIM[],MATCH(tblDistributionTests[[#This Row],[Rand]],tblNormalTestIM[Score],-1),2)</f>
        <v>Riley</v>
      </c>
    </row>
    <row r="377" spans="22:25" x14ac:dyDescent="0.2">
      <c r="V377" s="1">
        <f t="shared" ca="1" si="5"/>
        <v>0.45</v>
      </c>
      <c r="W377" s="1" t="e">
        <f ca="1">VLOOKUP(tblDistributionTests[[#This Row],[Rand]]+MIN(tblFairTest[Score]),tblFairTest[],2,TRUE)</f>
        <v>#N/A</v>
      </c>
      <c r="X377" s="1" t="str">
        <f ca="1">VLOOKUP(tblDistributionTests[[#This Row],[Rand]],tblNormalTestVl[],2,TRUE)</f>
        <v>Luke</v>
      </c>
      <c r="Y377" s="11" t="str">
        <f ca="1">INDEX(tblNormalTestIM[],MATCH(tblDistributionTests[[#This Row],[Rand]],tblNormalTestIM[Score],-1),2)</f>
        <v>Riley</v>
      </c>
    </row>
    <row r="378" spans="22:25" x14ac:dyDescent="0.2">
      <c r="V378" s="1">
        <f t="shared" ca="1" si="5"/>
        <v>0.99</v>
      </c>
      <c r="W378" s="1" t="str">
        <f ca="1">VLOOKUP(tblDistributionTests[[#This Row],[Rand]]+MIN(tblFairTest[Score]),tblFairTest[],2,TRUE)</f>
        <v>Todd</v>
      </c>
      <c r="X378" s="1" t="str">
        <f ca="1">VLOOKUP(tblDistributionTests[[#This Row],[Rand]],tblNormalTestVl[],2,TRUE)</f>
        <v>Chuck</v>
      </c>
      <c r="Y378" s="11" t="e">
        <f ca="1">INDEX(tblNormalTestIM[],MATCH(tblDistributionTests[[#This Row],[Rand]],tblNormalTestIM[Score],-1),2)</f>
        <v>#N/A</v>
      </c>
    </row>
    <row r="379" spans="22:25" x14ac:dyDescent="0.2">
      <c r="V379" s="1">
        <f t="shared" ca="1" si="5"/>
        <v>0.18</v>
      </c>
      <c r="W379" s="1" t="e">
        <f ca="1">VLOOKUP(tblDistributionTests[[#This Row],[Rand]]+MIN(tblFairTest[Score]),tblFairTest[],2,TRUE)</f>
        <v>#N/A</v>
      </c>
      <c r="X379" s="1" t="str">
        <f ca="1">VLOOKUP(tblDistributionTests[[#This Row],[Rand]],tblNormalTestVl[],2,TRUE)</f>
        <v>Frank</v>
      </c>
      <c r="Y379" s="11" t="str">
        <f ca="1">INDEX(tblNormalTestIM[],MATCH(tblDistributionTests[[#This Row],[Rand]],tblNormalTestIM[Score],-1),2)</f>
        <v>William</v>
      </c>
    </row>
    <row r="380" spans="22:25" x14ac:dyDescent="0.2">
      <c r="V380" s="1">
        <f t="shared" ca="1" si="5"/>
        <v>0.68</v>
      </c>
      <c r="W380" s="1" t="str">
        <f ca="1">VLOOKUP(tblDistributionTests[[#This Row],[Rand]]+MIN(tblFairTest[Score]),tblFairTest[],2,TRUE)</f>
        <v>Todd</v>
      </c>
      <c r="X380" s="1" t="str">
        <f ca="1">VLOOKUP(tblDistributionTests[[#This Row],[Rand]],tblNormalTestVl[],2,TRUE)</f>
        <v>Riley</v>
      </c>
      <c r="Y380" s="11" t="str">
        <f ca="1">INDEX(tblNormalTestIM[],MATCH(tblDistributionTests[[#This Row],[Rand]],tblNormalTestIM[Score],-1),2)</f>
        <v>Luke</v>
      </c>
    </row>
    <row r="381" spans="22:25" x14ac:dyDescent="0.2">
      <c r="V381" s="1">
        <f t="shared" ca="1" si="5"/>
        <v>0.27</v>
      </c>
      <c r="W381" s="1" t="e">
        <f ca="1">VLOOKUP(tblDistributionTests[[#This Row],[Rand]]+MIN(tblFairTest[Score]),tblFairTest[],2,TRUE)</f>
        <v>#N/A</v>
      </c>
      <c r="X381" s="1" t="str">
        <f ca="1">VLOOKUP(tblDistributionTests[[#This Row],[Rand]],tblNormalTestVl[],2,TRUE)</f>
        <v>Luke</v>
      </c>
      <c r="Y381" s="11" t="str">
        <f ca="1">INDEX(tblNormalTestIM[],MATCH(tblDistributionTests[[#This Row],[Rand]],tblNormalTestIM[Score],-1),2)</f>
        <v>Riley</v>
      </c>
    </row>
    <row r="382" spans="22:25" x14ac:dyDescent="0.2">
      <c r="V382" s="1">
        <f t="shared" ca="1" si="5"/>
        <v>0.77</v>
      </c>
      <c r="W382" s="1" t="str">
        <f ca="1">VLOOKUP(tblDistributionTests[[#This Row],[Rand]]+MIN(tblFairTest[Score]),tblFairTest[],2,TRUE)</f>
        <v>Todd</v>
      </c>
      <c r="X382" s="1" t="str">
        <f ca="1">VLOOKUP(tblDistributionTests[[#This Row],[Rand]],tblNormalTestVl[],2,TRUE)</f>
        <v>Riley</v>
      </c>
      <c r="Y382" s="11" t="str">
        <f ca="1">INDEX(tblNormalTestIM[],MATCH(tblDistributionTests[[#This Row],[Rand]],tblNormalTestIM[Score],-1),2)</f>
        <v>Luke</v>
      </c>
    </row>
    <row r="383" spans="22:25" x14ac:dyDescent="0.2">
      <c r="V383" s="1">
        <f t="shared" ca="1" si="5"/>
        <v>0.81</v>
      </c>
      <c r="W383" s="1" t="str">
        <f ca="1">VLOOKUP(tblDistributionTests[[#This Row],[Rand]]+MIN(tblFairTest[Score]),tblFairTest[],2,TRUE)</f>
        <v>Todd</v>
      </c>
      <c r="X383" s="1" t="str">
        <f ca="1">VLOOKUP(tblDistributionTests[[#This Row],[Rand]],tblNormalTestVl[],2,TRUE)</f>
        <v>William</v>
      </c>
      <c r="Y383" s="11" t="str">
        <f ca="1">INDEX(tblNormalTestIM[],MATCH(tblDistributionTests[[#This Row],[Rand]],tblNormalTestIM[Score],-1),2)</f>
        <v>Frank</v>
      </c>
    </row>
    <row r="384" spans="22:25" x14ac:dyDescent="0.2">
      <c r="V384" s="1">
        <f t="shared" ca="1" si="5"/>
        <v>0.56999999999999995</v>
      </c>
      <c r="W384" s="1" t="str">
        <f ca="1">VLOOKUP(tblDistributionTests[[#This Row],[Rand]]+MIN(tblFairTest[Score]),tblFairTest[],2,TRUE)</f>
        <v>Todd</v>
      </c>
      <c r="X384" s="1" t="str">
        <f ca="1">VLOOKUP(tblDistributionTests[[#This Row],[Rand]],tblNormalTestVl[],2,TRUE)</f>
        <v>Riley</v>
      </c>
      <c r="Y384" s="11" t="str">
        <f ca="1">INDEX(tblNormalTestIM[],MATCH(tblDistributionTests[[#This Row],[Rand]],tblNormalTestIM[Score],-1),2)</f>
        <v>Luke</v>
      </c>
    </row>
    <row r="385" spans="22:25" x14ac:dyDescent="0.2">
      <c r="V385" s="1">
        <f t="shared" ca="1" si="5"/>
        <v>0.34</v>
      </c>
      <c r="W385" s="1" t="e">
        <f ca="1">VLOOKUP(tblDistributionTests[[#This Row],[Rand]]+MIN(tblFairTest[Score]),tblFairTest[],2,TRUE)</f>
        <v>#N/A</v>
      </c>
      <c r="X385" s="1" t="str">
        <f ca="1">VLOOKUP(tblDistributionTests[[#This Row],[Rand]],tblNormalTestVl[],2,TRUE)</f>
        <v>Luke</v>
      </c>
      <c r="Y385" s="11" t="str">
        <f ca="1">INDEX(tblNormalTestIM[],MATCH(tblDistributionTests[[#This Row],[Rand]],tblNormalTestIM[Score],-1),2)</f>
        <v>Riley</v>
      </c>
    </row>
    <row r="386" spans="22:25" x14ac:dyDescent="0.2">
      <c r="V386" s="1">
        <f t="shared" ca="1" si="5"/>
        <v>0.5</v>
      </c>
      <c r="W386" s="1" t="str">
        <f ca="1">VLOOKUP(tblDistributionTests[[#This Row],[Rand]]+MIN(tblFairTest[Score]),tblFairTest[],2,TRUE)</f>
        <v>Riley</v>
      </c>
      <c r="X386" s="1" t="str">
        <f ca="1">VLOOKUP(tblDistributionTests[[#This Row],[Rand]],tblNormalTestVl[],2,TRUE)</f>
        <v>Riley</v>
      </c>
      <c r="Y386" s="11" t="str">
        <f ca="1">INDEX(tblNormalTestIM[],MATCH(tblDistributionTests[[#This Row],[Rand]],tblNormalTestIM[Score],-1),2)</f>
        <v>Riley</v>
      </c>
    </row>
    <row r="387" spans="22:25" x14ac:dyDescent="0.2">
      <c r="V387" s="1">
        <f t="shared" ca="1" si="5"/>
        <v>0.82</v>
      </c>
      <c r="W387" s="1" t="str">
        <f ca="1">VLOOKUP(tblDistributionTests[[#This Row],[Rand]]+MIN(tblFairTest[Score]),tblFairTest[],2,TRUE)</f>
        <v>Todd</v>
      </c>
      <c r="X387" s="1" t="str">
        <f ca="1">VLOOKUP(tblDistributionTests[[#This Row],[Rand]],tblNormalTestVl[],2,TRUE)</f>
        <v>William</v>
      </c>
      <c r="Y387" s="11" t="str">
        <f ca="1">INDEX(tblNormalTestIM[],MATCH(tblDistributionTests[[#This Row],[Rand]],tblNormalTestIM[Score],-1),2)</f>
        <v>Frank</v>
      </c>
    </row>
    <row r="388" spans="22:25" x14ac:dyDescent="0.2">
      <c r="V388" s="1">
        <f t="shared" ca="1" si="5"/>
        <v>0.95</v>
      </c>
      <c r="W388" s="1" t="str">
        <f ca="1">VLOOKUP(tblDistributionTests[[#This Row],[Rand]]+MIN(tblFairTest[Score]),tblFairTest[],2,TRUE)</f>
        <v>Todd</v>
      </c>
      <c r="X388" s="1" t="str">
        <f ca="1">VLOOKUP(tblDistributionTests[[#This Row],[Rand]],tblNormalTestVl[],2,TRUE)</f>
        <v>Eric</v>
      </c>
      <c r="Y388" s="11" t="str">
        <f ca="1">INDEX(tblNormalTestIM[],MATCH(tblDistributionTests[[#This Row],[Rand]],tblNormalTestIM[Score],-1),2)</f>
        <v>Bill</v>
      </c>
    </row>
    <row r="389" spans="22:25" x14ac:dyDescent="0.2">
      <c r="V389" s="1">
        <f t="shared" ca="1" si="5"/>
        <v>0.85</v>
      </c>
      <c r="W389" s="1" t="str">
        <f ca="1">VLOOKUP(tblDistributionTests[[#This Row],[Rand]]+MIN(tblFairTest[Score]),tblFairTest[],2,TRUE)</f>
        <v>Todd</v>
      </c>
      <c r="X389" s="1" t="str">
        <f ca="1">VLOOKUP(tblDistributionTests[[#This Row],[Rand]],tblNormalTestVl[],2,TRUE)</f>
        <v>William</v>
      </c>
      <c r="Y389" s="11" t="str">
        <f ca="1">INDEX(tblNormalTestIM[],MATCH(tblDistributionTests[[#This Row],[Rand]],tblNormalTestIM[Score],-1),2)</f>
        <v>Frank</v>
      </c>
    </row>
    <row r="390" spans="22:25" x14ac:dyDescent="0.2">
      <c r="V390" s="1">
        <f t="shared" ca="1" si="5"/>
        <v>0.31</v>
      </c>
      <c r="W390" s="1" t="e">
        <f ca="1">VLOOKUP(tblDistributionTests[[#This Row],[Rand]]+MIN(tblFairTest[Score]),tblFairTest[],2,TRUE)</f>
        <v>#N/A</v>
      </c>
      <c r="X390" s="1" t="str">
        <f ca="1">VLOOKUP(tblDistributionTests[[#This Row],[Rand]],tblNormalTestVl[],2,TRUE)</f>
        <v>Luke</v>
      </c>
      <c r="Y390" s="11" t="str">
        <f ca="1">INDEX(tblNormalTestIM[],MATCH(tblDistributionTests[[#This Row],[Rand]],tblNormalTestIM[Score],-1),2)</f>
        <v>Riley</v>
      </c>
    </row>
    <row r="391" spans="22:25" x14ac:dyDescent="0.2">
      <c r="V391" s="1">
        <f t="shared" ca="1" si="5"/>
        <v>0.71</v>
      </c>
      <c r="W391" s="1" t="str">
        <f ca="1">VLOOKUP(tblDistributionTests[[#This Row],[Rand]]+MIN(tblFairTest[Score]),tblFairTest[],2,TRUE)</f>
        <v>Todd</v>
      </c>
      <c r="X391" s="1" t="str">
        <f ca="1">VLOOKUP(tblDistributionTests[[#This Row],[Rand]],tblNormalTestVl[],2,TRUE)</f>
        <v>Riley</v>
      </c>
      <c r="Y391" s="11" t="str">
        <f ca="1">INDEX(tblNormalTestIM[],MATCH(tblDistributionTests[[#This Row],[Rand]],tblNormalTestIM[Score],-1),2)</f>
        <v>Luke</v>
      </c>
    </row>
    <row r="392" spans="22:25" x14ac:dyDescent="0.2">
      <c r="V392" s="1">
        <f t="shared" ref="V392:V455" ca="1" si="6">RANDBETWEEN(1,100)/100</f>
        <v>0.01</v>
      </c>
      <c r="W392" s="1" t="e">
        <f ca="1">VLOOKUP(tblDistributionTests[[#This Row],[Rand]]+MIN(tblFairTest[Score]),tblFairTest[],2,TRUE)</f>
        <v>#N/A</v>
      </c>
      <c r="X392" s="1" t="e">
        <f ca="1">VLOOKUP(tblDistributionTests[[#This Row],[Rand]],tblNormalTestVl[],2,TRUE)</f>
        <v>#N/A</v>
      </c>
      <c r="Y392" s="11" t="str">
        <f ca="1">INDEX(tblNormalTestIM[],MATCH(tblDistributionTests[[#This Row],[Rand]],tblNormalTestIM[Score],-1),2)</f>
        <v>Chuck</v>
      </c>
    </row>
    <row r="393" spans="22:25" x14ac:dyDescent="0.2">
      <c r="V393" s="1">
        <f t="shared" ca="1" si="6"/>
        <v>0.69</v>
      </c>
      <c r="W393" s="1" t="str">
        <f ca="1">VLOOKUP(tblDistributionTests[[#This Row],[Rand]]+MIN(tblFairTest[Score]),tblFairTest[],2,TRUE)</f>
        <v>Todd</v>
      </c>
      <c r="X393" s="1" t="str">
        <f ca="1">VLOOKUP(tblDistributionTests[[#This Row],[Rand]],tblNormalTestVl[],2,TRUE)</f>
        <v>Riley</v>
      </c>
      <c r="Y393" s="11" t="str">
        <f ca="1">INDEX(tblNormalTestIM[],MATCH(tblDistributionTests[[#This Row],[Rand]],tblNormalTestIM[Score],-1),2)</f>
        <v>Luke</v>
      </c>
    </row>
    <row r="394" spans="22:25" x14ac:dyDescent="0.2">
      <c r="V394" s="1">
        <f t="shared" ca="1" si="6"/>
        <v>0.13</v>
      </c>
      <c r="W394" s="1" t="e">
        <f ca="1">VLOOKUP(tblDistributionTests[[#This Row],[Rand]]+MIN(tblFairTest[Score]),tblFairTest[],2,TRUE)</f>
        <v>#N/A</v>
      </c>
      <c r="X394" s="1" t="str">
        <f ca="1">VLOOKUP(tblDistributionTests[[#This Row],[Rand]],tblNormalTestVl[],2,TRUE)</f>
        <v>Frank</v>
      </c>
      <c r="Y394" s="11" t="str">
        <f ca="1">INDEX(tblNormalTestIM[],MATCH(tblDistributionTests[[#This Row],[Rand]],tblNormalTestIM[Score],-1),2)</f>
        <v>William</v>
      </c>
    </row>
    <row r="395" spans="22:25" x14ac:dyDescent="0.2">
      <c r="V395" s="1">
        <f t="shared" ca="1" si="6"/>
        <v>0.87</v>
      </c>
      <c r="W395" s="1" t="str">
        <f ca="1">VLOOKUP(tblDistributionTests[[#This Row],[Rand]]+MIN(tblFairTest[Score]),tblFairTest[],2,TRUE)</f>
        <v>Todd</v>
      </c>
      <c r="X395" s="1" t="str">
        <f ca="1">VLOOKUP(tblDistributionTests[[#This Row],[Rand]],tblNormalTestVl[],2,TRUE)</f>
        <v>William</v>
      </c>
      <c r="Y395" s="11" t="str">
        <f ca="1">INDEX(tblNormalTestIM[],MATCH(tblDistributionTests[[#This Row],[Rand]],tblNormalTestIM[Score],-1),2)</f>
        <v>Frank</v>
      </c>
    </row>
    <row r="396" spans="22:25" x14ac:dyDescent="0.2">
      <c r="V396" s="1">
        <f t="shared" ca="1" si="6"/>
        <v>0.7</v>
      </c>
      <c r="W396" s="1" t="str">
        <f ca="1">VLOOKUP(tblDistributionTests[[#This Row],[Rand]]+MIN(tblFairTest[Score]),tblFairTest[],2,TRUE)</f>
        <v>Todd</v>
      </c>
      <c r="X396" s="1" t="str">
        <f ca="1">VLOOKUP(tblDistributionTests[[#This Row],[Rand]],tblNormalTestVl[],2,TRUE)</f>
        <v>Riley</v>
      </c>
      <c r="Y396" s="11" t="str">
        <f ca="1">INDEX(tblNormalTestIM[],MATCH(tblDistributionTests[[#This Row],[Rand]],tblNormalTestIM[Score],-1),2)</f>
        <v>Luke</v>
      </c>
    </row>
    <row r="397" spans="22:25" x14ac:dyDescent="0.2">
      <c r="V397" s="1">
        <f t="shared" ca="1" si="6"/>
        <v>0.35</v>
      </c>
      <c r="W397" s="1" t="e">
        <f ca="1">VLOOKUP(tblDistributionTests[[#This Row],[Rand]]+MIN(tblFairTest[Score]),tblFairTest[],2,TRUE)</f>
        <v>#N/A</v>
      </c>
      <c r="X397" s="1" t="str">
        <f ca="1">VLOOKUP(tblDistributionTests[[#This Row],[Rand]],tblNormalTestVl[],2,TRUE)</f>
        <v>Luke</v>
      </c>
      <c r="Y397" s="11" t="str">
        <f ca="1">INDEX(tblNormalTestIM[],MATCH(tblDistributionTests[[#This Row],[Rand]],tblNormalTestIM[Score],-1),2)</f>
        <v>Riley</v>
      </c>
    </row>
    <row r="398" spans="22:25" x14ac:dyDescent="0.2">
      <c r="V398" s="1">
        <f t="shared" ca="1" si="6"/>
        <v>0.43</v>
      </c>
      <c r="W398" s="1" t="e">
        <f ca="1">VLOOKUP(tblDistributionTests[[#This Row],[Rand]]+MIN(tblFairTest[Score]),tblFairTest[],2,TRUE)</f>
        <v>#N/A</v>
      </c>
      <c r="X398" s="1" t="str">
        <f ca="1">VLOOKUP(tblDistributionTests[[#This Row],[Rand]],tblNormalTestVl[],2,TRUE)</f>
        <v>Luke</v>
      </c>
      <c r="Y398" s="11" t="str">
        <f ca="1">INDEX(tblNormalTestIM[],MATCH(tblDistributionTests[[#This Row],[Rand]],tblNormalTestIM[Score],-1),2)</f>
        <v>Riley</v>
      </c>
    </row>
    <row r="399" spans="22:25" x14ac:dyDescent="0.2">
      <c r="V399" s="1">
        <f t="shared" ca="1" si="6"/>
        <v>0.45</v>
      </c>
      <c r="W399" s="1" t="e">
        <f ca="1">VLOOKUP(tblDistributionTests[[#This Row],[Rand]]+MIN(tblFairTest[Score]),tblFairTest[],2,TRUE)</f>
        <v>#N/A</v>
      </c>
      <c r="X399" s="1" t="str">
        <f ca="1">VLOOKUP(tblDistributionTests[[#This Row],[Rand]],tblNormalTestVl[],2,TRUE)</f>
        <v>Luke</v>
      </c>
      <c r="Y399" s="11" t="str">
        <f ca="1">INDEX(tblNormalTestIM[],MATCH(tblDistributionTests[[#This Row],[Rand]],tblNormalTestIM[Score],-1),2)</f>
        <v>Riley</v>
      </c>
    </row>
    <row r="400" spans="22:25" x14ac:dyDescent="0.2">
      <c r="V400" s="1">
        <f t="shared" ca="1" si="6"/>
        <v>0.83</v>
      </c>
      <c r="W400" s="1" t="str">
        <f ca="1">VLOOKUP(tblDistributionTests[[#This Row],[Rand]]+MIN(tblFairTest[Score]),tblFairTest[],2,TRUE)</f>
        <v>Todd</v>
      </c>
      <c r="X400" s="1" t="str">
        <f ca="1">VLOOKUP(tblDistributionTests[[#This Row],[Rand]],tblNormalTestVl[],2,TRUE)</f>
        <v>William</v>
      </c>
      <c r="Y400" s="11" t="str">
        <f ca="1">INDEX(tblNormalTestIM[],MATCH(tblDistributionTests[[#This Row],[Rand]],tblNormalTestIM[Score],-1),2)</f>
        <v>Frank</v>
      </c>
    </row>
    <row r="401" spans="22:25" x14ac:dyDescent="0.2">
      <c r="V401" s="1">
        <f t="shared" ca="1" si="6"/>
        <v>0.34</v>
      </c>
      <c r="W401" s="1" t="e">
        <f ca="1">VLOOKUP(tblDistributionTests[[#This Row],[Rand]]+MIN(tblFairTest[Score]),tblFairTest[],2,TRUE)</f>
        <v>#N/A</v>
      </c>
      <c r="X401" s="1" t="str">
        <f ca="1">VLOOKUP(tblDistributionTests[[#This Row],[Rand]],tblNormalTestVl[],2,TRUE)</f>
        <v>Luke</v>
      </c>
      <c r="Y401" s="11" t="str">
        <f ca="1">INDEX(tblNormalTestIM[],MATCH(tblDistributionTests[[#This Row],[Rand]],tblNormalTestIM[Score],-1),2)</f>
        <v>Riley</v>
      </c>
    </row>
    <row r="402" spans="22:25" x14ac:dyDescent="0.2">
      <c r="V402" s="1">
        <f t="shared" ca="1" si="6"/>
        <v>0.34</v>
      </c>
      <c r="W402" s="1" t="e">
        <f ca="1">VLOOKUP(tblDistributionTests[[#This Row],[Rand]]+MIN(tblFairTest[Score]),tblFairTest[],2,TRUE)</f>
        <v>#N/A</v>
      </c>
      <c r="X402" s="1" t="str">
        <f ca="1">VLOOKUP(tblDistributionTests[[#This Row],[Rand]],tblNormalTestVl[],2,TRUE)</f>
        <v>Luke</v>
      </c>
      <c r="Y402" s="11" t="str">
        <f ca="1">INDEX(tblNormalTestIM[],MATCH(tblDistributionTests[[#This Row],[Rand]],tblNormalTestIM[Score],-1),2)</f>
        <v>Riley</v>
      </c>
    </row>
    <row r="403" spans="22:25" x14ac:dyDescent="0.2">
      <c r="V403" s="1">
        <f t="shared" ca="1" si="6"/>
        <v>0.64</v>
      </c>
      <c r="W403" s="1" t="str">
        <f ca="1">VLOOKUP(tblDistributionTests[[#This Row],[Rand]]+MIN(tblFairTest[Score]),tblFairTest[],2,TRUE)</f>
        <v>Todd</v>
      </c>
      <c r="X403" s="1" t="str">
        <f ca="1">VLOOKUP(tblDistributionTests[[#This Row],[Rand]],tblNormalTestVl[],2,TRUE)</f>
        <v>Riley</v>
      </c>
      <c r="Y403" s="11" t="str">
        <f ca="1">INDEX(tblNormalTestIM[],MATCH(tblDistributionTests[[#This Row],[Rand]],tblNormalTestIM[Score],-1),2)</f>
        <v>Luke</v>
      </c>
    </row>
    <row r="404" spans="22:25" x14ac:dyDescent="0.2">
      <c r="V404" s="1">
        <f t="shared" ca="1" si="6"/>
        <v>0.94</v>
      </c>
      <c r="W404" s="1" t="str">
        <f ca="1">VLOOKUP(tblDistributionTests[[#This Row],[Rand]]+MIN(tblFairTest[Score]),tblFairTest[],2,TRUE)</f>
        <v>Todd</v>
      </c>
      <c r="X404" s="1" t="str">
        <f ca="1">VLOOKUP(tblDistributionTests[[#This Row],[Rand]],tblNormalTestVl[],2,TRUE)</f>
        <v>Eric</v>
      </c>
      <c r="Y404" s="11" t="str">
        <f ca="1">INDEX(tblNormalTestIM[],MATCH(tblDistributionTests[[#This Row],[Rand]],tblNormalTestIM[Score],-1),2)</f>
        <v>Bill</v>
      </c>
    </row>
    <row r="405" spans="22:25" x14ac:dyDescent="0.2">
      <c r="V405" s="1">
        <f t="shared" ca="1" si="6"/>
        <v>0.16</v>
      </c>
      <c r="W405" s="1" t="e">
        <f ca="1">VLOOKUP(tblDistributionTests[[#This Row],[Rand]]+MIN(tblFairTest[Score]),tblFairTest[],2,TRUE)</f>
        <v>#N/A</v>
      </c>
      <c r="X405" s="1" t="str">
        <f ca="1">VLOOKUP(tblDistributionTests[[#This Row],[Rand]],tblNormalTestVl[],2,TRUE)</f>
        <v>Frank</v>
      </c>
      <c r="Y405" s="11" t="str">
        <f ca="1">INDEX(tblNormalTestIM[],MATCH(tblDistributionTests[[#This Row],[Rand]],tblNormalTestIM[Score],-1),2)</f>
        <v>William</v>
      </c>
    </row>
    <row r="406" spans="22:25" x14ac:dyDescent="0.2">
      <c r="V406" s="1">
        <f t="shared" ca="1" si="6"/>
        <v>0.59</v>
      </c>
      <c r="W406" s="1" t="str">
        <f ca="1">VLOOKUP(tblDistributionTests[[#This Row],[Rand]]+MIN(tblFairTest[Score]),tblFairTest[],2,TRUE)</f>
        <v>Todd</v>
      </c>
      <c r="X406" s="1" t="str">
        <f ca="1">VLOOKUP(tblDistributionTests[[#This Row],[Rand]],tblNormalTestVl[],2,TRUE)</f>
        <v>Riley</v>
      </c>
      <c r="Y406" s="11" t="str">
        <f ca="1">INDEX(tblNormalTestIM[],MATCH(tblDistributionTests[[#This Row],[Rand]],tblNormalTestIM[Score],-1),2)</f>
        <v>Luke</v>
      </c>
    </row>
    <row r="407" spans="22:25" x14ac:dyDescent="0.2">
      <c r="V407" s="1">
        <f t="shared" ca="1" si="6"/>
        <v>0.45</v>
      </c>
      <c r="W407" s="1" t="e">
        <f ca="1">VLOOKUP(tblDistributionTests[[#This Row],[Rand]]+MIN(tblFairTest[Score]),tblFairTest[],2,TRUE)</f>
        <v>#N/A</v>
      </c>
      <c r="X407" s="1" t="str">
        <f ca="1">VLOOKUP(tblDistributionTests[[#This Row],[Rand]],tblNormalTestVl[],2,TRUE)</f>
        <v>Luke</v>
      </c>
      <c r="Y407" s="11" t="str">
        <f ca="1">INDEX(tblNormalTestIM[],MATCH(tblDistributionTests[[#This Row],[Rand]],tblNormalTestIM[Score],-1),2)</f>
        <v>Riley</v>
      </c>
    </row>
    <row r="408" spans="22:25" x14ac:dyDescent="0.2">
      <c r="V408" s="1">
        <f t="shared" ca="1" si="6"/>
        <v>0.79</v>
      </c>
      <c r="W408" s="1" t="str">
        <f ca="1">VLOOKUP(tblDistributionTests[[#This Row],[Rand]]+MIN(tblFairTest[Score]),tblFairTest[],2,TRUE)</f>
        <v>Todd</v>
      </c>
      <c r="X408" s="1" t="str">
        <f ca="1">VLOOKUP(tblDistributionTests[[#This Row],[Rand]],tblNormalTestVl[],2,TRUE)</f>
        <v>William</v>
      </c>
      <c r="Y408" s="11" t="str">
        <f ca="1">INDEX(tblNormalTestIM[],MATCH(tblDistributionTests[[#This Row],[Rand]],tblNormalTestIM[Score],-1),2)</f>
        <v>Frank</v>
      </c>
    </row>
    <row r="409" spans="22:25" x14ac:dyDescent="0.2">
      <c r="V409" s="1">
        <f t="shared" ca="1" si="6"/>
        <v>0.36</v>
      </c>
      <c r="W409" s="1" t="e">
        <f ca="1">VLOOKUP(tblDistributionTests[[#This Row],[Rand]]+MIN(tblFairTest[Score]),tblFairTest[],2,TRUE)</f>
        <v>#N/A</v>
      </c>
      <c r="X409" s="1" t="str">
        <f ca="1">VLOOKUP(tblDistributionTests[[#This Row],[Rand]],tblNormalTestVl[],2,TRUE)</f>
        <v>Luke</v>
      </c>
      <c r="Y409" s="11" t="str">
        <f ca="1">INDEX(tblNormalTestIM[],MATCH(tblDistributionTests[[#This Row],[Rand]],tblNormalTestIM[Score],-1),2)</f>
        <v>Riley</v>
      </c>
    </row>
    <row r="410" spans="22:25" x14ac:dyDescent="0.2">
      <c r="V410" s="1">
        <f t="shared" ca="1" si="6"/>
        <v>0.82</v>
      </c>
      <c r="W410" s="1" t="str">
        <f ca="1">VLOOKUP(tblDistributionTests[[#This Row],[Rand]]+MIN(tblFairTest[Score]),tblFairTest[],2,TRUE)</f>
        <v>Todd</v>
      </c>
      <c r="X410" s="1" t="str">
        <f ca="1">VLOOKUP(tblDistributionTests[[#This Row],[Rand]],tblNormalTestVl[],2,TRUE)</f>
        <v>William</v>
      </c>
      <c r="Y410" s="11" t="str">
        <f ca="1">INDEX(tblNormalTestIM[],MATCH(tblDistributionTests[[#This Row],[Rand]],tblNormalTestIM[Score],-1),2)</f>
        <v>Frank</v>
      </c>
    </row>
    <row r="411" spans="22:25" x14ac:dyDescent="0.2">
      <c r="V411" s="1">
        <f t="shared" ca="1" si="6"/>
        <v>0.73</v>
      </c>
      <c r="W411" s="1" t="str">
        <f ca="1">VLOOKUP(tblDistributionTests[[#This Row],[Rand]]+MIN(tblFairTest[Score]),tblFairTest[],2,TRUE)</f>
        <v>Todd</v>
      </c>
      <c r="X411" s="1" t="str">
        <f ca="1">VLOOKUP(tblDistributionTests[[#This Row],[Rand]],tblNormalTestVl[],2,TRUE)</f>
        <v>Riley</v>
      </c>
      <c r="Y411" s="11" t="str">
        <f ca="1">INDEX(tblNormalTestIM[],MATCH(tblDistributionTests[[#This Row],[Rand]],tblNormalTestIM[Score],-1),2)</f>
        <v>Luke</v>
      </c>
    </row>
    <row r="412" spans="22:25" x14ac:dyDescent="0.2">
      <c r="V412" s="1">
        <f t="shared" ca="1" si="6"/>
        <v>0.57999999999999996</v>
      </c>
      <c r="W412" s="1" t="str">
        <f ca="1">VLOOKUP(tblDistributionTests[[#This Row],[Rand]]+MIN(tblFairTest[Score]),tblFairTest[],2,TRUE)</f>
        <v>Todd</v>
      </c>
      <c r="X412" s="1" t="str">
        <f ca="1">VLOOKUP(tblDistributionTests[[#This Row],[Rand]],tblNormalTestVl[],2,TRUE)</f>
        <v>Riley</v>
      </c>
      <c r="Y412" s="11" t="str">
        <f ca="1">INDEX(tblNormalTestIM[],MATCH(tblDistributionTests[[#This Row],[Rand]],tblNormalTestIM[Score],-1),2)</f>
        <v>Luke</v>
      </c>
    </row>
    <row r="413" spans="22:25" x14ac:dyDescent="0.2">
      <c r="V413" s="1">
        <f t="shared" ca="1" si="6"/>
        <v>0.86</v>
      </c>
      <c r="W413" s="1" t="str">
        <f ca="1">VLOOKUP(tblDistributionTests[[#This Row],[Rand]]+MIN(tblFairTest[Score]),tblFairTest[],2,TRUE)</f>
        <v>Todd</v>
      </c>
      <c r="X413" s="1" t="str">
        <f ca="1">VLOOKUP(tblDistributionTests[[#This Row],[Rand]],tblNormalTestVl[],2,TRUE)</f>
        <v>William</v>
      </c>
      <c r="Y413" s="11" t="str">
        <f ca="1">INDEX(tblNormalTestIM[],MATCH(tblDistributionTests[[#This Row],[Rand]],tblNormalTestIM[Score],-1),2)</f>
        <v>Frank</v>
      </c>
    </row>
    <row r="414" spans="22:25" x14ac:dyDescent="0.2">
      <c r="V414" s="1">
        <f t="shared" ca="1" si="6"/>
        <v>0.23</v>
      </c>
      <c r="W414" s="1" t="e">
        <f ca="1">VLOOKUP(tblDistributionTests[[#This Row],[Rand]]+MIN(tblFairTest[Score]),tblFairTest[],2,TRUE)</f>
        <v>#N/A</v>
      </c>
      <c r="X414" s="1" t="str">
        <f ca="1">VLOOKUP(tblDistributionTests[[#This Row],[Rand]],tblNormalTestVl[],2,TRUE)</f>
        <v>Luke</v>
      </c>
      <c r="Y414" s="11" t="str">
        <f ca="1">INDEX(tblNormalTestIM[],MATCH(tblDistributionTests[[#This Row],[Rand]],tblNormalTestIM[Score],-1),2)</f>
        <v>Riley</v>
      </c>
    </row>
    <row r="415" spans="22:25" x14ac:dyDescent="0.2">
      <c r="V415" s="1">
        <f t="shared" ca="1" si="6"/>
        <v>0.95</v>
      </c>
      <c r="W415" s="1" t="str">
        <f ca="1">VLOOKUP(tblDistributionTests[[#This Row],[Rand]]+MIN(tblFairTest[Score]),tblFairTest[],2,TRUE)</f>
        <v>Todd</v>
      </c>
      <c r="X415" s="1" t="str">
        <f ca="1">VLOOKUP(tblDistributionTests[[#This Row],[Rand]],tblNormalTestVl[],2,TRUE)</f>
        <v>Eric</v>
      </c>
      <c r="Y415" s="11" t="str">
        <f ca="1">INDEX(tblNormalTestIM[],MATCH(tblDistributionTests[[#This Row],[Rand]],tblNormalTestIM[Score],-1),2)</f>
        <v>Bill</v>
      </c>
    </row>
    <row r="416" spans="22:25" x14ac:dyDescent="0.2">
      <c r="V416" s="1">
        <f t="shared" ca="1" si="6"/>
        <v>0.13</v>
      </c>
      <c r="W416" s="1" t="e">
        <f ca="1">VLOOKUP(tblDistributionTests[[#This Row],[Rand]]+MIN(tblFairTest[Score]),tblFairTest[],2,TRUE)</f>
        <v>#N/A</v>
      </c>
      <c r="X416" s="1" t="str">
        <f ca="1">VLOOKUP(tblDistributionTests[[#This Row],[Rand]],tblNormalTestVl[],2,TRUE)</f>
        <v>Frank</v>
      </c>
      <c r="Y416" s="11" t="str">
        <f ca="1">INDEX(tblNormalTestIM[],MATCH(tblDistributionTests[[#This Row],[Rand]],tblNormalTestIM[Score],-1),2)</f>
        <v>William</v>
      </c>
    </row>
    <row r="417" spans="22:25" x14ac:dyDescent="0.2">
      <c r="V417" s="1">
        <f t="shared" ca="1" si="6"/>
        <v>0.73</v>
      </c>
      <c r="W417" s="1" t="str">
        <f ca="1">VLOOKUP(tblDistributionTests[[#This Row],[Rand]]+MIN(tblFairTest[Score]),tblFairTest[],2,TRUE)</f>
        <v>Todd</v>
      </c>
      <c r="X417" s="1" t="str">
        <f ca="1">VLOOKUP(tblDistributionTests[[#This Row],[Rand]],tblNormalTestVl[],2,TRUE)</f>
        <v>Riley</v>
      </c>
      <c r="Y417" s="11" t="str">
        <f ca="1">INDEX(tblNormalTestIM[],MATCH(tblDistributionTests[[#This Row],[Rand]],tblNormalTestIM[Score],-1),2)</f>
        <v>Luke</v>
      </c>
    </row>
    <row r="418" spans="22:25" x14ac:dyDescent="0.2">
      <c r="V418" s="1">
        <f t="shared" ca="1" si="6"/>
        <v>0.3</v>
      </c>
      <c r="W418" s="1" t="e">
        <f ca="1">VLOOKUP(tblDistributionTests[[#This Row],[Rand]]+MIN(tblFairTest[Score]),tblFairTest[],2,TRUE)</f>
        <v>#N/A</v>
      </c>
      <c r="X418" s="1" t="str">
        <f ca="1">VLOOKUP(tblDistributionTests[[#This Row],[Rand]],tblNormalTestVl[],2,TRUE)</f>
        <v>Luke</v>
      </c>
      <c r="Y418" s="11" t="str">
        <f ca="1">INDEX(tblNormalTestIM[],MATCH(tblDistributionTests[[#This Row],[Rand]],tblNormalTestIM[Score],-1),2)</f>
        <v>Riley</v>
      </c>
    </row>
    <row r="419" spans="22:25" x14ac:dyDescent="0.2">
      <c r="V419" s="1">
        <f t="shared" ca="1" si="6"/>
        <v>0.72</v>
      </c>
      <c r="W419" s="1" t="str">
        <f ca="1">VLOOKUP(tblDistributionTests[[#This Row],[Rand]]+MIN(tblFairTest[Score]),tblFairTest[],2,TRUE)</f>
        <v>Todd</v>
      </c>
      <c r="X419" s="1" t="str">
        <f ca="1">VLOOKUP(tblDistributionTests[[#This Row],[Rand]],tblNormalTestVl[],2,TRUE)</f>
        <v>Riley</v>
      </c>
      <c r="Y419" s="11" t="str">
        <f ca="1">INDEX(tblNormalTestIM[],MATCH(tblDistributionTests[[#This Row],[Rand]],tblNormalTestIM[Score],-1),2)</f>
        <v>Luke</v>
      </c>
    </row>
    <row r="420" spans="22:25" x14ac:dyDescent="0.2">
      <c r="V420" s="1">
        <f t="shared" ca="1" si="6"/>
        <v>0.39</v>
      </c>
      <c r="W420" s="1" t="e">
        <f ca="1">VLOOKUP(tblDistributionTests[[#This Row],[Rand]]+MIN(tblFairTest[Score]),tblFairTest[],2,TRUE)</f>
        <v>#N/A</v>
      </c>
      <c r="X420" s="1" t="str">
        <f ca="1">VLOOKUP(tblDistributionTests[[#This Row],[Rand]],tblNormalTestVl[],2,TRUE)</f>
        <v>Luke</v>
      </c>
      <c r="Y420" s="11" t="str">
        <f ca="1">INDEX(tblNormalTestIM[],MATCH(tblDistributionTests[[#This Row],[Rand]],tblNormalTestIM[Score],-1),2)</f>
        <v>Riley</v>
      </c>
    </row>
    <row r="421" spans="22:25" x14ac:dyDescent="0.2">
      <c r="V421" s="1">
        <f t="shared" ca="1" si="6"/>
        <v>0.34</v>
      </c>
      <c r="W421" s="1" t="e">
        <f ca="1">VLOOKUP(tblDistributionTests[[#This Row],[Rand]]+MIN(tblFairTest[Score]),tblFairTest[],2,TRUE)</f>
        <v>#N/A</v>
      </c>
      <c r="X421" s="1" t="str">
        <f ca="1">VLOOKUP(tblDistributionTests[[#This Row],[Rand]],tblNormalTestVl[],2,TRUE)</f>
        <v>Luke</v>
      </c>
      <c r="Y421" s="11" t="str">
        <f ca="1">INDEX(tblNormalTestIM[],MATCH(tblDistributionTests[[#This Row],[Rand]],tblNormalTestIM[Score],-1),2)</f>
        <v>Riley</v>
      </c>
    </row>
    <row r="422" spans="22:25" x14ac:dyDescent="0.2">
      <c r="V422" s="1">
        <f t="shared" ca="1" si="6"/>
        <v>0.54</v>
      </c>
      <c r="W422" s="1" t="str">
        <f ca="1">VLOOKUP(tblDistributionTests[[#This Row],[Rand]]+MIN(tblFairTest[Score]),tblFairTest[],2,TRUE)</f>
        <v>Todd</v>
      </c>
      <c r="X422" s="1" t="str">
        <f ca="1">VLOOKUP(tblDistributionTests[[#This Row],[Rand]],tblNormalTestVl[],2,TRUE)</f>
        <v>Riley</v>
      </c>
      <c r="Y422" s="11" t="str">
        <f ca="1">INDEX(tblNormalTestIM[],MATCH(tblDistributionTests[[#This Row],[Rand]],tblNormalTestIM[Score],-1),2)</f>
        <v>Luke</v>
      </c>
    </row>
    <row r="423" spans="22:25" x14ac:dyDescent="0.2">
      <c r="V423" s="1">
        <f t="shared" ca="1" si="6"/>
        <v>0.28999999999999998</v>
      </c>
      <c r="W423" s="1" t="e">
        <f ca="1">VLOOKUP(tblDistributionTests[[#This Row],[Rand]]+MIN(tblFairTest[Score]),tblFairTest[],2,TRUE)</f>
        <v>#N/A</v>
      </c>
      <c r="X423" s="1" t="str">
        <f ca="1">VLOOKUP(tblDistributionTests[[#This Row],[Rand]],tblNormalTestVl[],2,TRUE)</f>
        <v>Luke</v>
      </c>
      <c r="Y423" s="11" t="str">
        <f ca="1">INDEX(tblNormalTestIM[],MATCH(tblDistributionTests[[#This Row],[Rand]],tblNormalTestIM[Score],-1),2)</f>
        <v>Riley</v>
      </c>
    </row>
    <row r="424" spans="22:25" x14ac:dyDescent="0.2">
      <c r="V424" s="1">
        <f t="shared" ca="1" si="6"/>
        <v>0.77</v>
      </c>
      <c r="W424" s="1" t="str">
        <f ca="1">VLOOKUP(tblDistributionTests[[#This Row],[Rand]]+MIN(tblFairTest[Score]),tblFairTest[],2,TRUE)</f>
        <v>Todd</v>
      </c>
      <c r="X424" s="1" t="str">
        <f ca="1">VLOOKUP(tblDistributionTests[[#This Row],[Rand]],tblNormalTestVl[],2,TRUE)</f>
        <v>Riley</v>
      </c>
      <c r="Y424" s="11" t="str">
        <f ca="1">INDEX(tblNormalTestIM[],MATCH(tblDistributionTests[[#This Row],[Rand]],tblNormalTestIM[Score],-1),2)</f>
        <v>Luke</v>
      </c>
    </row>
    <row r="425" spans="22:25" x14ac:dyDescent="0.2">
      <c r="V425" s="1">
        <f t="shared" ca="1" si="6"/>
        <v>0.96</v>
      </c>
      <c r="W425" s="1" t="str">
        <f ca="1">VLOOKUP(tblDistributionTests[[#This Row],[Rand]]+MIN(tblFairTest[Score]),tblFairTest[],2,TRUE)</f>
        <v>Todd</v>
      </c>
      <c r="X425" s="1" t="str">
        <f ca="1">VLOOKUP(tblDistributionTests[[#This Row],[Rand]],tblNormalTestVl[],2,TRUE)</f>
        <v>Eric</v>
      </c>
      <c r="Y425" s="11" t="str">
        <f ca="1">INDEX(tblNormalTestIM[],MATCH(tblDistributionTests[[#This Row],[Rand]],tblNormalTestIM[Score],-1),2)</f>
        <v>Bill</v>
      </c>
    </row>
    <row r="426" spans="22:25" x14ac:dyDescent="0.2">
      <c r="V426" s="1">
        <f t="shared" ca="1" si="6"/>
        <v>0.73</v>
      </c>
      <c r="W426" s="1" t="str">
        <f ca="1">VLOOKUP(tblDistributionTests[[#This Row],[Rand]]+MIN(tblFairTest[Score]),tblFairTest[],2,TRUE)</f>
        <v>Todd</v>
      </c>
      <c r="X426" s="1" t="str">
        <f ca="1">VLOOKUP(tblDistributionTests[[#This Row],[Rand]],tblNormalTestVl[],2,TRUE)</f>
        <v>Riley</v>
      </c>
      <c r="Y426" s="11" t="str">
        <f ca="1">INDEX(tblNormalTestIM[],MATCH(tblDistributionTests[[#This Row],[Rand]],tblNormalTestIM[Score],-1),2)</f>
        <v>Luke</v>
      </c>
    </row>
    <row r="427" spans="22:25" x14ac:dyDescent="0.2">
      <c r="V427" s="1">
        <f t="shared" ca="1" si="6"/>
        <v>0.73</v>
      </c>
      <c r="W427" s="1" t="str">
        <f ca="1">VLOOKUP(tblDistributionTests[[#This Row],[Rand]]+MIN(tblFairTest[Score]),tblFairTest[],2,TRUE)</f>
        <v>Todd</v>
      </c>
      <c r="X427" s="1" t="str">
        <f ca="1">VLOOKUP(tblDistributionTests[[#This Row],[Rand]],tblNormalTestVl[],2,TRUE)</f>
        <v>Riley</v>
      </c>
      <c r="Y427" s="11" t="str">
        <f ca="1">INDEX(tblNormalTestIM[],MATCH(tblDistributionTests[[#This Row],[Rand]],tblNormalTestIM[Score],-1),2)</f>
        <v>Luke</v>
      </c>
    </row>
    <row r="428" spans="22:25" x14ac:dyDescent="0.2">
      <c r="V428" s="1">
        <f t="shared" ca="1" si="6"/>
        <v>0.5</v>
      </c>
      <c r="W428" s="1" t="str">
        <f ca="1">VLOOKUP(tblDistributionTests[[#This Row],[Rand]]+MIN(tblFairTest[Score]),tblFairTest[],2,TRUE)</f>
        <v>Riley</v>
      </c>
      <c r="X428" s="1" t="str">
        <f ca="1">VLOOKUP(tblDistributionTests[[#This Row],[Rand]],tblNormalTestVl[],2,TRUE)</f>
        <v>Riley</v>
      </c>
      <c r="Y428" s="11" t="str">
        <f ca="1">INDEX(tblNormalTestIM[],MATCH(tblDistributionTests[[#This Row],[Rand]],tblNormalTestIM[Score],-1),2)</f>
        <v>Riley</v>
      </c>
    </row>
    <row r="429" spans="22:25" x14ac:dyDescent="0.2">
      <c r="V429" s="1">
        <f t="shared" ca="1" si="6"/>
        <v>0.14000000000000001</v>
      </c>
      <c r="W429" s="1" t="e">
        <f ca="1">VLOOKUP(tblDistributionTests[[#This Row],[Rand]]+MIN(tblFairTest[Score]),tblFairTest[],2,TRUE)</f>
        <v>#N/A</v>
      </c>
      <c r="X429" s="1" t="str">
        <f ca="1">VLOOKUP(tblDistributionTests[[#This Row],[Rand]],tblNormalTestVl[],2,TRUE)</f>
        <v>Frank</v>
      </c>
      <c r="Y429" s="11" t="str">
        <f ca="1">INDEX(tblNormalTestIM[],MATCH(tblDistributionTests[[#This Row],[Rand]],tblNormalTestIM[Score],-1),2)</f>
        <v>William</v>
      </c>
    </row>
    <row r="430" spans="22:25" x14ac:dyDescent="0.2">
      <c r="V430" s="1">
        <f t="shared" ca="1" si="6"/>
        <v>0.46</v>
      </c>
      <c r="W430" s="1" t="e">
        <f ca="1">VLOOKUP(tblDistributionTests[[#This Row],[Rand]]+MIN(tblFairTest[Score]),tblFairTest[],2,TRUE)</f>
        <v>#N/A</v>
      </c>
      <c r="X430" s="1" t="str">
        <f ca="1">VLOOKUP(tblDistributionTests[[#This Row],[Rand]],tblNormalTestVl[],2,TRUE)</f>
        <v>Luke</v>
      </c>
      <c r="Y430" s="11" t="str">
        <f ca="1">INDEX(tblNormalTestIM[],MATCH(tblDistributionTests[[#This Row],[Rand]],tblNormalTestIM[Score],-1),2)</f>
        <v>Riley</v>
      </c>
    </row>
    <row r="431" spans="22:25" x14ac:dyDescent="0.2">
      <c r="V431" s="1">
        <f t="shared" ca="1" si="6"/>
        <v>0.5</v>
      </c>
      <c r="W431" s="1" t="str">
        <f ca="1">VLOOKUP(tblDistributionTests[[#This Row],[Rand]]+MIN(tblFairTest[Score]),tblFairTest[],2,TRUE)</f>
        <v>Riley</v>
      </c>
      <c r="X431" s="1" t="str">
        <f ca="1">VLOOKUP(tblDistributionTests[[#This Row],[Rand]],tblNormalTestVl[],2,TRUE)</f>
        <v>Riley</v>
      </c>
      <c r="Y431" s="11" t="str">
        <f ca="1">INDEX(tblNormalTestIM[],MATCH(tblDistributionTests[[#This Row],[Rand]],tblNormalTestIM[Score],-1),2)</f>
        <v>Riley</v>
      </c>
    </row>
    <row r="432" spans="22:25" x14ac:dyDescent="0.2">
      <c r="V432" s="1">
        <f t="shared" ca="1" si="6"/>
        <v>0.19</v>
      </c>
      <c r="W432" s="1" t="e">
        <f ca="1">VLOOKUP(tblDistributionTests[[#This Row],[Rand]]+MIN(tblFairTest[Score]),tblFairTest[],2,TRUE)</f>
        <v>#N/A</v>
      </c>
      <c r="X432" s="1" t="str">
        <f ca="1">VLOOKUP(tblDistributionTests[[#This Row],[Rand]],tblNormalTestVl[],2,TRUE)</f>
        <v>Frank</v>
      </c>
      <c r="Y432" s="11" t="str">
        <f ca="1">INDEX(tblNormalTestIM[],MATCH(tblDistributionTests[[#This Row],[Rand]],tblNormalTestIM[Score],-1),2)</f>
        <v>William</v>
      </c>
    </row>
    <row r="433" spans="22:25" x14ac:dyDescent="0.2">
      <c r="V433" s="1">
        <f t="shared" ca="1" si="6"/>
        <v>0.22</v>
      </c>
      <c r="W433" s="1" t="e">
        <f ca="1">VLOOKUP(tblDistributionTests[[#This Row],[Rand]]+MIN(tblFairTest[Score]),tblFairTest[],2,TRUE)</f>
        <v>#N/A</v>
      </c>
      <c r="X433" s="1" t="str">
        <f ca="1">VLOOKUP(tblDistributionTests[[#This Row],[Rand]],tblNormalTestVl[],2,TRUE)</f>
        <v>Frank</v>
      </c>
      <c r="Y433" s="11" t="str">
        <f ca="1">INDEX(tblNormalTestIM[],MATCH(tblDistributionTests[[#This Row],[Rand]],tblNormalTestIM[Score],-1),2)</f>
        <v>William</v>
      </c>
    </row>
    <row r="434" spans="22:25" x14ac:dyDescent="0.2">
      <c r="V434" s="1">
        <f t="shared" ca="1" si="6"/>
        <v>0.99</v>
      </c>
      <c r="W434" s="1" t="str">
        <f ca="1">VLOOKUP(tblDistributionTests[[#This Row],[Rand]]+MIN(tblFairTest[Score]),tblFairTest[],2,TRUE)</f>
        <v>Todd</v>
      </c>
      <c r="X434" s="1" t="str">
        <f ca="1">VLOOKUP(tblDistributionTests[[#This Row],[Rand]],tblNormalTestVl[],2,TRUE)</f>
        <v>Chuck</v>
      </c>
      <c r="Y434" s="11" t="e">
        <f ca="1">INDEX(tblNormalTestIM[],MATCH(tblDistributionTests[[#This Row],[Rand]],tblNormalTestIM[Score],-1),2)</f>
        <v>#N/A</v>
      </c>
    </row>
    <row r="435" spans="22:25" x14ac:dyDescent="0.2">
      <c r="V435" s="1">
        <f t="shared" ca="1" si="6"/>
        <v>0.76</v>
      </c>
      <c r="W435" s="1" t="str">
        <f ca="1">VLOOKUP(tblDistributionTests[[#This Row],[Rand]]+MIN(tblFairTest[Score]),tblFairTest[],2,TRUE)</f>
        <v>Todd</v>
      </c>
      <c r="X435" s="1" t="str">
        <f ca="1">VLOOKUP(tblDistributionTests[[#This Row],[Rand]],tblNormalTestVl[],2,TRUE)</f>
        <v>Riley</v>
      </c>
      <c r="Y435" s="11" t="str">
        <f ca="1">INDEX(tblNormalTestIM[],MATCH(tblDistributionTests[[#This Row],[Rand]],tblNormalTestIM[Score],-1),2)</f>
        <v>Luke</v>
      </c>
    </row>
    <row r="436" spans="22:25" x14ac:dyDescent="0.2">
      <c r="V436" s="1">
        <f t="shared" ca="1" si="6"/>
        <v>0.75</v>
      </c>
      <c r="W436" s="1" t="str">
        <f ca="1">VLOOKUP(tblDistributionTests[[#This Row],[Rand]]+MIN(tblFairTest[Score]),tblFairTest[],2,TRUE)</f>
        <v>Todd</v>
      </c>
      <c r="X436" s="1" t="str">
        <f ca="1">VLOOKUP(tblDistributionTests[[#This Row],[Rand]],tblNormalTestVl[],2,TRUE)</f>
        <v>Riley</v>
      </c>
      <c r="Y436" s="11" t="str">
        <f ca="1">INDEX(tblNormalTestIM[],MATCH(tblDistributionTests[[#This Row],[Rand]],tblNormalTestIM[Score],-1),2)</f>
        <v>Luke</v>
      </c>
    </row>
    <row r="437" spans="22:25" x14ac:dyDescent="0.2">
      <c r="V437" s="1">
        <f t="shared" ca="1" si="6"/>
        <v>0.64</v>
      </c>
      <c r="W437" s="1" t="str">
        <f ca="1">VLOOKUP(tblDistributionTests[[#This Row],[Rand]]+MIN(tblFairTest[Score]),tblFairTest[],2,TRUE)</f>
        <v>Todd</v>
      </c>
      <c r="X437" s="1" t="str">
        <f ca="1">VLOOKUP(tblDistributionTests[[#This Row],[Rand]],tblNormalTestVl[],2,TRUE)</f>
        <v>Riley</v>
      </c>
      <c r="Y437" s="11" t="str">
        <f ca="1">INDEX(tblNormalTestIM[],MATCH(tblDistributionTests[[#This Row],[Rand]],tblNormalTestIM[Score],-1),2)</f>
        <v>Luke</v>
      </c>
    </row>
    <row r="438" spans="22:25" x14ac:dyDescent="0.2">
      <c r="V438" s="1">
        <f t="shared" ca="1" si="6"/>
        <v>0.46</v>
      </c>
      <c r="W438" s="1" t="e">
        <f ca="1">VLOOKUP(tblDistributionTests[[#This Row],[Rand]]+MIN(tblFairTest[Score]),tblFairTest[],2,TRUE)</f>
        <v>#N/A</v>
      </c>
      <c r="X438" s="1" t="str">
        <f ca="1">VLOOKUP(tblDistributionTests[[#This Row],[Rand]],tblNormalTestVl[],2,TRUE)</f>
        <v>Luke</v>
      </c>
      <c r="Y438" s="11" t="str">
        <f ca="1">INDEX(tblNormalTestIM[],MATCH(tblDistributionTests[[#This Row],[Rand]],tblNormalTestIM[Score],-1),2)</f>
        <v>Riley</v>
      </c>
    </row>
    <row r="439" spans="22:25" x14ac:dyDescent="0.2">
      <c r="V439" s="1">
        <f t="shared" ca="1" si="6"/>
        <v>0.16</v>
      </c>
      <c r="W439" s="1" t="e">
        <f ca="1">VLOOKUP(tblDistributionTests[[#This Row],[Rand]]+MIN(tblFairTest[Score]),tblFairTest[],2,TRUE)</f>
        <v>#N/A</v>
      </c>
      <c r="X439" s="1" t="str">
        <f ca="1">VLOOKUP(tblDistributionTests[[#This Row],[Rand]],tblNormalTestVl[],2,TRUE)</f>
        <v>Frank</v>
      </c>
      <c r="Y439" s="11" t="str">
        <f ca="1">INDEX(tblNormalTestIM[],MATCH(tblDistributionTests[[#This Row],[Rand]],tblNormalTestIM[Score],-1),2)</f>
        <v>William</v>
      </c>
    </row>
    <row r="440" spans="22:25" x14ac:dyDescent="0.2">
      <c r="V440" s="1">
        <f t="shared" ca="1" si="6"/>
        <v>0.42</v>
      </c>
      <c r="W440" s="1" t="e">
        <f ca="1">VLOOKUP(tblDistributionTests[[#This Row],[Rand]]+MIN(tblFairTest[Score]),tblFairTest[],2,TRUE)</f>
        <v>#N/A</v>
      </c>
      <c r="X440" s="1" t="str">
        <f ca="1">VLOOKUP(tblDistributionTests[[#This Row],[Rand]],tblNormalTestVl[],2,TRUE)</f>
        <v>Luke</v>
      </c>
      <c r="Y440" s="11" t="str">
        <f ca="1">INDEX(tblNormalTestIM[],MATCH(tblDistributionTests[[#This Row],[Rand]],tblNormalTestIM[Score],-1),2)</f>
        <v>Riley</v>
      </c>
    </row>
    <row r="441" spans="22:25" x14ac:dyDescent="0.2">
      <c r="V441" s="1">
        <f t="shared" ca="1" si="6"/>
        <v>0.26</v>
      </c>
      <c r="W441" s="1" t="e">
        <f ca="1">VLOOKUP(tblDistributionTests[[#This Row],[Rand]]+MIN(tblFairTest[Score]),tblFairTest[],2,TRUE)</f>
        <v>#N/A</v>
      </c>
      <c r="X441" s="1" t="str">
        <f ca="1">VLOOKUP(tblDistributionTests[[#This Row],[Rand]],tblNormalTestVl[],2,TRUE)</f>
        <v>Luke</v>
      </c>
      <c r="Y441" s="11" t="str">
        <f ca="1">INDEX(tblNormalTestIM[],MATCH(tblDistributionTests[[#This Row],[Rand]],tblNormalTestIM[Score],-1),2)</f>
        <v>Riley</v>
      </c>
    </row>
    <row r="442" spans="22:25" x14ac:dyDescent="0.2">
      <c r="V442" s="1">
        <f t="shared" ca="1" si="6"/>
        <v>0.64</v>
      </c>
      <c r="W442" s="1" t="str">
        <f ca="1">VLOOKUP(tblDistributionTests[[#This Row],[Rand]]+MIN(tblFairTest[Score]),tblFairTest[],2,TRUE)</f>
        <v>Todd</v>
      </c>
      <c r="X442" s="1" t="str">
        <f ca="1">VLOOKUP(tblDistributionTests[[#This Row],[Rand]],tblNormalTestVl[],2,TRUE)</f>
        <v>Riley</v>
      </c>
      <c r="Y442" s="11" t="str">
        <f ca="1">INDEX(tblNormalTestIM[],MATCH(tblDistributionTests[[#This Row],[Rand]],tblNormalTestIM[Score],-1),2)</f>
        <v>Luke</v>
      </c>
    </row>
    <row r="443" spans="22:25" x14ac:dyDescent="0.2">
      <c r="V443" s="1">
        <f t="shared" ca="1" si="6"/>
        <v>0.77</v>
      </c>
      <c r="W443" s="1" t="str">
        <f ca="1">VLOOKUP(tblDistributionTests[[#This Row],[Rand]]+MIN(tblFairTest[Score]),tblFairTest[],2,TRUE)</f>
        <v>Todd</v>
      </c>
      <c r="X443" s="1" t="str">
        <f ca="1">VLOOKUP(tblDistributionTests[[#This Row],[Rand]],tblNormalTestVl[],2,TRUE)</f>
        <v>Riley</v>
      </c>
      <c r="Y443" s="11" t="str">
        <f ca="1">INDEX(tblNormalTestIM[],MATCH(tblDistributionTests[[#This Row],[Rand]],tblNormalTestIM[Score],-1),2)</f>
        <v>Luke</v>
      </c>
    </row>
    <row r="444" spans="22:25" x14ac:dyDescent="0.2">
      <c r="V444" s="1">
        <f t="shared" ca="1" si="6"/>
        <v>0.69</v>
      </c>
      <c r="W444" s="1" t="str">
        <f ca="1">VLOOKUP(tblDistributionTests[[#This Row],[Rand]]+MIN(tblFairTest[Score]),tblFairTest[],2,TRUE)</f>
        <v>Todd</v>
      </c>
      <c r="X444" s="1" t="str">
        <f ca="1">VLOOKUP(tblDistributionTests[[#This Row],[Rand]],tblNormalTestVl[],2,TRUE)</f>
        <v>Riley</v>
      </c>
      <c r="Y444" s="11" t="str">
        <f ca="1">INDEX(tblNormalTestIM[],MATCH(tblDistributionTests[[#This Row],[Rand]],tblNormalTestIM[Score],-1),2)</f>
        <v>Luke</v>
      </c>
    </row>
    <row r="445" spans="22:25" x14ac:dyDescent="0.2">
      <c r="V445" s="1">
        <f t="shared" ca="1" si="6"/>
        <v>0.73</v>
      </c>
      <c r="W445" s="1" t="str">
        <f ca="1">VLOOKUP(tblDistributionTests[[#This Row],[Rand]]+MIN(tblFairTest[Score]),tblFairTest[],2,TRUE)</f>
        <v>Todd</v>
      </c>
      <c r="X445" s="1" t="str">
        <f ca="1">VLOOKUP(tblDistributionTests[[#This Row],[Rand]],tblNormalTestVl[],2,TRUE)</f>
        <v>Riley</v>
      </c>
      <c r="Y445" s="11" t="str">
        <f ca="1">INDEX(tblNormalTestIM[],MATCH(tblDistributionTests[[#This Row],[Rand]],tblNormalTestIM[Score],-1),2)</f>
        <v>Luke</v>
      </c>
    </row>
    <row r="446" spans="22:25" x14ac:dyDescent="0.2">
      <c r="V446" s="1">
        <f t="shared" ca="1" si="6"/>
        <v>0.65</v>
      </c>
      <c r="W446" s="1" t="str">
        <f ca="1">VLOOKUP(tblDistributionTests[[#This Row],[Rand]]+MIN(tblFairTest[Score]),tblFairTest[],2,TRUE)</f>
        <v>Todd</v>
      </c>
      <c r="X446" s="1" t="str">
        <f ca="1">VLOOKUP(tblDistributionTests[[#This Row],[Rand]],tblNormalTestVl[],2,TRUE)</f>
        <v>Riley</v>
      </c>
      <c r="Y446" s="11" t="str">
        <f ca="1">INDEX(tblNormalTestIM[],MATCH(tblDistributionTests[[#This Row],[Rand]],tblNormalTestIM[Score],-1),2)</f>
        <v>Luke</v>
      </c>
    </row>
    <row r="447" spans="22:25" x14ac:dyDescent="0.2">
      <c r="V447" s="1">
        <f t="shared" ca="1" si="6"/>
        <v>0.81</v>
      </c>
      <c r="W447" s="1" t="str">
        <f ca="1">VLOOKUP(tblDistributionTests[[#This Row],[Rand]]+MIN(tblFairTest[Score]),tblFairTest[],2,TRUE)</f>
        <v>Todd</v>
      </c>
      <c r="X447" s="1" t="str">
        <f ca="1">VLOOKUP(tblDistributionTests[[#This Row],[Rand]],tblNormalTestVl[],2,TRUE)</f>
        <v>William</v>
      </c>
      <c r="Y447" s="11" t="str">
        <f ca="1">INDEX(tblNormalTestIM[],MATCH(tblDistributionTests[[#This Row],[Rand]],tblNormalTestIM[Score],-1),2)</f>
        <v>Frank</v>
      </c>
    </row>
    <row r="448" spans="22:25" x14ac:dyDescent="0.2">
      <c r="V448" s="1">
        <f t="shared" ca="1" si="6"/>
        <v>0.3</v>
      </c>
      <c r="W448" s="1" t="e">
        <f ca="1">VLOOKUP(tblDistributionTests[[#This Row],[Rand]]+MIN(tblFairTest[Score]),tblFairTest[],2,TRUE)</f>
        <v>#N/A</v>
      </c>
      <c r="X448" s="1" t="str">
        <f ca="1">VLOOKUP(tblDistributionTests[[#This Row],[Rand]],tblNormalTestVl[],2,TRUE)</f>
        <v>Luke</v>
      </c>
      <c r="Y448" s="11" t="str">
        <f ca="1">INDEX(tblNormalTestIM[],MATCH(tblDistributionTests[[#This Row],[Rand]],tblNormalTestIM[Score],-1),2)</f>
        <v>Riley</v>
      </c>
    </row>
    <row r="449" spans="22:25" x14ac:dyDescent="0.2">
      <c r="V449" s="1">
        <f t="shared" ca="1" si="6"/>
        <v>0.9</v>
      </c>
      <c r="W449" s="1" t="str">
        <f ca="1">VLOOKUP(tblDistributionTests[[#This Row],[Rand]]+MIN(tblFairTest[Score]),tblFairTest[],2,TRUE)</f>
        <v>Todd</v>
      </c>
      <c r="X449" s="1" t="str">
        <f ca="1">VLOOKUP(tblDistributionTests[[#This Row],[Rand]],tblNormalTestVl[],2,TRUE)</f>
        <v>William</v>
      </c>
      <c r="Y449" s="11" t="str">
        <f ca="1">INDEX(tblNormalTestIM[],MATCH(tblDistributionTests[[#This Row],[Rand]],tblNormalTestIM[Score],-1),2)</f>
        <v>Frank</v>
      </c>
    </row>
    <row r="450" spans="22:25" x14ac:dyDescent="0.2">
      <c r="V450" s="1">
        <f t="shared" ca="1" si="6"/>
        <v>0.15</v>
      </c>
      <c r="W450" s="1" t="e">
        <f ca="1">VLOOKUP(tblDistributionTests[[#This Row],[Rand]]+MIN(tblFairTest[Score]),tblFairTest[],2,TRUE)</f>
        <v>#N/A</v>
      </c>
      <c r="X450" s="1" t="str">
        <f ca="1">VLOOKUP(tblDistributionTests[[#This Row],[Rand]],tblNormalTestVl[],2,TRUE)</f>
        <v>Frank</v>
      </c>
      <c r="Y450" s="11" t="str">
        <f ca="1">INDEX(tblNormalTestIM[],MATCH(tblDistributionTests[[#This Row],[Rand]],tblNormalTestIM[Score],-1),2)</f>
        <v>William</v>
      </c>
    </row>
    <row r="451" spans="22:25" x14ac:dyDescent="0.2">
      <c r="V451" s="1">
        <f t="shared" ca="1" si="6"/>
        <v>0.89</v>
      </c>
      <c r="W451" s="1" t="str">
        <f ca="1">VLOOKUP(tblDistributionTests[[#This Row],[Rand]]+MIN(tblFairTest[Score]),tblFairTest[],2,TRUE)</f>
        <v>Todd</v>
      </c>
      <c r="X451" s="1" t="str">
        <f ca="1">VLOOKUP(tblDistributionTests[[#This Row],[Rand]],tblNormalTestVl[],2,TRUE)</f>
        <v>William</v>
      </c>
      <c r="Y451" s="11" t="str">
        <f ca="1">INDEX(tblNormalTestIM[],MATCH(tblDistributionTests[[#This Row],[Rand]],tblNormalTestIM[Score],-1),2)</f>
        <v>Frank</v>
      </c>
    </row>
    <row r="452" spans="22:25" x14ac:dyDescent="0.2">
      <c r="V452" s="1">
        <f t="shared" ca="1" si="6"/>
        <v>0.04</v>
      </c>
      <c r="W452" s="1" t="e">
        <f ca="1">VLOOKUP(tblDistributionTests[[#This Row],[Rand]]+MIN(tblFairTest[Score]),tblFairTest[],2,TRUE)</f>
        <v>#N/A</v>
      </c>
      <c r="X452" s="1" t="str">
        <f ca="1">VLOOKUP(tblDistributionTests[[#This Row],[Rand]],tblNormalTestVl[],2,TRUE)</f>
        <v>Bill</v>
      </c>
      <c r="Y452" s="11" t="str">
        <f ca="1">INDEX(tblNormalTestIM[],MATCH(tblDistributionTests[[#This Row],[Rand]],tblNormalTestIM[Score],-1),2)</f>
        <v>Eric</v>
      </c>
    </row>
    <row r="453" spans="22:25" x14ac:dyDescent="0.2">
      <c r="V453" s="1">
        <f t="shared" ca="1" si="6"/>
        <v>0.73</v>
      </c>
      <c r="W453" s="1" t="str">
        <f ca="1">VLOOKUP(tblDistributionTests[[#This Row],[Rand]]+MIN(tblFairTest[Score]),tblFairTest[],2,TRUE)</f>
        <v>Todd</v>
      </c>
      <c r="X453" s="1" t="str">
        <f ca="1">VLOOKUP(tblDistributionTests[[#This Row],[Rand]],tblNormalTestVl[],2,TRUE)</f>
        <v>Riley</v>
      </c>
      <c r="Y453" s="11" t="str">
        <f ca="1">INDEX(tblNormalTestIM[],MATCH(tblDistributionTests[[#This Row],[Rand]],tblNormalTestIM[Score],-1),2)</f>
        <v>Luke</v>
      </c>
    </row>
    <row r="454" spans="22:25" x14ac:dyDescent="0.2">
      <c r="V454" s="1">
        <f t="shared" ca="1" si="6"/>
        <v>0.86</v>
      </c>
      <c r="W454" s="1" t="str">
        <f ca="1">VLOOKUP(tblDistributionTests[[#This Row],[Rand]]+MIN(tblFairTest[Score]),tblFairTest[],2,TRUE)</f>
        <v>Todd</v>
      </c>
      <c r="X454" s="1" t="str">
        <f ca="1">VLOOKUP(tblDistributionTests[[#This Row],[Rand]],tblNormalTestVl[],2,TRUE)</f>
        <v>William</v>
      </c>
      <c r="Y454" s="11" t="str">
        <f ca="1">INDEX(tblNormalTestIM[],MATCH(tblDistributionTests[[#This Row],[Rand]],tblNormalTestIM[Score],-1),2)</f>
        <v>Frank</v>
      </c>
    </row>
    <row r="455" spans="22:25" x14ac:dyDescent="0.2">
      <c r="V455" s="1">
        <f t="shared" ca="1" si="6"/>
        <v>0.64</v>
      </c>
      <c r="W455" s="1" t="str">
        <f ca="1">VLOOKUP(tblDistributionTests[[#This Row],[Rand]]+MIN(tblFairTest[Score]),tblFairTest[],2,TRUE)</f>
        <v>Todd</v>
      </c>
      <c r="X455" s="1" t="str">
        <f ca="1">VLOOKUP(tblDistributionTests[[#This Row],[Rand]],tblNormalTestVl[],2,TRUE)</f>
        <v>Riley</v>
      </c>
      <c r="Y455" s="11" t="str">
        <f ca="1">INDEX(tblNormalTestIM[],MATCH(tblDistributionTests[[#This Row],[Rand]],tblNormalTestIM[Score],-1),2)</f>
        <v>Luke</v>
      </c>
    </row>
    <row r="456" spans="22:25" x14ac:dyDescent="0.2">
      <c r="V456" s="1">
        <f t="shared" ref="V456:V519" ca="1" si="7">RANDBETWEEN(1,100)/100</f>
        <v>0.16</v>
      </c>
      <c r="W456" s="1" t="e">
        <f ca="1">VLOOKUP(tblDistributionTests[[#This Row],[Rand]]+MIN(tblFairTest[Score]),tblFairTest[],2,TRUE)</f>
        <v>#N/A</v>
      </c>
      <c r="X456" s="1" t="str">
        <f ca="1">VLOOKUP(tblDistributionTests[[#This Row],[Rand]],tblNormalTestVl[],2,TRUE)</f>
        <v>Frank</v>
      </c>
      <c r="Y456" s="11" t="str">
        <f ca="1">INDEX(tblNormalTestIM[],MATCH(tblDistributionTests[[#This Row],[Rand]],tblNormalTestIM[Score],-1),2)</f>
        <v>William</v>
      </c>
    </row>
    <row r="457" spans="22:25" x14ac:dyDescent="0.2">
      <c r="V457" s="1">
        <f t="shared" ca="1" si="7"/>
        <v>0.71</v>
      </c>
      <c r="W457" s="1" t="str">
        <f ca="1">VLOOKUP(tblDistributionTests[[#This Row],[Rand]]+MIN(tblFairTest[Score]),tblFairTest[],2,TRUE)</f>
        <v>Todd</v>
      </c>
      <c r="X457" s="1" t="str">
        <f ca="1">VLOOKUP(tblDistributionTests[[#This Row],[Rand]],tblNormalTestVl[],2,TRUE)</f>
        <v>Riley</v>
      </c>
      <c r="Y457" s="11" t="str">
        <f ca="1">INDEX(tblNormalTestIM[],MATCH(tblDistributionTests[[#This Row],[Rand]],tblNormalTestIM[Score],-1),2)</f>
        <v>Luke</v>
      </c>
    </row>
    <row r="458" spans="22:25" x14ac:dyDescent="0.2">
      <c r="V458" s="1">
        <f t="shared" ca="1" si="7"/>
        <v>0.69</v>
      </c>
      <c r="W458" s="1" t="str">
        <f ca="1">VLOOKUP(tblDistributionTests[[#This Row],[Rand]]+MIN(tblFairTest[Score]),tblFairTest[],2,TRUE)</f>
        <v>Todd</v>
      </c>
      <c r="X458" s="1" t="str">
        <f ca="1">VLOOKUP(tblDistributionTests[[#This Row],[Rand]],tblNormalTestVl[],2,TRUE)</f>
        <v>Riley</v>
      </c>
      <c r="Y458" s="11" t="str">
        <f ca="1">INDEX(tblNormalTestIM[],MATCH(tblDistributionTests[[#This Row],[Rand]],tblNormalTestIM[Score],-1),2)</f>
        <v>Luke</v>
      </c>
    </row>
    <row r="459" spans="22:25" x14ac:dyDescent="0.2">
      <c r="V459" s="1">
        <f t="shared" ca="1" si="7"/>
        <v>0.12</v>
      </c>
      <c r="W459" s="1" t="e">
        <f ca="1">VLOOKUP(tblDistributionTests[[#This Row],[Rand]]+MIN(tblFairTest[Score]),tblFairTest[],2,TRUE)</f>
        <v>#N/A</v>
      </c>
      <c r="X459" s="1" t="str">
        <f ca="1">VLOOKUP(tblDistributionTests[[#This Row],[Rand]],tblNormalTestVl[],2,TRUE)</f>
        <v>Frank</v>
      </c>
      <c r="Y459" s="11" t="str">
        <f ca="1">INDEX(tblNormalTestIM[],MATCH(tblDistributionTests[[#This Row],[Rand]],tblNormalTestIM[Score],-1),2)</f>
        <v>William</v>
      </c>
    </row>
    <row r="460" spans="22:25" x14ac:dyDescent="0.2">
      <c r="V460" s="1">
        <f t="shared" ca="1" si="7"/>
        <v>0.95</v>
      </c>
      <c r="W460" s="1" t="str">
        <f ca="1">VLOOKUP(tblDistributionTests[[#This Row],[Rand]]+MIN(tblFairTest[Score]),tblFairTest[],2,TRUE)</f>
        <v>Todd</v>
      </c>
      <c r="X460" s="1" t="str">
        <f ca="1">VLOOKUP(tblDistributionTests[[#This Row],[Rand]],tblNormalTestVl[],2,TRUE)</f>
        <v>Eric</v>
      </c>
      <c r="Y460" s="11" t="str">
        <f ca="1">INDEX(tblNormalTestIM[],MATCH(tblDistributionTests[[#This Row],[Rand]],tblNormalTestIM[Score],-1),2)</f>
        <v>Bill</v>
      </c>
    </row>
    <row r="461" spans="22:25" x14ac:dyDescent="0.2">
      <c r="V461" s="1">
        <f t="shared" ca="1" si="7"/>
        <v>0.21</v>
      </c>
      <c r="W461" s="1" t="e">
        <f ca="1">VLOOKUP(tblDistributionTests[[#This Row],[Rand]]+MIN(tblFairTest[Score]),tblFairTest[],2,TRUE)</f>
        <v>#N/A</v>
      </c>
      <c r="X461" s="1" t="str">
        <f ca="1">VLOOKUP(tblDistributionTests[[#This Row],[Rand]],tblNormalTestVl[],2,TRUE)</f>
        <v>Frank</v>
      </c>
      <c r="Y461" s="11" t="str">
        <f ca="1">INDEX(tblNormalTestIM[],MATCH(tblDistributionTests[[#This Row],[Rand]],tblNormalTestIM[Score],-1),2)</f>
        <v>William</v>
      </c>
    </row>
    <row r="462" spans="22:25" x14ac:dyDescent="0.2">
      <c r="V462" s="1">
        <f t="shared" ca="1" si="7"/>
        <v>0.78</v>
      </c>
      <c r="W462" s="1" t="str">
        <f ca="1">VLOOKUP(tblDistributionTests[[#This Row],[Rand]]+MIN(tblFairTest[Score]),tblFairTest[],2,TRUE)</f>
        <v>Todd</v>
      </c>
      <c r="X462" s="1" t="str">
        <f ca="1">VLOOKUP(tblDistributionTests[[#This Row],[Rand]],tblNormalTestVl[],2,TRUE)</f>
        <v>William</v>
      </c>
      <c r="Y462" s="11" t="str">
        <f ca="1">INDEX(tblNormalTestIM[],MATCH(tblDistributionTests[[#This Row],[Rand]],tblNormalTestIM[Score],-1),2)</f>
        <v>Frank</v>
      </c>
    </row>
    <row r="463" spans="22:25" x14ac:dyDescent="0.2">
      <c r="V463" s="1">
        <f t="shared" ca="1" si="7"/>
        <v>0.54</v>
      </c>
      <c r="W463" s="1" t="str">
        <f ca="1">VLOOKUP(tblDistributionTests[[#This Row],[Rand]]+MIN(tblFairTest[Score]),tblFairTest[],2,TRUE)</f>
        <v>Todd</v>
      </c>
      <c r="X463" s="1" t="str">
        <f ca="1">VLOOKUP(tblDistributionTests[[#This Row],[Rand]],tblNormalTestVl[],2,TRUE)</f>
        <v>Riley</v>
      </c>
      <c r="Y463" s="11" t="str">
        <f ca="1">INDEX(tblNormalTestIM[],MATCH(tblDistributionTests[[#This Row],[Rand]],tblNormalTestIM[Score],-1),2)</f>
        <v>Luke</v>
      </c>
    </row>
    <row r="464" spans="22:25" x14ac:dyDescent="0.2">
      <c r="V464" s="1">
        <f t="shared" ca="1" si="7"/>
        <v>0.83</v>
      </c>
      <c r="W464" s="1" t="str">
        <f ca="1">VLOOKUP(tblDistributionTests[[#This Row],[Rand]]+MIN(tblFairTest[Score]),tblFairTest[],2,TRUE)</f>
        <v>Todd</v>
      </c>
      <c r="X464" s="1" t="str">
        <f ca="1">VLOOKUP(tblDistributionTests[[#This Row],[Rand]],tblNormalTestVl[],2,TRUE)</f>
        <v>William</v>
      </c>
      <c r="Y464" s="11" t="str">
        <f ca="1">INDEX(tblNormalTestIM[],MATCH(tblDistributionTests[[#This Row],[Rand]],tblNormalTestIM[Score],-1),2)</f>
        <v>Frank</v>
      </c>
    </row>
    <row r="465" spans="22:25" x14ac:dyDescent="0.2">
      <c r="V465" s="1">
        <f t="shared" ca="1" si="7"/>
        <v>0.15</v>
      </c>
      <c r="W465" s="1" t="e">
        <f ca="1">VLOOKUP(tblDistributionTests[[#This Row],[Rand]]+MIN(tblFairTest[Score]),tblFairTest[],2,TRUE)</f>
        <v>#N/A</v>
      </c>
      <c r="X465" s="1" t="str">
        <f ca="1">VLOOKUP(tblDistributionTests[[#This Row],[Rand]],tblNormalTestVl[],2,TRUE)</f>
        <v>Frank</v>
      </c>
      <c r="Y465" s="11" t="str">
        <f ca="1">INDEX(tblNormalTestIM[],MATCH(tblDistributionTests[[#This Row],[Rand]],tblNormalTestIM[Score],-1),2)</f>
        <v>William</v>
      </c>
    </row>
    <row r="466" spans="22:25" x14ac:dyDescent="0.2">
      <c r="V466" s="1">
        <f t="shared" ca="1" si="7"/>
        <v>1</v>
      </c>
      <c r="W466" s="1" t="str">
        <f ca="1">VLOOKUP(tblDistributionTests[[#This Row],[Rand]]+MIN(tblFairTest[Score]),tblFairTest[],2,TRUE)</f>
        <v>Todd</v>
      </c>
      <c r="X466" s="1" t="str">
        <f ca="1">VLOOKUP(tblDistributionTests[[#This Row],[Rand]],tblNormalTestVl[],2,TRUE)</f>
        <v>Todd</v>
      </c>
      <c r="Y466" s="11" t="e">
        <f ca="1">INDEX(tblNormalTestIM[],MATCH(tblDistributionTests[[#This Row],[Rand]],tblNormalTestIM[Score],-1),2)</f>
        <v>#N/A</v>
      </c>
    </row>
    <row r="467" spans="22:25" x14ac:dyDescent="0.2">
      <c r="V467" s="1">
        <f t="shared" ca="1" si="7"/>
        <v>0.22</v>
      </c>
      <c r="W467" s="1" t="e">
        <f ca="1">VLOOKUP(tblDistributionTests[[#This Row],[Rand]]+MIN(tblFairTest[Score]),tblFairTest[],2,TRUE)</f>
        <v>#N/A</v>
      </c>
      <c r="X467" s="1" t="str">
        <f ca="1">VLOOKUP(tblDistributionTests[[#This Row],[Rand]],tblNormalTestVl[],2,TRUE)</f>
        <v>Frank</v>
      </c>
      <c r="Y467" s="11" t="str">
        <f ca="1">INDEX(tblNormalTestIM[],MATCH(tblDistributionTests[[#This Row],[Rand]],tblNormalTestIM[Score],-1),2)</f>
        <v>William</v>
      </c>
    </row>
    <row r="468" spans="22:25" x14ac:dyDescent="0.2">
      <c r="V468" s="1">
        <f t="shared" ca="1" si="7"/>
        <v>0.46</v>
      </c>
      <c r="W468" s="1" t="e">
        <f ca="1">VLOOKUP(tblDistributionTests[[#This Row],[Rand]]+MIN(tblFairTest[Score]),tblFairTest[],2,TRUE)</f>
        <v>#N/A</v>
      </c>
      <c r="X468" s="1" t="str">
        <f ca="1">VLOOKUP(tblDistributionTests[[#This Row],[Rand]],tblNormalTestVl[],2,TRUE)</f>
        <v>Luke</v>
      </c>
      <c r="Y468" s="11" t="str">
        <f ca="1">INDEX(tblNormalTestIM[],MATCH(tblDistributionTests[[#This Row],[Rand]],tblNormalTestIM[Score],-1),2)</f>
        <v>Riley</v>
      </c>
    </row>
    <row r="469" spans="22:25" x14ac:dyDescent="0.2">
      <c r="V469" s="1">
        <f t="shared" ca="1" si="7"/>
        <v>0.28000000000000003</v>
      </c>
      <c r="W469" s="1" t="e">
        <f ca="1">VLOOKUP(tblDistributionTests[[#This Row],[Rand]]+MIN(tblFairTest[Score]),tblFairTest[],2,TRUE)</f>
        <v>#N/A</v>
      </c>
      <c r="X469" s="1" t="str">
        <f ca="1">VLOOKUP(tblDistributionTests[[#This Row],[Rand]],tblNormalTestVl[],2,TRUE)</f>
        <v>Luke</v>
      </c>
      <c r="Y469" s="11" t="str">
        <f ca="1">INDEX(tblNormalTestIM[],MATCH(tblDistributionTests[[#This Row],[Rand]],tblNormalTestIM[Score],-1),2)</f>
        <v>Riley</v>
      </c>
    </row>
    <row r="470" spans="22:25" x14ac:dyDescent="0.2">
      <c r="V470" s="1">
        <f t="shared" ca="1" si="7"/>
        <v>0.5</v>
      </c>
      <c r="W470" s="1" t="str">
        <f ca="1">VLOOKUP(tblDistributionTests[[#This Row],[Rand]]+MIN(tblFairTest[Score]),tblFairTest[],2,TRUE)</f>
        <v>Riley</v>
      </c>
      <c r="X470" s="1" t="str">
        <f ca="1">VLOOKUP(tblDistributionTests[[#This Row],[Rand]],tblNormalTestVl[],2,TRUE)</f>
        <v>Riley</v>
      </c>
      <c r="Y470" s="11" t="str">
        <f ca="1">INDEX(tblNormalTestIM[],MATCH(tblDistributionTests[[#This Row],[Rand]],tblNormalTestIM[Score],-1),2)</f>
        <v>Riley</v>
      </c>
    </row>
    <row r="471" spans="22:25" x14ac:dyDescent="0.2">
      <c r="V471" s="1">
        <f t="shared" ca="1" si="7"/>
        <v>0.37</v>
      </c>
      <c r="W471" s="1" t="e">
        <f ca="1">VLOOKUP(tblDistributionTests[[#This Row],[Rand]]+MIN(tblFairTest[Score]),tblFairTest[],2,TRUE)</f>
        <v>#N/A</v>
      </c>
      <c r="X471" s="1" t="str">
        <f ca="1">VLOOKUP(tblDistributionTests[[#This Row],[Rand]],tblNormalTestVl[],2,TRUE)</f>
        <v>Luke</v>
      </c>
      <c r="Y471" s="11" t="str">
        <f ca="1">INDEX(tblNormalTestIM[],MATCH(tblDistributionTests[[#This Row],[Rand]],tblNormalTestIM[Score],-1),2)</f>
        <v>Riley</v>
      </c>
    </row>
    <row r="472" spans="22:25" x14ac:dyDescent="0.2">
      <c r="V472" s="1">
        <f t="shared" ca="1" si="7"/>
        <v>0.85</v>
      </c>
      <c r="W472" s="1" t="str">
        <f ca="1">VLOOKUP(tblDistributionTests[[#This Row],[Rand]]+MIN(tblFairTest[Score]),tblFairTest[],2,TRUE)</f>
        <v>Todd</v>
      </c>
      <c r="X472" s="1" t="str">
        <f ca="1">VLOOKUP(tblDistributionTests[[#This Row],[Rand]],tblNormalTestVl[],2,TRUE)</f>
        <v>William</v>
      </c>
      <c r="Y472" s="11" t="str">
        <f ca="1">INDEX(tblNormalTestIM[],MATCH(tblDistributionTests[[#This Row],[Rand]],tblNormalTestIM[Score],-1),2)</f>
        <v>Frank</v>
      </c>
    </row>
    <row r="473" spans="22:25" x14ac:dyDescent="0.2">
      <c r="V473" s="1">
        <f t="shared" ca="1" si="7"/>
        <v>7.0000000000000007E-2</v>
      </c>
      <c r="W473" s="1" t="e">
        <f ca="1">VLOOKUP(tblDistributionTests[[#This Row],[Rand]]+MIN(tblFairTest[Score]),tblFairTest[],2,TRUE)</f>
        <v>#N/A</v>
      </c>
      <c r="X473" s="1" t="str">
        <f ca="1">VLOOKUP(tblDistributionTests[[#This Row],[Rand]],tblNormalTestVl[],2,TRUE)</f>
        <v>Frank</v>
      </c>
      <c r="Y473" s="11" t="str">
        <f ca="1">INDEX(tblNormalTestIM[],MATCH(tblDistributionTests[[#This Row],[Rand]],tblNormalTestIM[Score],-1),2)</f>
        <v>William</v>
      </c>
    </row>
    <row r="474" spans="22:25" x14ac:dyDescent="0.2">
      <c r="V474" s="1">
        <f t="shared" ca="1" si="7"/>
        <v>0.09</v>
      </c>
      <c r="W474" s="1" t="e">
        <f ca="1">VLOOKUP(tblDistributionTests[[#This Row],[Rand]]+MIN(tblFairTest[Score]),tblFairTest[],2,TRUE)</f>
        <v>#N/A</v>
      </c>
      <c r="X474" s="1" t="str">
        <f ca="1">VLOOKUP(tblDistributionTests[[#This Row],[Rand]],tblNormalTestVl[],2,TRUE)</f>
        <v>Frank</v>
      </c>
      <c r="Y474" s="11" t="str">
        <f ca="1">INDEX(tblNormalTestIM[],MATCH(tblDistributionTests[[#This Row],[Rand]],tblNormalTestIM[Score],-1),2)</f>
        <v>William</v>
      </c>
    </row>
    <row r="475" spans="22:25" x14ac:dyDescent="0.2">
      <c r="V475" s="1">
        <f t="shared" ca="1" si="7"/>
        <v>0.37</v>
      </c>
      <c r="W475" s="1" t="e">
        <f ca="1">VLOOKUP(tblDistributionTests[[#This Row],[Rand]]+MIN(tblFairTest[Score]),tblFairTest[],2,TRUE)</f>
        <v>#N/A</v>
      </c>
      <c r="X475" s="1" t="str">
        <f ca="1">VLOOKUP(tblDistributionTests[[#This Row],[Rand]],tblNormalTestVl[],2,TRUE)</f>
        <v>Luke</v>
      </c>
      <c r="Y475" s="11" t="str">
        <f ca="1">INDEX(tblNormalTestIM[],MATCH(tblDistributionTests[[#This Row],[Rand]],tblNormalTestIM[Score],-1),2)</f>
        <v>Riley</v>
      </c>
    </row>
    <row r="476" spans="22:25" x14ac:dyDescent="0.2">
      <c r="V476" s="1">
        <f t="shared" ca="1" si="7"/>
        <v>0.8</v>
      </c>
      <c r="W476" s="1" t="str">
        <f ca="1">VLOOKUP(tblDistributionTests[[#This Row],[Rand]]+MIN(tblFairTest[Score]),tblFairTest[],2,TRUE)</f>
        <v>Todd</v>
      </c>
      <c r="X476" s="1" t="str">
        <f ca="1">VLOOKUP(tblDistributionTests[[#This Row],[Rand]],tblNormalTestVl[],2,TRUE)</f>
        <v>William</v>
      </c>
      <c r="Y476" s="11" t="str">
        <f ca="1">INDEX(tblNormalTestIM[],MATCH(tblDistributionTests[[#This Row],[Rand]],tblNormalTestIM[Score],-1),2)</f>
        <v>Frank</v>
      </c>
    </row>
    <row r="477" spans="22:25" x14ac:dyDescent="0.2">
      <c r="V477" s="1">
        <f t="shared" ca="1" si="7"/>
        <v>0.83</v>
      </c>
      <c r="W477" s="1" t="str">
        <f ca="1">VLOOKUP(tblDistributionTests[[#This Row],[Rand]]+MIN(tblFairTest[Score]),tblFairTest[],2,TRUE)</f>
        <v>Todd</v>
      </c>
      <c r="X477" s="1" t="str">
        <f ca="1">VLOOKUP(tblDistributionTests[[#This Row],[Rand]],tblNormalTestVl[],2,TRUE)</f>
        <v>William</v>
      </c>
      <c r="Y477" s="11" t="str">
        <f ca="1">INDEX(tblNormalTestIM[],MATCH(tblDistributionTests[[#This Row],[Rand]],tblNormalTestIM[Score],-1),2)</f>
        <v>Frank</v>
      </c>
    </row>
    <row r="478" spans="22:25" x14ac:dyDescent="0.2">
      <c r="V478" s="1">
        <f t="shared" ca="1" si="7"/>
        <v>7.0000000000000007E-2</v>
      </c>
      <c r="W478" s="1" t="e">
        <f ca="1">VLOOKUP(tblDistributionTests[[#This Row],[Rand]]+MIN(tblFairTest[Score]),tblFairTest[],2,TRUE)</f>
        <v>#N/A</v>
      </c>
      <c r="X478" s="1" t="str">
        <f ca="1">VLOOKUP(tblDistributionTests[[#This Row],[Rand]],tblNormalTestVl[],2,TRUE)</f>
        <v>Frank</v>
      </c>
      <c r="Y478" s="11" t="str">
        <f ca="1">INDEX(tblNormalTestIM[],MATCH(tblDistributionTests[[#This Row],[Rand]],tblNormalTestIM[Score],-1),2)</f>
        <v>William</v>
      </c>
    </row>
    <row r="479" spans="22:25" x14ac:dyDescent="0.2">
      <c r="V479" s="1">
        <f t="shared" ca="1" si="7"/>
        <v>0.49</v>
      </c>
      <c r="W479" s="1" t="e">
        <f ca="1">VLOOKUP(tblDistributionTests[[#This Row],[Rand]]+MIN(tblFairTest[Score]),tblFairTest[],2,TRUE)</f>
        <v>#N/A</v>
      </c>
      <c r="X479" s="1" t="str">
        <f ca="1">VLOOKUP(tblDistributionTests[[#This Row],[Rand]],tblNormalTestVl[],2,TRUE)</f>
        <v>Luke</v>
      </c>
      <c r="Y479" s="11" t="str">
        <f ca="1">INDEX(tblNormalTestIM[],MATCH(tblDistributionTests[[#This Row],[Rand]],tblNormalTestIM[Score],-1),2)</f>
        <v>Riley</v>
      </c>
    </row>
    <row r="480" spans="22:25" x14ac:dyDescent="0.2">
      <c r="V480" s="1">
        <f t="shared" ca="1" si="7"/>
        <v>0.06</v>
      </c>
      <c r="W480" s="1" t="e">
        <f ca="1">VLOOKUP(tblDistributionTests[[#This Row],[Rand]]+MIN(tblFairTest[Score]),tblFairTest[],2,TRUE)</f>
        <v>#N/A</v>
      </c>
      <c r="X480" s="1" t="str">
        <f ca="1">VLOOKUP(tblDistributionTests[[#This Row],[Rand]],tblNormalTestVl[],2,TRUE)</f>
        <v>Bill</v>
      </c>
      <c r="Y480" s="11" t="str">
        <f ca="1">INDEX(tblNormalTestIM[],MATCH(tblDistributionTests[[#This Row],[Rand]],tblNormalTestIM[Score],-1),2)</f>
        <v>Eric</v>
      </c>
    </row>
    <row r="481" spans="22:25" x14ac:dyDescent="0.2">
      <c r="V481" s="1">
        <f t="shared" ca="1" si="7"/>
        <v>0.23</v>
      </c>
      <c r="W481" s="1" t="e">
        <f ca="1">VLOOKUP(tblDistributionTests[[#This Row],[Rand]]+MIN(tblFairTest[Score]),tblFairTest[],2,TRUE)</f>
        <v>#N/A</v>
      </c>
      <c r="X481" s="1" t="str">
        <f ca="1">VLOOKUP(tblDistributionTests[[#This Row],[Rand]],tblNormalTestVl[],2,TRUE)</f>
        <v>Luke</v>
      </c>
      <c r="Y481" s="11" t="str">
        <f ca="1">INDEX(tblNormalTestIM[],MATCH(tblDistributionTests[[#This Row],[Rand]],tblNormalTestIM[Score],-1),2)</f>
        <v>Riley</v>
      </c>
    </row>
    <row r="482" spans="22:25" x14ac:dyDescent="0.2">
      <c r="V482" s="1">
        <f t="shared" ca="1" si="7"/>
        <v>0.59</v>
      </c>
      <c r="W482" s="1" t="str">
        <f ca="1">VLOOKUP(tblDistributionTests[[#This Row],[Rand]]+MIN(tblFairTest[Score]),tblFairTest[],2,TRUE)</f>
        <v>Todd</v>
      </c>
      <c r="X482" s="1" t="str">
        <f ca="1">VLOOKUP(tblDistributionTests[[#This Row],[Rand]],tblNormalTestVl[],2,TRUE)</f>
        <v>Riley</v>
      </c>
      <c r="Y482" s="11" t="str">
        <f ca="1">INDEX(tblNormalTestIM[],MATCH(tblDistributionTests[[#This Row],[Rand]],tblNormalTestIM[Score],-1),2)</f>
        <v>Luke</v>
      </c>
    </row>
    <row r="483" spans="22:25" x14ac:dyDescent="0.2">
      <c r="V483" s="1">
        <f t="shared" ca="1" si="7"/>
        <v>0.09</v>
      </c>
      <c r="W483" s="1" t="e">
        <f ca="1">VLOOKUP(tblDistributionTests[[#This Row],[Rand]]+MIN(tblFairTest[Score]),tblFairTest[],2,TRUE)</f>
        <v>#N/A</v>
      </c>
      <c r="X483" s="1" t="str">
        <f ca="1">VLOOKUP(tblDistributionTests[[#This Row],[Rand]],tblNormalTestVl[],2,TRUE)</f>
        <v>Frank</v>
      </c>
      <c r="Y483" s="11" t="str">
        <f ca="1">INDEX(tblNormalTestIM[],MATCH(tblDistributionTests[[#This Row],[Rand]],tblNormalTestIM[Score],-1),2)</f>
        <v>William</v>
      </c>
    </row>
    <row r="484" spans="22:25" x14ac:dyDescent="0.2">
      <c r="V484" s="1">
        <f t="shared" ca="1" si="7"/>
        <v>0.59</v>
      </c>
      <c r="W484" s="1" t="str">
        <f ca="1">VLOOKUP(tblDistributionTests[[#This Row],[Rand]]+MIN(tblFairTest[Score]),tblFairTest[],2,TRUE)</f>
        <v>Todd</v>
      </c>
      <c r="X484" s="1" t="str">
        <f ca="1">VLOOKUP(tblDistributionTests[[#This Row],[Rand]],tblNormalTestVl[],2,TRUE)</f>
        <v>Riley</v>
      </c>
      <c r="Y484" s="11" t="str">
        <f ca="1">INDEX(tblNormalTestIM[],MATCH(tblDistributionTests[[#This Row],[Rand]],tblNormalTestIM[Score],-1),2)</f>
        <v>Luke</v>
      </c>
    </row>
    <row r="485" spans="22:25" x14ac:dyDescent="0.2">
      <c r="V485" s="1">
        <f t="shared" ca="1" si="7"/>
        <v>0.97</v>
      </c>
      <c r="W485" s="1" t="str">
        <f ca="1">VLOOKUP(tblDistributionTests[[#This Row],[Rand]]+MIN(tblFairTest[Score]),tblFairTest[],2,TRUE)</f>
        <v>Todd</v>
      </c>
      <c r="X485" s="1" t="str">
        <f ca="1">VLOOKUP(tblDistributionTests[[#This Row],[Rand]],tblNormalTestVl[],2,TRUE)</f>
        <v>Eric</v>
      </c>
      <c r="Y485" s="11" t="str">
        <f ca="1">INDEX(tblNormalTestIM[],MATCH(tblDistributionTests[[#This Row],[Rand]],tblNormalTestIM[Score],-1),2)</f>
        <v>Bill</v>
      </c>
    </row>
    <row r="486" spans="22:25" x14ac:dyDescent="0.2">
      <c r="V486" s="1">
        <f t="shared" ca="1" si="7"/>
        <v>0.21</v>
      </c>
      <c r="W486" s="1" t="e">
        <f ca="1">VLOOKUP(tblDistributionTests[[#This Row],[Rand]]+MIN(tblFairTest[Score]),tblFairTest[],2,TRUE)</f>
        <v>#N/A</v>
      </c>
      <c r="X486" s="1" t="str">
        <f ca="1">VLOOKUP(tblDistributionTests[[#This Row],[Rand]],tblNormalTestVl[],2,TRUE)</f>
        <v>Frank</v>
      </c>
      <c r="Y486" s="11" t="str">
        <f ca="1">INDEX(tblNormalTestIM[],MATCH(tblDistributionTests[[#This Row],[Rand]],tblNormalTestIM[Score],-1),2)</f>
        <v>William</v>
      </c>
    </row>
    <row r="487" spans="22:25" x14ac:dyDescent="0.2">
      <c r="V487" s="1">
        <f t="shared" ca="1" si="7"/>
        <v>0.38</v>
      </c>
      <c r="W487" s="1" t="e">
        <f ca="1">VLOOKUP(tblDistributionTests[[#This Row],[Rand]]+MIN(tblFairTest[Score]),tblFairTest[],2,TRUE)</f>
        <v>#N/A</v>
      </c>
      <c r="X487" s="1" t="str">
        <f ca="1">VLOOKUP(tblDistributionTests[[#This Row],[Rand]],tblNormalTestVl[],2,TRUE)</f>
        <v>Luke</v>
      </c>
      <c r="Y487" s="11" t="str">
        <f ca="1">INDEX(tblNormalTestIM[],MATCH(tblDistributionTests[[#This Row],[Rand]],tblNormalTestIM[Score],-1),2)</f>
        <v>Riley</v>
      </c>
    </row>
    <row r="488" spans="22:25" x14ac:dyDescent="0.2">
      <c r="V488" s="1">
        <f t="shared" ca="1" si="7"/>
        <v>0.08</v>
      </c>
      <c r="W488" s="1" t="e">
        <f ca="1">VLOOKUP(tblDistributionTests[[#This Row],[Rand]]+MIN(tblFairTest[Score]),tblFairTest[],2,TRUE)</f>
        <v>#N/A</v>
      </c>
      <c r="X488" s="1" t="str">
        <f ca="1">VLOOKUP(tblDistributionTests[[#This Row],[Rand]],tblNormalTestVl[],2,TRUE)</f>
        <v>Frank</v>
      </c>
      <c r="Y488" s="11" t="str">
        <f ca="1">INDEX(tblNormalTestIM[],MATCH(tblDistributionTests[[#This Row],[Rand]],tblNormalTestIM[Score],-1),2)</f>
        <v>William</v>
      </c>
    </row>
    <row r="489" spans="22:25" x14ac:dyDescent="0.2">
      <c r="V489" s="1">
        <f t="shared" ca="1" si="7"/>
        <v>0.91</v>
      </c>
      <c r="W489" s="1" t="str">
        <f ca="1">VLOOKUP(tblDistributionTests[[#This Row],[Rand]]+MIN(tblFairTest[Score]),tblFairTest[],2,TRUE)</f>
        <v>Todd</v>
      </c>
      <c r="X489" s="1" t="str">
        <f ca="1">VLOOKUP(tblDistributionTests[[#This Row],[Rand]],tblNormalTestVl[],2,TRUE)</f>
        <v>William</v>
      </c>
      <c r="Y489" s="11" t="str">
        <f ca="1">INDEX(tblNormalTestIM[],MATCH(tblDistributionTests[[#This Row],[Rand]],tblNormalTestIM[Score],-1),2)</f>
        <v>Frank</v>
      </c>
    </row>
    <row r="490" spans="22:25" x14ac:dyDescent="0.2">
      <c r="V490" s="1">
        <f t="shared" ca="1" si="7"/>
        <v>0.78</v>
      </c>
      <c r="W490" s="1" t="str">
        <f ca="1">VLOOKUP(tblDistributionTests[[#This Row],[Rand]]+MIN(tblFairTest[Score]),tblFairTest[],2,TRUE)</f>
        <v>Todd</v>
      </c>
      <c r="X490" s="1" t="str">
        <f ca="1">VLOOKUP(tblDistributionTests[[#This Row],[Rand]],tblNormalTestVl[],2,TRUE)</f>
        <v>William</v>
      </c>
      <c r="Y490" s="11" t="str">
        <f ca="1">INDEX(tblNormalTestIM[],MATCH(tblDistributionTests[[#This Row],[Rand]],tblNormalTestIM[Score],-1),2)</f>
        <v>Frank</v>
      </c>
    </row>
    <row r="491" spans="22:25" x14ac:dyDescent="0.2">
      <c r="V491" s="1">
        <f t="shared" ca="1" si="7"/>
        <v>0.74</v>
      </c>
      <c r="W491" s="1" t="str">
        <f ca="1">VLOOKUP(tblDistributionTests[[#This Row],[Rand]]+MIN(tblFairTest[Score]),tblFairTest[],2,TRUE)</f>
        <v>Todd</v>
      </c>
      <c r="X491" s="1" t="str">
        <f ca="1">VLOOKUP(tblDistributionTests[[#This Row],[Rand]],tblNormalTestVl[],2,TRUE)</f>
        <v>Riley</v>
      </c>
      <c r="Y491" s="11" t="str">
        <f ca="1">INDEX(tblNormalTestIM[],MATCH(tblDistributionTests[[#This Row],[Rand]],tblNormalTestIM[Score],-1),2)</f>
        <v>Luke</v>
      </c>
    </row>
    <row r="492" spans="22:25" x14ac:dyDescent="0.2">
      <c r="V492" s="1">
        <f t="shared" ca="1" si="7"/>
        <v>0.22</v>
      </c>
      <c r="W492" s="1" t="e">
        <f ca="1">VLOOKUP(tblDistributionTests[[#This Row],[Rand]]+MIN(tblFairTest[Score]),tblFairTest[],2,TRUE)</f>
        <v>#N/A</v>
      </c>
      <c r="X492" s="1" t="str">
        <f ca="1">VLOOKUP(tblDistributionTests[[#This Row],[Rand]],tblNormalTestVl[],2,TRUE)</f>
        <v>Frank</v>
      </c>
      <c r="Y492" s="11" t="str">
        <f ca="1">INDEX(tblNormalTestIM[],MATCH(tblDistributionTests[[#This Row],[Rand]],tblNormalTestIM[Score],-1),2)</f>
        <v>William</v>
      </c>
    </row>
    <row r="493" spans="22:25" x14ac:dyDescent="0.2">
      <c r="V493" s="1">
        <f t="shared" ca="1" si="7"/>
        <v>0.03</v>
      </c>
      <c r="W493" s="1" t="e">
        <f ca="1">VLOOKUP(tblDistributionTests[[#This Row],[Rand]]+MIN(tblFairTest[Score]),tblFairTest[],2,TRUE)</f>
        <v>#N/A</v>
      </c>
      <c r="X493" s="1" t="str">
        <f ca="1">VLOOKUP(tblDistributionTests[[#This Row],[Rand]],tblNormalTestVl[],2,TRUE)</f>
        <v>Bill</v>
      </c>
      <c r="Y493" s="11" t="str">
        <f ca="1">INDEX(tblNormalTestIM[],MATCH(tblDistributionTests[[#This Row],[Rand]],tblNormalTestIM[Score],-1),2)</f>
        <v>Eric</v>
      </c>
    </row>
    <row r="494" spans="22:25" x14ac:dyDescent="0.2">
      <c r="V494" s="1">
        <f t="shared" ca="1" si="7"/>
        <v>0.08</v>
      </c>
      <c r="W494" s="1" t="e">
        <f ca="1">VLOOKUP(tblDistributionTests[[#This Row],[Rand]]+MIN(tblFairTest[Score]),tblFairTest[],2,TRUE)</f>
        <v>#N/A</v>
      </c>
      <c r="X494" s="1" t="str">
        <f ca="1">VLOOKUP(tblDistributionTests[[#This Row],[Rand]],tblNormalTestVl[],2,TRUE)</f>
        <v>Frank</v>
      </c>
      <c r="Y494" s="11" t="str">
        <f ca="1">INDEX(tblNormalTestIM[],MATCH(tblDistributionTests[[#This Row],[Rand]],tblNormalTestIM[Score],-1),2)</f>
        <v>William</v>
      </c>
    </row>
    <row r="495" spans="22:25" x14ac:dyDescent="0.2">
      <c r="V495" s="1">
        <f t="shared" ca="1" si="7"/>
        <v>0.52</v>
      </c>
      <c r="W495" s="1" t="str">
        <f ca="1">VLOOKUP(tblDistributionTests[[#This Row],[Rand]]+MIN(tblFairTest[Score]),tblFairTest[],2,TRUE)</f>
        <v>Todd</v>
      </c>
      <c r="X495" s="1" t="str">
        <f ca="1">VLOOKUP(tblDistributionTests[[#This Row],[Rand]],tblNormalTestVl[],2,TRUE)</f>
        <v>Riley</v>
      </c>
      <c r="Y495" s="11" t="str">
        <f ca="1">INDEX(tblNormalTestIM[],MATCH(tblDistributionTests[[#This Row],[Rand]],tblNormalTestIM[Score],-1),2)</f>
        <v>Luke</v>
      </c>
    </row>
    <row r="496" spans="22:25" x14ac:dyDescent="0.2">
      <c r="V496" s="1">
        <f t="shared" ca="1" si="7"/>
        <v>0.86</v>
      </c>
      <c r="W496" s="1" t="str">
        <f ca="1">VLOOKUP(tblDistributionTests[[#This Row],[Rand]]+MIN(tblFairTest[Score]),tblFairTest[],2,TRUE)</f>
        <v>Todd</v>
      </c>
      <c r="X496" s="1" t="str">
        <f ca="1">VLOOKUP(tblDistributionTests[[#This Row],[Rand]],tblNormalTestVl[],2,TRUE)</f>
        <v>William</v>
      </c>
      <c r="Y496" s="11" t="str">
        <f ca="1">INDEX(tblNormalTestIM[],MATCH(tblDistributionTests[[#This Row],[Rand]],tblNormalTestIM[Score],-1),2)</f>
        <v>Frank</v>
      </c>
    </row>
    <row r="497" spans="22:25" x14ac:dyDescent="0.2">
      <c r="V497" s="1">
        <f t="shared" ca="1" si="7"/>
        <v>0.39</v>
      </c>
      <c r="W497" s="1" t="e">
        <f ca="1">VLOOKUP(tblDistributionTests[[#This Row],[Rand]]+MIN(tblFairTest[Score]),tblFairTest[],2,TRUE)</f>
        <v>#N/A</v>
      </c>
      <c r="X497" s="1" t="str">
        <f ca="1">VLOOKUP(tblDistributionTests[[#This Row],[Rand]],tblNormalTestVl[],2,TRUE)</f>
        <v>Luke</v>
      </c>
      <c r="Y497" s="11" t="str">
        <f ca="1">INDEX(tblNormalTestIM[],MATCH(tblDistributionTests[[#This Row],[Rand]],tblNormalTestIM[Score],-1),2)</f>
        <v>Riley</v>
      </c>
    </row>
    <row r="498" spans="22:25" x14ac:dyDescent="0.2">
      <c r="V498" s="1">
        <f t="shared" ca="1" si="7"/>
        <v>0.8</v>
      </c>
      <c r="W498" s="1" t="str">
        <f ca="1">VLOOKUP(tblDistributionTests[[#This Row],[Rand]]+MIN(tblFairTest[Score]),tblFairTest[],2,TRUE)</f>
        <v>Todd</v>
      </c>
      <c r="X498" s="1" t="str">
        <f ca="1">VLOOKUP(tblDistributionTests[[#This Row],[Rand]],tblNormalTestVl[],2,TRUE)</f>
        <v>William</v>
      </c>
      <c r="Y498" s="11" t="str">
        <f ca="1">INDEX(tblNormalTestIM[],MATCH(tblDistributionTests[[#This Row],[Rand]],tblNormalTestIM[Score],-1),2)</f>
        <v>Frank</v>
      </c>
    </row>
    <row r="499" spans="22:25" x14ac:dyDescent="0.2">
      <c r="V499" s="1">
        <f t="shared" ca="1" si="7"/>
        <v>0.08</v>
      </c>
      <c r="W499" s="1" t="e">
        <f ca="1">VLOOKUP(tblDistributionTests[[#This Row],[Rand]]+MIN(tblFairTest[Score]),tblFairTest[],2,TRUE)</f>
        <v>#N/A</v>
      </c>
      <c r="X499" s="1" t="str">
        <f ca="1">VLOOKUP(tblDistributionTests[[#This Row],[Rand]],tblNormalTestVl[],2,TRUE)</f>
        <v>Frank</v>
      </c>
      <c r="Y499" s="11" t="str">
        <f ca="1">INDEX(tblNormalTestIM[],MATCH(tblDistributionTests[[#This Row],[Rand]],tblNormalTestIM[Score],-1),2)</f>
        <v>William</v>
      </c>
    </row>
    <row r="500" spans="22:25" x14ac:dyDescent="0.2">
      <c r="V500" s="1">
        <f t="shared" ca="1" si="7"/>
        <v>0.65</v>
      </c>
      <c r="W500" s="1" t="str">
        <f ca="1">VLOOKUP(tblDistributionTests[[#This Row],[Rand]]+MIN(tblFairTest[Score]),tblFairTest[],2,TRUE)</f>
        <v>Todd</v>
      </c>
      <c r="X500" s="1" t="str">
        <f ca="1">VLOOKUP(tblDistributionTests[[#This Row],[Rand]],tblNormalTestVl[],2,TRUE)</f>
        <v>Riley</v>
      </c>
      <c r="Y500" s="11" t="str">
        <f ca="1">INDEX(tblNormalTestIM[],MATCH(tblDistributionTests[[#This Row],[Rand]],tblNormalTestIM[Score],-1),2)</f>
        <v>Luke</v>
      </c>
    </row>
    <row r="501" spans="22:25" x14ac:dyDescent="0.2">
      <c r="V501" s="1">
        <f t="shared" ca="1" si="7"/>
        <v>0.26</v>
      </c>
      <c r="W501" s="1" t="e">
        <f ca="1">VLOOKUP(tblDistributionTests[[#This Row],[Rand]]+MIN(tblFairTest[Score]),tblFairTest[],2,TRUE)</f>
        <v>#N/A</v>
      </c>
      <c r="X501" s="1" t="str">
        <f ca="1">VLOOKUP(tblDistributionTests[[#This Row],[Rand]],tblNormalTestVl[],2,TRUE)</f>
        <v>Luke</v>
      </c>
      <c r="Y501" s="11" t="str">
        <f ca="1">INDEX(tblNormalTestIM[],MATCH(tblDistributionTests[[#This Row],[Rand]],tblNormalTestIM[Score],-1),2)</f>
        <v>Riley</v>
      </c>
    </row>
    <row r="502" spans="22:25" x14ac:dyDescent="0.2">
      <c r="V502" s="1">
        <f t="shared" ca="1" si="7"/>
        <v>0.43</v>
      </c>
      <c r="W502" s="1" t="e">
        <f ca="1">VLOOKUP(tblDistributionTests[[#This Row],[Rand]]+MIN(tblFairTest[Score]),tblFairTest[],2,TRUE)</f>
        <v>#N/A</v>
      </c>
      <c r="X502" s="1" t="str">
        <f ca="1">VLOOKUP(tblDistributionTests[[#This Row],[Rand]],tblNormalTestVl[],2,TRUE)</f>
        <v>Luke</v>
      </c>
      <c r="Y502" s="11" t="str">
        <f ca="1">INDEX(tblNormalTestIM[],MATCH(tblDistributionTests[[#This Row],[Rand]],tblNormalTestIM[Score],-1),2)</f>
        <v>Riley</v>
      </c>
    </row>
    <row r="503" spans="22:25" x14ac:dyDescent="0.2">
      <c r="V503" s="1">
        <f t="shared" ca="1" si="7"/>
        <v>0.28999999999999998</v>
      </c>
      <c r="W503" s="1" t="e">
        <f ca="1">VLOOKUP(tblDistributionTests[[#This Row],[Rand]]+MIN(tblFairTest[Score]),tblFairTest[],2,TRUE)</f>
        <v>#N/A</v>
      </c>
      <c r="X503" s="1" t="str">
        <f ca="1">VLOOKUP(tblDistributionTests[[#This Row],[Rand]],tblNormalTestVl[],2,TRUE)</f>
        <v>Luke</v>
      </c>
      <c r="Y503" s="11" t="str">
        <f ca="1">INDEX(tblNormalTestIM[],MATCH(tblDistributionTests[[#This Row],[Rand]],tblNormalTestIM[Score],-1),2)</f>
        <v>Riley</v>
      </c>
    </row>
    <row r="504" spans="22:25" x14ac:dyDescent="0.2">
      <c r="V504" s="1">
        <f t="shared" ca="1" si="7"/>
        <v>0.02</v>
      </c>
      <c r="W504" s="1" t="e">
        <f ca="1">VLOOKUP(tblDistributionTests[[#This Row],[Rand]]+MIN(tblFairTest[Score]),tblFairTest[],2,TRUE)</f>
        <v>#N/A</v>
      </c>
      <c r="X504" s="1" t="str">
        <f ca="1">VLOOKUP(tblDistributionTests[[#This Row],[Rand]],tblNormalTestVl[],2,TRUE)</f>
        <v>Bill</v>
      </c>
      <c r="Y504" s="11" t="str">
        <f ca="1">INDEX(tblNormalTestIM[],MATCH(tblDistributionTests[[#This Row],[Rand]],tblNormalTestIM[Score],-1),2)</f>
        <v>Eric</v>
      </c>
    </row>
    <row r="505" spans="22:25" x14ac:dyDescent="0.2">
      <c r="V505" s="1">
        <f t="shared" ca="1" si="7"/>
        <v>0.09</v>
      </c>
      <c r="W505" s="1" t="e">
        <f ca="1">VLOOKUP(tblDistributionTests[[#This Row],[Rand]]+MIN(tblFairTest[Score]),tblFairTest[],2,TRUE)</f>
        <v>#N/A</v>
      </c>
      <c r="X505" s="1" t="str">
        <f ca="1">VLOOKUP(tblDistributionTests[[#This Row],[Rand]],tblNormalTestVl[],2,TRUE)</f>
        <v>Frank</v>
      </c>
      <c r="Y505" s="11" t="str">
        <f ca="1">INDEX(tblNormalTestIM[],MATCH(tblDistributionTests[[#This Row],[Rand]],tblNormalTestIM[Score],-1),2)</f>
        <v>William</v>
      </c>
    </row>
    <row r="506" spans="22:25" x14ac:dyDescent="0.2">
      <c r="V506" s="1">
        <f t="shared" ca="1" si="7"/>
        <v>0.52</v>
      </c>
      <c r="W506" s="1" t="str">
        <f ca="1">VLOOKUP(tblDistributionTests[[#This Row],[Rand]]+MIN(tblFairTest[Score]),tblFairTest[],2,TRUE)</f>
        <v>Todd</v>
      </c>
      <c r="X506" s="1" t="str">
        <f ca="1">VLOOKUP(tblDistributionTests[[#This Row],[Rand]],tblNormalTestVl[],2,TRUE)</f>
        <v>Riley</v>
      </c>
      <c r="Y506" s="11" t="str">
        <f ca="1">INDEX(tblNormalTestIM[],MATCH(tblDistributionTests[[#This Row],[Rand]],tblNormalTestIM[Score],-1),2)</f>
        <v>Luke</v>
      </c>
    </row>
    <row r="507" spans="22:25" x14ac:dyDescent="0.2">
      <c r="V507" s="1">
        <f t="shared" ca="1" si="7"/>
        <v>0.72</v>
      </c>
      <c r="W507" s="1" t="str">
        <f ca="1">VLOOKUP(tblDistributionTests[[#This Row],[Rand]]+MIN(tblFairTest[Score]),tblFairTest[],2,TRUE)</f>
        <v>Todd</v>
      </c>
      <c r="X507" s="1" t="str">
        <f ca="1">VLOOKUP(tblDistributionTests[[#This Row],[Rand]],tblNormalTestVl[],2,TRUE)</f>
        <v>Riley</v>
      </c>
      <c r="Y507" s="11" t="str">
        <f ca="1">INDEX(tblNormalTestIM[],MATCH(tblDistributionTests[[#This Row],[Rand]],tblNormalTestIM[Score],-1),2)</f>
        <v>Luke</v>
      </c>
    </row>
    <row r="508" spans="22:25" x14ac:dyDescent="0.2">
      <c r="V508" s="1">
        <f t="shared" ca="1" si="7"/>
        <v>0.44</v>
      </c>
      <c r="W508" s="1" t="e">
        <f ca="1">VLOOKUP(tblDistributionTests[[#This Row],[Rand]]+MIN(tblFairTest[Score]),tblFairTest[],2,TRUE)</f>
        <v>#N/A</v>
      </c>
      <c r="X508" s="1" t="str">
        <f ca="1">VLOOKUP(tblDistributionTests[[#This Row],[Rand]],tblNormalTestVl[],2,TRUE)</f>
        <v>Luke</v>
      </c>
      <c r="Y508" s="11" t="str">
        <f ca="1">INDEX(tblNormalTestIM[],MATCH(tblDistributionTests[[#This Row],[Rand]],tblNormalTestIM[Score],-1),2)</f>
        <v>Riley</v>
      </c>
    </row>
    <row r="509" spans="22:25" x14ac:dyDescent="0.2">
      <c r="V509" s="1">
        <f t="shared" ca="1" si="7"/>
        <v>0.98</v>
      </c>
      <c r="W509" s="1" t="str">
        <f ca="1">VLOOKUP(tblDistributionTests[[#This Row],[Rand]]+MIN(tblFairTest[Score]),tblFairTest[],2,TRUE)</f>
        <v>Todd</v>
      </c>
      <c r="X509" s="1" t="str">
        <f ca="1">VLOOKUP(tblDistributionTests[[#This Row],[Rand]],tblNormalTestVl[],2,TRUE)</f>
        <v>Eric</v>
      </c>
      <c r="Y509" s="11" t="str">
        <f ca="1">INDEX(tblNormalTestIM[],MATCH(tblDistributionTests[[#This Row],[Rand]],tblNormalTestIM[Score],-1),2)</f>
        <v>Bill</v>
      </c>
    </row>
    <row r="510" spans="22:25" x14ac:dyDescent="0.2">
      <c r="V510" s="1">
        <f t="shared" ca="1" si="7"/>
        <v>0.48</v>
      </c>
      <c r="W510" s="1" t="e">
        <f ca="1">VLOOKUP(tblDistributionTests[[#This Row],[Rand]]+MIN(tblFairTest[Score]),tblFairTest[],2,TRUE)</f>
        <v>#N/A</v>
      </c>
      <c r="X510" s="1" t="str">
        <f ca="1">VLOOKUP(tblDistributionTests[[#This Row],[Rand]],tblNormalTestVl[],2,TRUE)</f>
        <v>Luke</v>
      </c>
      <c r="Y510" s="11" t="str">
        <f ca="1">INDEX(tblNormalTestIM[],MATCH(tblDistributionTests[[#This Row],[Rand]],tblNormalTestIM[Score],-1),2)</f>
        <v>Riley</v>
      </c>
    </row>
    <row r="511" spans="22:25" x14ac:dyDescent="0.2">
      <c r="V511" s="1">
        <f t="shared" ca="1" si="7"/>
        <v>0.64</v>
      </c>
      <c r="W511" s="1" t="str">
        <f ca="1">VLOOKUP(tblDistributionTests[[#This Row],[Rand]]+MIN(tblFairTest[Score]),tblFairTest[],2,TRUE)</f>
        <v>Todd</v>
      </c>
      <c r="X511" s="1" t="str">
        <f ca="1">VLOOKUP(tblDistributionTests[[#This Row],[Rand]],tblNormalTestVl[],2,TRUE)</f>
        <v>Riley</v>
      </c>
      <c r="Y511" s="11" t="str">
        <f ca="1">INDEX(tblNormalTestIM[],MATCH(tblDistributionTests[[#This Row],[Rand]],tblNormalTestIM[Score],-1),2)</f>
        <v>Luke</v>
      </c>
    </row>
    <row r="512" spans="22:25" x14ac:dyDescent="0.2">
      <c r="V512" s="1">
        <f t="shared" ca="1" si="7"/>
        <v>0.56999999999999995</v>
      </c>
      <c r="W512" s="1" t="str">
        <f ca="1">VLOOKUP(tblDistributionTests[[#This Row],[Rand]]+MIN(tblFairTest[Score]),tblFairTest[],2,TRUE)</f>
        <v>Todd</v>
      </c>
      <c r="X512" s="1" t="str">
        <f ca="1">VLOOKUP(tblDistributionTests[[#This Row],[Rand]],tblNormalTestVl[],2,TRUE)</f>
        <v>Riley</v>
      </c>
      <c r="Y512" s="11" t="str">
        <f ca="1">INDEX(tblNormalTestIM[],MATCH(tblDistributionTests[[#This Row],[Rand]],tblNormalTestIM[Score],-1),2)</f>
        <v>Luke</v>
      </c>
    </row>
    <row r="513" spans="22:25" x14ac:dyDescent="0.2">
      <c r="V513" s="1">
        <f t="shared" ca="1" si="7"/>
        <v>0.04</v>
      </c>
      <c r="W513" s="1" t="e">
        <f ca="1">VLOOKUP(tblDistributionTests[[#This Row],[Rand]]+MIN(tblFairTest[Score]),tblFairTest[],2,TRUE)</f>
        <v>#N/A</v>
      </c>
      <c r="X513" s="1" t="str">
        <f ca="1">VLOOKUP(tblDistributionTests[[#This Row],[Rand]],tblNormalTestVl[],2,TRUE)</f>
        <v>Bill</v>
      </c>
      <c r="Y513" s="11" t="str">
        <f ca="1">INDEX(tblNormalTestIM[],MATCH(tblDistributionTests[[#This Row],[Rand]],tblNormalTestIM[Score],-1),2)</f>
        <v>Eric</v>
      </c>
    </row>
    <row r="514" spans="22:25" x14ac:dyDescent="0.2">
      <c r="V514" s="1">
        <f t="shared" ca="1" si="7"/>
        <v>0.62</v>
      </c>
      <c r="W514" s="1" t="str">
        <f ca="1">VLOOKUP(tblDistributionTests[[#This Row],[Rand]]+MIN(tblFairTest[Score]),tblFairTest[],2,TRUE)</f>
        <v>Todd</v>
      </c>
      <c r="X514" s="1" t="str">
        <f ca="1">VLOOKUP(tblDistributionTests[[#This Row],[Rand]],tblNormalTestVl[],2,TRUE)</f>
        <v>Riley</v>
      </c>
      <c r="Y514" s="11" t="str">
        <f ca="1">INDEX(tblNormalTestIM[],MATCH(tblDistributionTests[[#This Row],[Rand]],tblNormalTestIM[Score],-1),2)</f>
        <v>Luke</v>
      </c>
    </row>
    <row r="515" spans="22:25" x14ac:dyDescent="0.2">
      <c r="V515" s="1">
        <f t="shared" ca="1" si="7"/>
        <v>0.92</v>
      </c>
      <c r="W515" s="1" t="str">
        <f ca="1">VLOOKUP(tblDistributionTests[[#This Row],[Rand]]+MIN(tblFairTest[Score]),tblFairTest[],2,TRUE)</f>
        <v>Todd</v>
      </c>
      <c r="X515" s="1" t="str">
        <f ca="1">VLOOKUP(tblDistributionTests[[#This Row],[Rand]],tblNormalTestVl[],2,TRUE)</f>
        <v>William</v>
      </c>
      <c r="Y515" s="11" t="str">
        <f ca="1">INDEX(tblNormalTestIM[],MATCH(tblDistributionTests[[#This Row],[Rand]],tblNormalTestIM[Score],-1),2)</f>
        <v>Frank</v>
      </c>
    </row>
    <row r="516" spans="22:25" x14ac:dyDescent="0.2">
      <c r="V516" s="1">
        <f t="shared" ca="1" si="7"/>
        <v>0.55000000000000004</v>
      </c>
      <c r="W516" s="1" t="str">
        <f ca="1">VLOOKUP(tblDistributionTests[[#This Row],[Rand]]+MIN(tblFairTest[Score]),tblFairTest[],2,TRUE)</f>
        <v>Todd</v>
      </c>
      <c r="X516" s="1" t="str">
        <f ca="1">VLOOKUP(tblDistributionTests[[#This Row],[Rand]],tblNormalTestVl[],2,TRUE)</f>
        <v>Riley</v>
      </c>
      <c r="Y516" s="11" t="str">
        <f ca="1">INDEX(tblNormalTestIM[],MATCH(tblDistributionTests[[#This Row],[Rand]],tblNormalTestIM[Score],-1),2)</f>
        <v>Luke</v>
      </c>
    </row>
    <row r="517" spans="22:25" x14ac:dyDescent="0.2">
      <c r="V517" s="1">
        <f t="shared" ca="1" si="7"/>
        <v>0.28000000000000003</v>
      </c>
      <c r="W517" s="1" t="e">
        <f ca="1">VLOOKUP(tblDistributionTests[[#This Row],[Rand]]+MIN(tblFairTest[Score]),tblFairTest[],2,TRUE)</f>
        <v>#N/A</v>
      </c>
      <c r="X517" s="1" t="str">
        <f ca="1">VLOOKUP(tblDistributionTests[[#This Row],[Rand]],tblNormalTestVl[],2,TRUE)</f>
        <v>Luke</v>
      </c>
      <c r="Y517" s="11" t="str">
        <f ca="1">INDEX(tblNormalTestIM[],MATCH(tblDistributionTests[[#This Row],[Rand]],tblNormalTestIM[Score],-1),2)</f>
        <v>Riley</v>
      </c>
    </row>
    <row r="518" spans="22:25" x14ac:dyDescent="0.2">
      <c r="V518" s="1">
        <f t="shared" ca="1" si="7"/>
        <v>0.31</v>
      </c>
      <c r="W518" s="1" t="e">
        <f ca="1">VLOOKUP(tblDistributionTests[[#This Row],[Rand]]+MIN(tblFairTest[Score]),tblFairTest[],2,TRUE)</f>
        <v>#N/A</v>
      </c>
      <c r="X518" s="1" t="str">
        <f ca="1">VLOOKUP(tblDistributionTests[[#This Row],[Rand]],tblNormalTestVl[],2,TRUE)</f>
        <v>Luke</v>
      </c>
      <c r="Y518" s="11" t="str">
        <f ca="1">INDEX(tblNormalTestIM[],MATCH(tblDistributionTests[[#This Row],[Rand]],tblNormalTestIM[Score],-1),2)</f>
        <v>Riley</v>
      </c>
    </row>
    <row r="519" spans="22:25" x14ac:dyDescent="0.2">
      <c r="V519" s="1">
        <f t="shared" ca="1" si="7"/>
        <v>0.48</v>
      </c>
      <c r="W519" s="1" t="e">
        <f ca="1">VLOOKUP(tblDistributionTests[[#This Row],[Rand]]+MIN(tblFairTest[Score]),tblFairTest[],2,TRUE)</f>
        <v>#N/A</v>
      </c>
      <c r="X519" s="1" t="str">
        <f ca="1">VLOOKUP(tblDistributionTests[[#This Row],[Rand]],tblNormalTestVl[],2,TRUE)</f>
        <v>Luke</v>
      </c>
      <c r="Y519" s="11" t="str">
        <f ca="1">INDEX(tblNormalTestIM[],MATCH(tblDistributionTests[[#This Row],[Rand]],tblNormalTestIM[Score],-1),2)</f>
        <v>Riley</v>
      </c>
    </row>
    <row r="520" spans="22:25" x14ac:dyDescent="0.2">
      <c r="V520" s="1">
        <f t="shared" ref="V520:V583" ca="1" si="8">RANDBETWEEN(1,100)/100</f>
        <v>0.54</v>
      </c>
      <c r="W520" s="1" t="str">
        <f ca="1">VLOOKUP(tblDistributionTests[[#This Row],[Rand]]+MIN(tblFairTest[Score]),tblFairTest[],2,TRUE)</f>
        <v>Todd</v>
      </c>
      <c r="X520" s="1" t="str">
        <f ca="1">VLOOKUP(tblDistributionTests[[#This Row],[Rand]],tblNormalTestVl[],2,TRUE)</f>
        <v>Riley</v>
      </c>
      <c r="Y520" s="11" t="str">
        <f ca="1">INDEX(tblNormalTestIM[],MATCH(tblDistributionTests[[#This Row],[Rand]],tblNormalTestIM[Score],-1),2)</f>
        <v>Luke</v>
      </c>
    </row>
    <row r="521" spans="22:25" x14ac:dyDescent="0.2">
      <c r="V521" s="1">
        <f t="shared" ca="1" si="8"/>
        <v>0.66</v>
      </c>
      <c r="W521" s="1" t="str">
        <f ca="1">VLOOKUP(tblDistributionTests[[#This Row],[Rand]]+MIN(tblFairTest[Score]),tblFairTest[],2,TRUE)</f>
        <v>Todd</v>
      </c>
      <c r="X521" s="1" t="str">
        <f ca="1">VLOOKUP(tblDistributionTests[[#This Row],[Rand]],tblNormalTestVl[],2,TRUE)</f>
        <v>Riley</v>
      </c>
      <c r="Y521" s="11" t="str">
        <f ca="1">INDEX(tblNormalTestIM[],MATCH(tblDistributionTests[[#This Row],[Rand]],tblNormalTestIM[Score],-1),2)</f>
        <v>Luke</v>
      </c>
    </row>
    <row r="522" spans="22:25" x14ac:dyDescent="0.2">
      <c r="V522" s="1">
        <f t="shared" ca="1" si="8"/>
        <v>0.56999999999999995</v>
      </c>
      <c r="W522" s="1" t="str">
        <f ca="1">VLOOKUP(tblDistributionTests[[#This Row],[Rand]]+MIN(tblFairTest[Score]),tblFairTest[],2,TRUE)</f>
        <v>Todd</v>
      </c>
      <c r="X522" s="1" t="str">
        <f ca="1">VLOOKUP(tblDistributionTests[[#This Row],[Rand]],tblNormalTestVl[],2,TRUE)</f>
        <v>Riley</v>
      </c>
      <c r="Y522" s="11" t="str">
        <f ca="1">INDEX(tblNormalTestIM[],MATCH(tblDistributionTests[[#This Row],[Rand]],tblNormalTestIM[Score],-1),2)</f>
        <v>Luke</v>
      </c>
    </row>
    <row r="523" spans="22:25" x14ac:dyDescent="0.2">
      <c r="V523" s="1">
        <f t="shared" ca="1" si="8"/>
        <v>0.84</v>
      </c>
      <c r="W523" s="1" t="str">
        <f ca="1">VLOOKUP(tblDistributionTests[[#This Row],[Rand]]+MIN(tblFairTest[Score]),tblFairTest[],2,TRUE)</f>
        <v>Todd</v>
      </c>
      <c r="X523" s="1" t="str">
        <f ca="1">VLOOKUP(tblDistributionTests[[#This Row],[Rand]],tblNormalTestVl[],2,TRUE)</f>
        <v>William</v>
      </c>
      <c r="Y523" s="11" t="str">
        <f ca="1">INDEX(tblNormalTestIM[],MATCH(tblDistributionTests[[#This Row],[Rand]],tblNormalTestIM[Score],-1),2)</f>
        <v>Frank</v>
      </c>
    </row>
    <row r="524" spans="22:25" x14ac:dyDescent="0.2">
      <c r="V524" s="1">
        <f t="shared" ca="1" si="8"/>
        <v>0.12</v>
      </c>
      <c r="W524" s="1" t="e">
        <f ca="1">VLOOKUP(tblDistributionTests[[#This Row],[Rand]]+MIN(tblFairTest[Score]),tblFairTest[],2,TRUE)</f>
        <v>#N/A</v>
      </c>
      <c r="X524" s="1" t="str">
        <f ca="1">VLOOKUP(tblDistributionTests[[#This Row],[Rand]],tblNormalTestVl[],2,TRUE)</f>
        <v>Frank</v>
      </c>
      <c r="Y524" s="11" t="str">
        <f ca="1">INDEX(tblNormalTestIM[],MATCH(tblDistributionTests[[#This Row],[Rand]],tblNormalTestIM[Score],-1),2)</f>
        <v>William</v>
      </c>
    </row>
    <row r="525" spans="22:25" x14ac:dyDescent="0.2">
      <c r="V525" s="1">
        <f t="shared" ca="1" si="8"/>
        <v>0.51</v>
      </c>
      <c r="W525" s="1" t="str">
        <f ca="1">VLOOKUP(tblDistributionTests[[#This Row],[Rand]]+MIN(tblFairTest[Score]),tblFairTest[],2,TRUE)</f>
        <v>Todd</v>
      </c>
      <c r="X525" s="1" t="str">
        <f ca="1">VLOOKUP(tblDistributionTests[[#This Row],[Rand]],tblNormalTestVl[],2,TRUE)</f>
        <v>Riley</v>
      </c>
      <c r="Y525" s="11" t="str">
        <f ca="1">INDEX(tblNormalTestIM[],MATCH(tblDistributionTests[[#This Row],[Rand]],tblNormalTestIM[Score],-1),2)</f>
        <v>Luke</v>
      </c>
    </row>
    <row r="526" spans="22:25" x14ac:dyDescent="0.2">
      <c r="V526" s="1">
        <f t="shared" ca="1" si="8"/>
        <v>0.93</v>
      </c>
      <c r="W526" s="1" t="str">
        <f ca="1">VLOOKUP(tblDistributionTests[[#This Row],[Rand]]+MIN(tblFairTest[Score]),tblFairTest[],2,TRUE)</f>
        <v>Todd</v>
      </c>
      <c r="X526" s="1" t="str">
        <f ca="1">VLOOKUP(tblDistributionTests[[#This Row],[Rand]],tblNormalTestVl[],2,TRUE)</f>
        <v>William</v>
      </c>
      <c r="Y526" s="11" t="str">
        <f ca="1">INDEX(tblNormalTestIM[],MATCH(tblDistributionTests[[#This Row],[Rand]],tblNormalTestIM[Score],-1),2)</f>
        <v>Frank</v>
      </c>
    </row>
    <row r="527" spans="22:25" x14ac:dyDescent="0.2">
      <c r="V527" s="1">
        <f t="shared" ca="1" si="8"/>
        <v>0.4</v>
      </c>
      <c r="W527" s="1" t="e">
        <f ca="1">VLOOKUP(tblDistributionTests[[#This Row],[Rand]]+MIN(tblFairTest[Score]),tblFairTest[],2,TRUE)</f>
        <v>#N/A</v>
      </c>
      <c r="X527" s="1" t="str">
        <f ca="1">VLOOKUP(tblDistributionTests[[#This Row],[Rand]],tblNormalTestVl[],2,TRUE)</f>
        <v>Luke</v>
      </c>
      <c r="Y527" s="11" t="str">
        <f ca="1">INDEX(tblNormalTestIM[],MATCH(tblDistributionTests[[#This Row],[Rand]],tblNormalTestIM[Score],-1),2)</f>
        <v>Riley</v>
      </c>
    </row>
    <row r="528" spans="22:25" x14ac:dyDescent="0.2">
      <c r="V528" s="1">
        <f t="shared" ca="1" si="8"/>
        <v>0.63</v>
      </c>
      <c r="W528" s="1" t="str">
        <f ca="1">VLOOKUP(tblDistributionTests[[#This Row],[Rand]]+MIN(tblFairTest[Score]),tblFairTest[],2,TRUE)</f>
        <v>Todd</v>
      </c>
      <c r="X528" s="1" t="str">
        <f ca="1">VLOOKUP(tblDistributionTests[[#This Row],[Rand]],tblNormalTestVl[],2,TRUE)</f>
        <v>Riley</v>
      </c>
      <c r="Y528" s="11" t="str">
        <f ca="1">INDEX(tblNormalTestIM[],MATCH(tblDistributionTests[[#This Row],[Rand]],tblNormalTestIM[Score],-1),2)</f>
        <v>Luke</v>
      </c>
    </row>
    <row r="529" spans="22:25" x14ac:dyDescent="0.2">
      <c r="V529" s="1">
        <f t="shared" ca="1" si="8"/>
        <v>0.86</v>
      </c>
      <c r="W529" s="1" t="str">
        <f ca="1">VLOOKUP(tblDistributionTests[[#This Row],[Rand]]+MIN(tblFairTest[Score]),tblFairTest[],2,TRUE)</f>
        <v>Todd</v>
      </c>
      <c r="X529" s="1" t="str">
        <f ca="1">VLOOKUP(tblDistributionTests[[#This Row],[Rand]],tblNormalTestVl[],2,TRUE)</f>
        <v>William</v>
      </c>
      <c r="Y529" s="11" t="str">
        <f ca="1">INDEX(tblNormalTestIM[],MATCH(tblDistributionTests[[#This Row],[Rand]],tblNormalTestIM[Score],-1),2)</f>
        <v>Frank</v>
      </c>
    </row>
    <row r="530" spans="22:25" x14ac:dyDescent="0.2">
      <c r="V530" s="1">
        <f t="shared" ca="1" si="8"/>
        <v>0.33</v>
      </c>
      <c r="W530" s="1" t="e">
        <f ca="1">VLOOKUP(tblDistributionTests[[#This Row],[Rand]]+MIN(tblFairTest[Score]),tblFairTest[],2,TRUE)</f>
        <v>#N/A</v>
      </c>
      <c r="X530" s="1" t="str">
        <f ca="1">VLOOKUP(tblDistributionTests[[#This Row],[Rand]],tblNormalTestVl[],2,TRUE)</f>
        <v>Luke</v>
      </c>
      <c r="Y530" s="11" t="str">
        <f ca="1">INDEX(tblNormalTestIM[],MATCH(tblDistributionTests[[#This Row],[Rand]],tblNormalTestIM[Score],-1),2)</f>
        <v>Riley</v>
      </c>
    </row>
    <row r="531" spans="22:25" x14ac:dyDescent="0.2">
      <c r="V531" s="1">
        <f t="shared" ca="1" si="8"/>
        <v>0.4</v>
      </c>
      <c r="W531" s="1" t="e">
        <f ca="1">VLOOKUP(tblDistributionTests[[#This Row],[Rand]]+MIN(tblFairTest[Score]),tblFairTest[],2,TRUE)</f>
        <v>#N/A</v>
      </c>
      <c r="X531" s="1" t="str">
        <f ca="1">VLOOKUP(tblDistributionTests[[#This Row],[Rand]],tblNormalTestVl[],2,TRUE)</f>
        <v>Luke</v>
      </c>
      <c r="Y531" s="11" t="str">
        <f ca="1">INDEX(tblNormalTestIM[],MATCH(tblDistributionTests[[#This Row],[Rand]],tblNormalTestIM[Score],-1),2)</f>
        <v>Riley</v>
      </c>
    </row>
    <row r="532" spans="22:25" x14ac:dyDescent="0.2">
      <c r="V532" s="1">
        <f t="shared" ca="1" si="8"/>
        <v>0.92</v>
      </c>
      <c r="W532" s="1" t="str">
        <f ca="1">VLOOKUP(tblDistributionTests[[#This Row],[Rand]]+MIN(tblFairTest[Score]),tblFairTest[],2,TRUE)</f>
        <v>Todd</v>
      </c>
      <c r="X532" s="1" t="str">
        <f ca="1">VLOOKUP(tblDistributionTests[[#This Row],[Rand]],tblNormalTestVl[],2,TRUE)</f>
        <v>William</v>
      </c>
      <c r="Y532" s="11" t="str">
        <f ca="1">INDEX(tblNormalTestIM[],MATCH(tblDistributionTests[[#This Row],[Rand]],tblNormalTestIM[Score],-1),2)</f>
        <v>Frank</v>
      </c>
    </row>
    <row r="533" spans="22:25" x14ac:dyDescent="0.2">
      <c r="V533" s="1">
        <f t="shared" ca="1" si="8"/>
        <v>0.34</v>
      </c>
      <c r="W533" s="1" t="e">
        <f ca="1">VLOOKUP(tblDistributionTests[[#This Row],[Rand]]+MIN(tblFairTest[Score]),tblFairTest[],2,TRUE)</f>
        <v>#N/A</v>
      </c>
      <c r="X533" s="1" t="str">
        <f ca="1">VLOOKUP(tblDistributionTests[[#This Row],[Rand]],tblNormalTestVl[],2,TRUE)</f>
        <v>Luke</v>
      </c>
      <c r="Y533" s="11" t="str">
        <f ca="1">INDEX(tblNormalTestIM[],MATCH(tblDistributionTests[[#This Row],[Rand]],tblNormalTestIM[Score],-1),2)</f>
        <v>Riley</v>
      </c>
    </row>
    <row r="534" spans="22:25" x14ac:dyDescent="0.2">
      <c r="V534" s="1">
        <f t="shared" ca="1" si="8"/>
        <v>0.88</v>
      </c>
      <c r="W534" s="1" t="str">
        <f ca="1">VLOOKUP(tblDistributionTests[[#This Row],[Rand]]+MIN(tblFairTest[Score]),tblFairTest[],2,TRUE)</f>
        <v>Todd</v>
      </c>
      <c r="X534" s="1" t="str">
        <f ca="1">VLOOKUP(tblDistributionTests[[#This Row],[Rand]],tblNormalTestVl[],2,TRUE)</f>
        <v>William</v>
      </c>
      <c r="Y534" s="11" t="str">
        <f ca="1">INDEX(tblNormalTestIM[],MATCH(tblDistributionTests[[#This Row],[Rand]],tblNormalTestIM[Score],-1),2)</f>
        <v>Frank</v>
      </c>
    </row>
    <row r="535" spans="22:25" x14ac:dyDescent="0.2">
      <c r="V535" s="1">
        <f t="shared" ca="1" si="8"/>
        <v>0.02</v>
      </c>
      <c r="W535" s="1" t="e">
        <f ca="1">VLOOKUP(tblDistributionTests[[#This Row],[Rand]]+MIN(tblFairTest[Score]),tblFairTest[],2,TRUE)</f>
        <v>#N/A</v>
      </c>
      <c r="X535" s="1" t="str">
        <f ca="1">VLOOKUP(tblDistributionTests[[#This Row],[Rand]],tblNormalTestVl[],2,TRUE)</f>
        <v>Bill</v>
      </c>
      <c r="Y535" s="11" t="str">
        <f ca="1">INDEX(tblNormalTestIM[],MATCH(tblDistributionTests[[#This Row],[Rand]],tblNormalTestIM[Score],-1),2)</f>
        <v>Eric</v>
      </c>
    </row>
    <row r="536" spans="22:25" x14ac:dyDescent="0.2">
      <c r="V536" s="1">
        <f t="shared" ca="1" si="8"/>
        <v>0.87</v>
      </c>
      <c r="W536" s="1" t="str">
        <f ca="1">VLOOKUP(tblDistributionTests[[#This Row],[Rand]]+MIN(tblFairTest[Score]),tblFairTest[],2,TRUE)</f>
        <v>Todd</v>
      </c>
      <c r="X536" s="1" t="str">
        <f ca="1">VLOOKUP(tblDistributionTests[[#This Row],[Rand]],tblNormalTestVl[],2,TRUE)</f>
        <v>William</v>
      </c>
      <c r="Y536" s="11" t="str">
        <f ca="1">INDEX(tblNormalTestIM[],MATCH(tblDistributionTests[[#This Row],[Rand]],tblNormalTestIM[Score],-1),2)</f>
        <v>Frank</v>
      </c>
    </row>
    <row r="537" spans="22:25" x14ac:dyDescent="0.2">
      <c r="V537" s="1">
        <f t="shared" ca="1" si="8"/>
        <v>0.88</v>
      </c>
      <c r="W537" s="1" t="str">
        <f ca="1">VLOOKUP(tblDistributionTests[[#This Row],[Rand]]+MIN(tblFairTest[Score]),tblFairTest[],2,TRUE)</f>
        <v>Todd</v>
      </c>
      <c r="X537" s="1" t="str">
        <f ca="1">VLOOKUP(tblDistributionTests[[#This Row],[Rand]],tblNormalTestVl[],2,TRUE)</f>
        <v>William</v>
      </c>
      <c r="Y537" s="11" t="str">
        <f ca="1">INDEX(tblNormalTestIM[],MATCH(tblDistributionTests[[#This Row],[Rand]],tblNormalTestIM[Score],-1),2)</f>
        <v>Frank</v>
      </c>
    </row>
    <row r="538" spans="22:25" x14ac:dyDescent="0.2">
      <c r="V538" s="1">
        <f t="shared" ca="1" si="8"/>
        <v>0.48</v>
      </c>
      <c r="W538" s="1" t="e">
        <f ca="1">VLOOKUP(tblDistributionTests[[#This Row],[Rand]]+MIN(tblFairTest[Score]),tblFairTest[],2,TRUE)</f>
        <v>#N/A</v>
      </c>
      <c r="X538" s="1" t="str">
        <f ca="1">VLOOKUP(tblDistributionTests[[#This Row],[Rand]],tblNormalTestVl[],2,TRUE)</f>
        <v>Luke</v>
      </c>
      <c r="Y538" s="11" t="str">
        <f ca="1">INDEX(tblNormalTestIM[],MATCH(tblDistributionTests[[#This Row],[Rand]],tblNormalTestIM[Score],-1),2)</f>
        <v>Riley</v>
      </c>
    </row>
    <row r="539" spans="22:25" x14ac:dyDescent="0.2">
      <c r="V539" s="1">
        <f t="shared" ca="1" si="8"/>
        <v>0.86</v>
      </c>
      <c r="W539" s="1" t="str">
        <f ca="1">VLOOKUP(tblDistributionTests[[#This Row],[Rand]]+MIN(tblFairTest[Score]),tblFairTest[],2,TRUE)</f>
        <v>Todd</v>
      </c>
      <c r="X539" s="1" t="str">
        <f ca="1">VLOOKUP(tblDistributionTests[[#This Row],[Rand]],tblNormalTestVl[],2,TRUE)</f>
        <v>William</v>
      </c>
      <c r="Y539" s="11" t="str">
        <f ca="1">INDEX(tblNormalTestIM[],MATCH(tblDistributionTests[[#This Row],[Rand]],tblNormalTestIM[Score],-1),2)</f>
        <v>Frank</v>
      </c>
    </row>
    <row r="540" spans="22:25" x14ac:dyDescent="0.2">
      <c r="V540" s="1">
        <f t="shared" ca="1" si="8"/>
        <v>0.04</v>
      </c>
      <c r="W540" s="1" t="e">
        <f ca="1">VLOOKUP(tblDistributionTests[[#This Row],[Rand]]+MIN(tblFairTest[Score]),tblFairTest[],2,TRUE)</f>
        <v>#N/A</v>
      </c>
      <c r="X540" s="1" t="str">
        <f ca="1">VLOOKUP(tblDistributionTests[[#This Row],[Rand]],tblNormalTestVl[],2,TRUE)</f>
        <v>Bill</v>
      </c>
      <c r="Y540" s="11" t="str">
        <f ca="1">INDEX(tblNormalTestIM[],MATCH(tblDistributionTests[[#This Row],[Rand]],tblNormalTestIM[Score],-1),2)</f>
        <v>Eric</v>
      </c>
    </row>
    <row r="541" spans="22:25" x14ac:dyDescent="0.2">
      <c r="V541" s="1">
        <f t="shared" ca="1" si="8"/>
        <v>0.18</v>
      </c>
      <c r="W541" s="1" t="e">
        <f ca="1">VLOOKUP(tblDistributionTests[[#This Row],[Rand]]+MIN(tblFairTest[Score]),tblFairTest[],2,TRUE)</f>
        <v>#N/A</v>
      </c>
      <c r="X541" s="1" t="str">
        <f ca="1">VLOOKUP(tblDistributionTests[[#This Row],[Rand]],tblNormalTestVl[],2,TRUE)</f>
        <v>Frank</v>
      </c>
      <c r="Y541" s="11" t="str">
        <f ca="1">INDEX(tblNormalTestIM[],MATCH(tblDistributionTests[[#This Row],[Rand]],tblNormalTestIM[Score],-1),2)</f>
        <v>William</v>
      </c>
    </row>
    <row r="542" spans="22:25" x14ac:dyDescent="0.2">
      <c r="V542" s="1">
        <f t="shared" ca="1" si="8"/>
        <v>0.43</v>
      </c>
      <c r="W542" s="1" t="e">
        <f ca="1">VLOOKUP(tblDistributionTests[[#This Row],[Rand]]+MIN(tblFairTest[Score]),tblFairTest[],2,TRUE)</f>
        <v>#N/A</v>
      </c>
      <c r="X542" s="1" t="str">
        <f ca="1">VLOOKUP(tblDistributionTests[[#This Row],[Rand]],tblNormalTestVl[],2,TRUE)</f>
        <v>Luke</v>
      </c>
      <c r="Y542" s="11" t="str">
        <f ca="1">INDEX(tblNormalTestIM[],MATCH(tblDistributionTests[[#This Row],[Rand]],tblNormalTestIM[Score],-1),2)</f>
        <v>Riley</v>
      </c>
    </row>
    <row r="543" spans="22:25" x14ac:dyDescent="0.2">
      <c r="V543" s="1">
        <f t="shared" ca="1" si="8"/>
        <v>0.53</v>
      </c>
      <c r="W543" s="1" t="str">
        <f ca="1">VLOOKUP(tblDistributionTests[[#This Row],[Rand]]+MIN(tblFairTest[Score]),tblFairTest[],2,TRUE)</f>
        <v>Todd</v>
      </c>
      <c r="X543" s="1" t="str">
        <f ca="1">VLOOKUP(tblDistributionTests[[#This Row],[Rand]],tblNormalTestVl[],2,TRUE)</f>
        <v>Riley</v>
      </c>
      <c r="Y543" s="11" t="str">
        <f ca="1">INDEX(tblNormalTestIM[],MATCH(tblDistributionTests[[#This Row],[Rand]],tblNormalTestIM[Score],-1),2)</f>
        <v>Luke</v>
      </c>
    </row>
    <row r="544" spans="22:25" x14ac:dyDescent="0.2">
      <c r="V544" s="1">
        <f t="shared" ca="1" si="8"/>
        <v>0.67</v>
      </c>
      <c r="W544" s="1" t="str">
        <f ca="1">VLOOKUP(tblDistributionTests[[#This Row],[Rand]]+MIN(tblFairTest[Score]),tblFairTest[],2,TRUE)</f>
        <v>Todd</v>
      </c>
      <c r="X544" s="1" t="str">
        <f ca="1">VLOOKUP(tblDistributionTests[[#This Row],[Rand]],tblNormalTestVl[],2,TRUE)</f>
        <v>Riley</v>
      </c>
      <c r="Y544" s="11" t="str">
        <f ca="1">INDEX(tblNormalTestIM[],MATCH(tblDistributionTests[[#This Row],[Rand]],tblNormalTestIM[Score],-1),2)</f>
        <v>Luke</v>
      </c>
    </row>
    <row r="545" spans="22:25" x14ac:dyDescent="0.2">
      <c r="V545" s="1">
        <f t="shared" ca="1" si="8"/>
        <v>0.56000000000000005</v>
      </c>
      <c r="W545" s="1" t="str">
        <f ca="1">VLOOKUP(tblDistributionTests[[#This Row],[Rand]]+MIN(tblFairTest[Score]),tblFairTest[],2,TRUE)</f>
        <v>Todd</v>
      </c>
      <c r="X545" s="1" t="str">
        <f ca="1">VLOOKUP(tblDistributionTests[[#This Row],[Rand]],tblNormalTestVl[],2,TRUE)</f>
        <v>Riley</v>
      </c>
      <c r="Y545" s="11" t="str">
        <f ca="1">INDEX(tblNormalTestIM[],MATCH(tblDistributionTests[[#This Row],[Rand]],tblNormalTestIM[Score],-1),2)</f>
        <v>Luke</v>
      </c>
    </row>
    <row r="546" spans="22:25" x14ac:dyDescent="0.2">
      <c r="V546" s="1">
        <f t="shared" ca="1" si="8"/>
        <v>7.0000000000000007E-2</v>
      </c>
      <c r="W546" s="1" t="e">
        <f ca="1">VLOOKUP(tblDistributionTests[[#This Row],[Rand]]+MIN(tblFairTest[Score]),tblFairTest[],2,TRUE)</f>
        <v>#N/A</v>
      </c>
      <c r="X546" s="1" t="str">
        <f ca="1">VLOOKUP(tblDistributionTests[[#This Row],[Rand]],tblNormalTestVl[],2,TRUE)</f>
        <v>Frank</v>
      </c>
      <c r="Y546" s="11" t="str">
        <f ca="1">INDEX(tblNormalTestIM[],MATCH(tblDistributionTests[[#This Row],[Rand]],tblNormalTestIM[Score],-1),2)</f>
        <v>William</v>
      </c>
    </row>
    <row r="547" spans="22:25" x14ac:dyDescent="0.2">
      <c r="V547" s="1">
        <f t="shared" ca="1" si="8"/>
        <v>0.99</v>
      </c>
      <c r="W547" s="1" t="str">
        <f ca="1">VLOOKUP(tblDistributionTests[[#This Row],[Rand]]+MIN(tblFairTest[Score]),tblFairTest[],2,TRUE)</f>
        <v>Todd</v>
      </c>
      <c r="X547" s="1" t="str">
        <f ca="1">VLOOKUP(tblDistributionTests[[#This Row],[Rand]],tblNormalTestVl[],2,TRUE)</f>
        <v>Chuck</v>
      </c>
      <c r="Y547" s="11" t="e">
        <f ca="1">INDEX(tblNormalTestIM[],MATCH(tblDistributionTests[[#This Row],[Rand]],tblNormalTestIM[Score],-1),2)</f>
        <v>#N/A</v>
      </c>
    </row>
    <row r="548" spans="22:25" x14ac:dyDescent="0.2">
      <c r="V548" s="1">
        <f t="shared" ca="1" si="8"/>
        <v>0.2</v>
      </c>
      <c r="W548" s="1" t="e">
        <f ca="1">VLOOKUP(tblDistributionTests[[#This Row],[Rand]]+MIN(tblFairTest[Score]),tblFairTest[],2,TRUE)</f>
        <v>#N/A</v>
      </c>
      <c r="X548" s="1" t="str">
        <f ca="1">VLOOKUP(tblDistributionTests[[#This Row],[Rand]],tblNormalTestVl[],2,TRUE)</f>
        <v>Frank</v>
      </c>
      <c r="Y548" s="11" t="str">
        <f ca="1">INDEX(tblNormalTestIM[],MATCH(tblDistributionTests[[#This Row],[Rand]],tblNormalTestIM[Score],-1),2)</f>
        <v>William</v>
      </c>
    </row>
    <row r="549" spans="22:25" x14ac:dyDescent="0.2">
      <c r="V549" s="1">
        <f t="shared" ca="1" si="8"/>
        <v>0.42</v>
      </c>
      <c r="W549" s="1" t="e">
        <f ca="1">VLOOKUP(tblDistributionTests[[#This Row],[Rand]]+MIN(tblFairTest[Score]),tblFairTest[],2,TRUE)</f>
        <v>#N/A</v>
      </c>
      <c r="X549" s="1" t="str">
        <f ca="1">VLOOKUP(tblDistributionTests[[#This Row],[Rand]],tblNormalTestVl[],2,TRUE)</f>
        <v>Luke</v>
      </c>
      <c r="Y549" s="11" t="str">
        <f ca="1">INDEX(tblNormalTestIM[],MATCH(tblDistributionTests[[#This Row],[Rand]],tblNormalTestIM[Score],-1),2)</f>
        <v>Riley</v>
      </c>
    </row>
    <row r="550" spans="22:25" x14ac:dyDescent="0.2">
      <c r="V550" s="1">
        <f t="shared" ca="1" si="8"/>
        <v>0.5</v>
      </c>
      <c r="W550" s="1" t="str">
        <f ca="1">VLOOKUP(tblDistributionTests[[#This Row],[Rand]]+MIN(tblFairTest[Score]),tblFairTest[],2,TRUE)</f>
        <v>Riley</v>
      </c>
      <c r="X550" s="1" t="str">
        <f ca="1">VLOOKUP(tblDistributionTests[[#This Row],[Rand]],tblNormalTestVl[],2,TRUE)</f>
        <v>Riley</v>
      </c>
      <c r="Y550" s="11" t="str">
        <f ca="1">INDEX(tblNormalTestIM[],MATCH(tblDistributionTests[[#This Row],[Rand]],tblNormalTestIM[Score],-1),2)</f>
        <v>Riley</v>
      </c>
    </row>
    <row r="551" spans="22:25" x14ac:dyDescent="0.2">
      <c r="V551" s="1">
        <f t="shared" ca="1" si="8"/>
        <v>0.22</v>
      </c>
      <c r="W551" s="1" t="e">
        <f ca="1">VLOOKUP(tblDistributionTests[[#This Row],[Rand]]+MIN(tblFairTest[Score]),tblFairTest[],2,TRUE)</f>
        <v>#N/A</v>
      </c>
      <c r="X551" s="1" t="str">
        <f ca="1">VLOOKUP(tblDistributionTests[[#This Row],[Rand]],tblNormalTestVl[],2,TRUE)</f>
        <v>Frank</v>
      </c>
      <c r="Y551" s="11" t="str">
        <f ca="1">INDEX(tblNormalTestIM[],MATCH(tblDistributionTests[[#This Row],[Rand]],tblNormalTestIM[Score],-1),2)</f>
        <v>William</v>
      </c>
    </row>
    <row r="552" spans="22:25" x14ac:dyDescent="0.2">
      <c r="V552" s="1">
        <f t="shared" ca="1" si="8"/>
        <v>0.92</v>
      </c>
      <c r="W552" s="1" t="str">
        <f ca="1">VLOOKUP(tblDistributionTests[[#This Row],[Rand]]+MIN(tblFairTest[Score]),tblFairTest[],2,TRUE)</f>
        <v>Todd</v>
      </c>
      <c r="X552" s="1" t="str">
        <f ca="1">VLOOKUP(tblDistributionTests[[#This Row],[Rand]],tblNormalTestVl[],2,TRUE)</f>
        <v>William</v>
      </c>
      <c r="Y552" s="11" t="str">
        <f ca="1">INDEX(tblNormalTestIM[],MATCH(tblDistributionTests[[#This Row],[Rand]],tblNormalTestIM[Score],-1),2)</f>
        <v>Frank</v>
      </c>
    </row>
    <row r="553" spans="22:25" x14ac:dyDescent="0.2">
      <c r="V553" s="1">
        <f t="shared" ca="1" si="8"/>
        <v>0.08</v>
      </c>
      <c r="W553" s="1" t="e">
        <f ca="1">VLOOKUP(tblDistributionTests[[#This Row],[Rand]]+MIN(tblFairTest[Score]),tblFairTest[],2,TRUE)</f>
        <v>#N/A</v>
      </c>
      <c r="X553" s="1" t="str">
        <f ca="1">VLOOKUP(tblDistributionTests[[#This Row],[Rand]],tblNormalTestVl[],2,TRUE)</f>
        <v>Frank</v>
      </c>
      <c r="Y553" s="11" t="str">
        <f ca="1">INDEX(tblNormalTestIM[],MATCH(tblDistributionTests[[#This Row],[Rand]],tblNormalTestIM[Score],-1),2)</f>
        <v>William</v>
      </c>
    </row>
    <row r="554" spans="22:25" x14ac:dyDescent="0.2">
      <c r="V554" s="1">
        <f t="shared" ca="1" si="8"/>
        <v>0.75</v>
      </c>
      <c r="W554" s="1" t="str">
        <f ca="1">VLOOKUP(tblDistributionTests[[#This Row],[Rand]]+MIN(tblFairTest[Score]),tblFairTest[],2,TRUE)</f>
        <v>Todd</v>
      </c>
      <c r="X554" s="1" t="str">
        <f ca="1">VLOOKUP(tblDistributionTests[[#This Row],[Rand]],tblNormalTestVl[],2,TRUE)</f>
        <v>Riley</v>
      </c>
      <c r="Y554" s="11" t="str">
        <f ca="1">INDEX(tblNormalTestIM[],MATCH(tblDistributionTests[[#This Row],[Rand]],tblNormalTestIM[Score],-1),2)</f>
        <v>Luke</v>
      </c>
    </row>
    <row r="555" spans="22:25" x14ac:dyDescent="0.2">
      <c r="V555" s="1">
        <f t="shared" ca="1" si="8"/>
        <v>0.16</v>
      </c>
      <c r="W555" s="1" t="e">
        <f ca="1">VLOOKUP(tblDistributionTests[[#This Row],[Rand]]+MIN(tblFairTest[Score]),tblFairTest[],2,TRUE)</f>
        <v>#N/A</v>
      </c>
      <c r="X555" s="1" t="str">
        <f ca="1">VLOOKUP(tblDistributionTests[[#This Row],[Rand]],tblNormalTestVl[],2,TRUE)</f>
        <v>Frank</v>
      </c>
      <c r="Y555" s="11" t="str">
        <f ca="1">INDEX(tblNormalTestIM[],MATCH(tblDistributionTests[[#This Row],[Rand]],tblNormalTestIM[Score],-1),2)</f>
        <v>William</v>
      </c>
    </row>
    <row r="556" spans="22:25" x14ac:dyDescent="0.2">
      <c r="V556" s="1">
        <f t="shared" ca="1" si="8"/>
        <v>0.96</v>
      </c>
      <c r="W556" s="1" t="str">
        <f ca="1">VLOOKUP(tblDistributionTests[[#This Row],[Rand]]+MIN(tblFairTest[Score]),tblFairTest[],2,TRUE)</f>
        <v>Todd</v>
      </c>
      <c r="X556" s="1" t="str">
        <f ca="1">VLOOKUP(tblDistributionTests[[#This Row],[Rand]],tblNormalTestVl[],2,TRUE)</f>
        <v>Eric</v>
      </c>
      <c r="Y556" s="11" t="str">
        <f ca="1">INDEX(tblNormalTestIM[],MATCH(tblDistributionTests[[#This Row],[Rand]],tblNormalTestIM[Score],-1),2)</f>
        <v>Bill</v>
      </c>
    </row>
    <row r="557" spans="22:25" x14ac:dyDescent="0.2">
      <c r="V557" s="1">
        <f t="shared" ca="1" si="8"/>
        <v>0.48</v>
      </c>
      <c r="W557" s="1" t="e">
        <f ca="1">VLOOKUP(tblDistributionTests[[#This Row],[Rand]]+MIN(tblFairTest[Score]),tblFairTest[],2,TRUE)</f>
        <v>#N/A</v>
      </c>
      <c r="X557" s="1" t="str">
        <f ca="1">VLOOKUP(tblDistributionTests[[#This Row],[Rand]],tblNormalTestVl[],2,TRUE)</f>
        <v>Luke</v>
      </c>
      <c r="Y557" s="11" t="str">
        <f ca="1">INDEX(tblNormalTestIM[],MATCH(tblDistributionTests[[#This Row],[Rand]],tblNormalTestIM[Score],-1),2)</f>
        <v>Riley</v>
      </c>
    </row>
    <row r="558" spans="22:25" x14ac:dyDescent="0.2">
      <c r="V558" s="1">
        <f t="shared" ca="1" si="8"/>
        <v>0.42</v>
      </c>
      <c r="W558" s="1" t="e">
        <f ca="1">VLOOKUP(tblDistributionTests[[#This Row],[Rand]]+MIN(tblFairTest[Score]),tblFairTest[],2,TRUE)</f>
        <v>#N/A</v>
      </c>
      <c r="X558" s="1" t="str">
        <f ca="1">VLOOKUP(tblDistributionTests[[#This Row],[Rand]],tblNormalTestVl[],2,TRUE)</f>
        <v>Luke</v>
      </c>
      <c r="Y558" s="11" t="str">
        <f ca="1">INDEX(tblNormalTestIM[],MATCH(tblDistributionTests[[#This Row],[Rand]],tblNormalTestIM[Score],-1),2)</f>
        <v>Riley</v>
      </c>
    </row>
    <row r="559" spans="22:25" x14ac:dyDescent="0.2">
      <c r="V559" s="1">
        <f t="shared" ca="1" si="8"/>
        <v>0.8</v>
      </c>
      <c r="W559" s="1" t="str">
        <f ca="1">VLOOKUP(tblDistributionTests[[#This Row],[Rand]]+MIN(tblFairTest[Score]),tblFairTest[],2,TRUE)</f>
        <v>Todd</v>
      </c>
      <c r="X559" s="1" t="str">
        <f ca="1">VLOOKUP(tblDistributionTests[[#This Row],[Rand]],tblNormalTestVl[],2,TRUE)</f>
        <v>William</v>
      </c>
      <c r="Y559" s="11" t="str">
        <f ca="1">INDEX(tblNormalTestIM[],MATCH(tblDistributionTests[[#This Row],[Rand]],tblNormalTestIM[Score],-1),2)</f>
        <v>Frank</v>
      </c>
    </row>
    <row r="560" spans="22:25" x14ac:dyDescent="0.2">
      <c r="V560" s="1">
        <f t="shared" ca="1" si="8"/>
        <v>0.23</v>
      </c>
      <c r="W560" s="1" t="e">
        <f ca="1">VLOOKUP(tblDistributionTests[[#This Row],[Rand]]+MIN(tblFairTest[Score]),tblFairTest[],2,TRUE)</f>
        <v>#N/A</v>
      </c>
      <c r="X560" s="1" t="str">
        <f ca="1">VLOOKUP(tblDistributionTests[[#This Row],[Rand]],tblNormalTestVl[],2,TRUE)</f>
        <v>Luke</v>
      </c>
      <c r="Y560" s="11" t="str">
        <f ca="1">INDEX(tblNormalTestIM[],MATCH(tblDistributionTests[[#This Row],[Rand]],tblNormalTestIM[Score],-1),2)</f>
        <v>Riley</v>
      </c>
    </row>
    <row r="561" spans="22:25" x14ac:dyDescent="0.2">
      <c r="V561" s="1">
        <f t="shared" ca="1" si="8"/>
        <v>0.56999999999999995</v>
      </c>
      <c r="W561" s="1" t="str">
        <f ca="1">VLOOKUP(tblDistributionTests[[#This Row],[Rand]]+MIN(tblFairTest[Score]),tblFairTest[],2,TRUE)</f>
        <v>Todd</v>
      </c>
      <c r="X561" s="1" t="str">
        <f ca="1">VLOOKUP(tblDistributionTests[[#This Row],[Rand]],tblNormalTestVl[],2,TRUE)</f>
        <v>Riley</v>
      </c>
      <c r="Y561" s="11" t="str">
        <f ca="1">INDEX(tblNormalTestIM[],MATCH(tblDistributionTests[[#This Row],[Rand]],tblNormalTestIM[Score],-1),2)</f>
        <v>Luke</v>
      </c>
    </row>
    <row r="562" spans="22:25" x14ac:dyDescent="0.2">
      <c r="V562" s="1">
        <f t="shared" ca="1" si="8"/>
        <v>0.84</v>
      </c>
      <c r="W562" s="1" t="str">
        <f ca="1">VLOOKUP(tblDistributionTests[[#This Row],[Rand]]+MIN(tblFairTest[Score]),tblFairTest[],2,TRUE)</f>
        <v>Todd</v>
      </c>
      <c r="X562" s="1" t="str">
        <f ca="1">VLOOKUP(tblDistributionTests[[#This Row],[Rand]],tblNormalTestVl[],2,TRUE)</f>
        <v>William</v>
      </c>
      <c r="Y562" s="11" t="str">
        <f ca="1">INDEX(tblNormalTestIM[],MATCH(tblDistributionTests[[#This Row],[Rand]],tblNormalTestIM[Score],-1),2)</f>
        <v>Frank</v>
      </c>
    </row>
    <row r="563" spans="22:25" x14ac:dyDescent="0.2">
      <c r="V563" s="1">
        <f t="shared" ca="1" si="8"/>
        <v>0.06</v>
      </c>
      <c r="W563" s="1" t="e">
        <f ca="1">VLOOKUP(tblDistributionTests[[#This Row],[Rand]]+MIN(tblFairTest[Score]),tblFairTest[],2,TRUE)</f>
        <v>#N/A</v>
      </c>
      <c r="X563" s="1" t="str">
        <f ca="1">VLOOKUP(tblDistributionTests[[#This Row],[Rand]],tblNormalTestVl[],2,TRUE)</f>
        <v>Bill</v>
      </c>
      <c r="Y563" s="11" t="str">
        <f ca="1">INDEX(tblNormalTestIM[],MATCH(tblDistributionTests[[#This Row],[Rand]],tblNormalTestIM[Score],-1),2)</f>
        <v>Eric</v>
      </c>
    </row>
    <row r="564" spans="22:25" x14ac:dyDescent="0.2">
      <c r="V564" s="1">
        <f t="shared" ca="1" si="8"/>
        <v>0.92</v>
      </c>
      <c r="W564" s="1" t="str">
        <f ca="1">VLOOKUP(tblDistributionTests[[#This Row],[Rand]]+MIN(tblFairTest[Score]),tblFairTest[],2,TRUE)</f>
        <v>Todd</v>
      </c>
      <c r="X564" s="1" t="str">
        <f ca="1">VLOOKUP(tblDistributionTests[[#This Row],[Rand]],tblNormalTestVl[],2,TRUE)</f>
        <v>William</v>
      </c>
      <c r="Y564" s="11" t="str">
        <f ca="1">INDEX(tblNormalTestIM[],MATCH(tblDistributionTests[[#This Row],[Rand]],tblNormalTestIM[Score],-1),2)</f>
        <v>Frank</v>
      </c>
    </row>
    <row r="565" spans="22:25" x14ac:dyDescent="0.2">
      <c r="V565" s="1">
        <f t="shared" ca="1" si="8"/>
        <v>0.41</v>
      </c>
      <c r="W565" s="1" t="e">
        <f ca="1">VLOOKUP(tblDistributionTests[[#This Row],[Rand]]+MIN(tblFairTest[Score]),tblFairTest[],2,TRUE)</f>
        <v>#N/A</v>
      </c>
      <c r="X565" s="1" t="str">
        <f ca="1">VLOOKUP(tblDistributionTests[[#This Row],[Rand]],tblNormalTestVl[],2,TRUE)</f>
        <v>Luke</v>
      </c>
      <c r="Y565" s="11" t="str">
        <f ca="1">INDEX(tblNormalTestIM[],MATCH(tblDistributionTests[[#This Row],[Rand]],tblNormalTestIM[Score],-1),2)</f>
        <v>Riley</v>
      </c>
    </row>
    <row r="566" spans="22:25" x14ac:dyDescent="0.2">
      <c r="V566" s="1">
        <f t="shared" ca="1" si="8"/>
        <v>0.34</v>
      </c>
      <c r="W566" s="1" t="e">
        <f ca="1">VLOOKUP(tblDistributionTests[[#This Row],[Rand]]+MIN(tblFairTest[Score]),tblFairTest[],2,TRUE)</f>
        <v>#N/A</v>
      </c>
      <c r="X566" s="1" t="str">
        <f ca="1">VLOOKUP(tblDistributionTests[[#This Row],[Rand]],tblNormalTestVl[],2,TRUE)</f>
        <v>Luke</v>
      </c>
      <c r="Y566" s="11" t="str">
        <f ca="1">INDEX(tblNormalTestIM[],MATCH(tblDistributionTests[[#This Row],[Rand]],tblNormalTestIM[Score],-1),2)</f>
        <v>Riley</v>
      </c>
    </row>
    <row r="567" spans="22:25" x14ac:dyDescent="0.2">
      <c r="V567" s="1">
        <f t="shared" ca="1" si="8"/>
        <v>0.46</v>
      </c>
      <c r="W567" s="1" t="e">
        <f ca="1">VLOOKUP(tblDistributionTests[[#This Row],[Rand]]+MIN(tblFairTest[Score]),tblFairTest[],2,TRUE)</f>
        <v>#N/A</v>
      </c>
      <c r="X567" s="1" t="str">
        <f ca="1">VLOOKUP(tblDistributionTests[[#This Row],[Rand]],tblNormalTestVl[],2,TRUE)</f>
        <v>Luke</v>
      </c>
      <c r="Y567" s="11" t="str">
        <f ca="1">INDEX(tblNormalTestIM[],MATCH(tblDistributionTests[[#This Row],[Rand]],tblNormalTestIM[Score],-1),2)</f>
        <v>Riley</v>
      </c>
    </row>
    <row r="568" spans="22:25" x14ac:dyDescent="0.2">
      <c r="V568" s="1">
        <f t="shared" ca="1" si="8"/>
        <v>0.36</v>
      </c>
      <c r="W568" s="1" t="e">
        <f ca="1">VLOOKUP(tblDistributionTests[[#This Row],[Rand]]+MIN(tblFairTest[Score]),tblFairTest[],2,TRUE)</f>
        <v>#N/A</v>
      </c>
      <c r="X568" s="1" t="str">
        <f ca="1">VLOOKUP(tblDistributionTests[[#This Row],[Rand]],tblNormalTestVl[],2,TRUE)</f>
        <v>Luke</v>
      </c>
      <c r="Y568" s="11" t="str">
        <f ca="1">INDEX(tblNormalTestIM[],MATCH(tblDistributionTests[[#This Row],[Rand]],tblNormalTestIM[Score],-1),2)</f>
        <v>Riley</v>
      </c>
    </row>
    <row r="569" spans="22:25" x14ac:dyDescent="0.2">
      <c r="V569" s="1">
        <f t="shared" ca="1" si="8"/>
        <v>0.06</v>
      </c>
      <c r="W569" s="1" t="e">
        <f ca="1">VLOOKUP(tblDistributionTests[[#This Row],[Rand]]+MIN(tblFairTest[Score]),tblFairTest[],2,TRUE)</f>
        <v>#N/A</v>
      </c>
      <c r="X569" s="1" t="str">
        <f ca="1">VLOOKUP(tblDistributionTests[[#This Row],[Rand]],tblNormalTestVl[],2,TRUE)</f>
        <v>Bill</v>
      </c>
      <c r="Y569" s="11" t="str">
        <f ca="1">INDEX(tblNormalTestIM[],MATCH(tblDistributionTests[[#This Row],[Rand]],tblNormalTestIM[Score],-1),2)</f>
        <v>Eric</v>
      </c>
    </row>
    <row r="570" spans="22:25" x14ac:dyDescent="0.2">
      <c r="V570" s="1">
        <f t="shared" ca="1" si="8"/>
        <v>0.75</v>
      </c>
      <c r="W570" s="1" t="str">
        <f ca="1">VLOOKUP(tblDistributionTests[[#This Row],[Rand]]+MIN(tblFairTest[Score]),tblFairTest[],2,TRUE)</f>
        <v>Todd</v>
      </c>
      <c r="X570" s="1" t="str">
        <f ca="1">VLOOKUP(tblDistributionTests[[#This Row],[Rand]],tblNormalTestVl[],2,TRUE)</f>
        <v>Riley</v>
      </c>
      <c r="Y570" s="11" t="str">
        <f ca="1">INDEX(tblNormalTestIM[],MATCH(tblDistributionTests[[#This Row],[Rand]],tblNormalTestIM[Score],-1),2)</f>
        <v>Luke</v>
      </c>
    </row>
    <row r="571" spans="22:25" x14ac:dyDescent="0.2">
      <c r="V571" s="1">
        <f t="shared" ca="1" si="8"/>
        <v>0.68</v>
      </c>
      <c r="W571" s="1" t="str">
        <f ca="1">VLOOKUP(tblDistributionTests[[#This Row],[Rand]]+MIN(tblFairTest[Score]),tblFairTest[],2,TRUE)</f>
        <v>Todd</v>
      </c>
      <c r="X571" s="1" t="str">
        <f ca="1">VLOOKUP(tblDistributionTests[[#This Row],[Rand]],tblNormalTestVl[],2,TRUE)</f>
        <v>Riley</v>
      </c>
      <c r="Y571" s="11" t="str">
        <f ca="1">INDEX(tblNormalTestIM[],MATCH(tblDistributionTests[[#This Row],[Rand]],tblNormalTestIM[Score],-1),2)</f>
        <v>Luke</v>
      </c>
    </row>
    <row r="572" spans="22:25" x14ac:dyDescent="0.2">
      <c r="V572" s="1">
        <f t="shared" ca="1" si="8"/>
        <v>0.13</v>
      </c>
      <c r="W572" s="1" t="e">
        <f ca="1">VLOOKUP(tblDistributionTests[[#This Row],[Rand]]+MIN(tblFairTest[Score]),tblFairTest[],2,TRUE)</f>
        <v>#N/A</v>
      </c>
      <c r="X572" s="1" t="str">
        <f ca="1">VLOOKUP(tblDistributionTests[[#This Row],[Rand]],tblNormalTestVl[],2,TRUE)</f>
        <v>Frank</v>
      </c>
      <c r="Y572" s="11" t="str">
        <f ca="1">INDEX(tblNormalTestIM[],MATCH(tblDistributionTests[[#This Row],[Rand]],tblNormalTestIM[Score],-1),2)</f>
        <v>William</v>
      </c>
    </row>
    <row r="573" spans="22:25" x14ac:dyDescent="0.2">
      <c r="V573" s="1">
        <f t="shared" ca="1" si="8"/>
        <v>0.27</v>
      </c>
      <c r="W573" s="1" t="e">
        <f ca="1">VLOOKUP(tblDistributionTests[[#This Row],[Rand]]+MIN(tblFairTest[Score]),tblFairTest[],2,TRUE)</f>
        <v>#N/A</v>
      </c>
      <c r="X573" s="1" t="str">
        <f ca="1">VLOOKUP(tblDistributionTests[[#This Row],[Rand]],tblNormalTestVl[],2,TRUE)</f>
        <v>Luke</v>
      </c>
      <c r="Y573" s="11" t="str">
        <f ca="1">INDEX(tblNormalTestIM[],MATCH(tblDistributionTests[[#This Row],[Rand]],tblNormalTestIM[Score],-1),2)</f>
        <v>Riley</v>
      </c>
    </row>
    <row r="574" spans="22:25" x14ac:dyDescent="0.2">
      <c r="V574" s="1">
        <f t="shared" ca="1" si="8"/>
        <v>0.46</v>
      </c>
      <c r="W574" s="1" t="e">
        <f ca="1">VLOOKUP(tblDistributionTests[[#This Row],[Rand]]+MIN(tblFairTest[Score]),tblFairTest[],2,TRUE)</f>
        <v>#N/A</v>
      </c>
      <c r="X574" s="1" t="str">
        <f ca="1">VLOOKUP(tblDistributionTests[[#This Row],[Rand]],tblNormalTestVl[],2,TRUE)</f>
        <v>Luke</v>
      </c>
      <c r="Y574" s="11" t="str">
        <f ca="1">INDEX(tblNormalTestIM[],MATCH(tblDistributionTests[[#This Row],[Rand]],tblNormalTestIM[Score],-1),2)</f>
        <v>Riley</v>
      </c>
    </row>
    <row r="575" spans="22:25" x14ac:dyDescent="0.2">
      <c r="V575" s="1">
        <f t="shared" ca="1" si="8"/>
        <v>0.89</v>
      </c>
      <c r="W575" s="1" t="str">
        <f ca="1">VLOOKUP(tblDistributionTests[[#This Row],[Rand]]+MIN(tblFairTest[Score]),tblFairTest[],2,TRUE)</f>
        <v>Todd</v>
      </c>
      <c r="X575" s="1" t="str">
        <f ca="1">VLOOKUP(tblDistributionTests[[#This Row],[Rand]],tblNormalTestVl[],2,TRUE)</f>
        <v>William</v>
      </c>
      <c r="Y575" s="11" t="str">
        <f ca="1">INDEX(tblNormalTestIM[],MATCH(tblDistributionTests[[#This Row],[Rand]],tblNormalTestIM[Score],-1),2)</f>
        <v>Frank</v>
      </c>
    </row>
    <row r="576" spans="22:25" x14ac:dyDescent="0.2">
      <c r="V576" s="1">
        <f t="shared" ca="1" si="8"/>
        <v>0.25</v>
      </c>
      <c r="W576" s="1" t="e">
        <f ca="1">VLOOKUP(tblDistributionTests[[#This Row],[Rand]]+MIN(tblFairTest[Score]),tblFairTest[],2,TRUE)</f>
        <v>#N/A</v>
      </c>
      <c r="X576" s="1" t="str">
        <f ca="1">VLOOKUP(tblDistributionTests[[#This Row],[Rand]],tblNormalTestVl[],2,TRUE)</f>
        <v>Luke</v>
      </c>
      <c r="Y576" s="11" t="str">
        <f ca="1">INDEX(tblNormalTestIM[],MATCH(tblDistributionTests[[#This Row],[Rand]],tblNormalTestIM[Score],-1),2)</f>
        <v>Riley</v>
      </c>
    </row>
    <row r="577" spans="22:25" x14ac:dyDescent="0.2">
      <c r="V577" s="1">
        <f t="shared" ca="1" si="8"/>
        <v>0.45</v>
      </c>
      <c r="W577" s="1" t="e">
        <f ca="1">VLOOKUP(tblDistributionTests[[#This Row],[Rand]]+MIN(tblFairTest[Score]),tblFairTest[],2,TRUE)</f>
        <v>#N/A</v>
      </c>
      <c r="X577" s="1" t="str">
        <f ca="1">VLOOKUP(tblDistributionTests[[#This Row],[Rand]],tblNormalTestVl[],2,TRUE)</f>
        <v>Luke</v>
      </c>
      <c r="Y577" s="11" t="str">
        <f ca="1">INDEX(tblNormalTestIM[],MATCH(tblDistributionTests[[#This Row],[Rand]],tblNormalTestIM[Score],-1),2)</f>
        <v>Riley</v>
      </c>
    </row>
    <row r="578" spans="22:25" x14ac:dyDescent="0.2">
      <c r="V578" s="1">
        <f t="shared" ca="1" si="8"/>
        <v>0.34</v>
      </c>
      <c r="W578" s="1" t="e">
        <f ca="1">VLOOKUP(tblDistributionTests[[#This Row],[Rand]]+MIN(tblFairTest[Score]),tblFairTest[],2,TRUE)</f>
        <v>#N/A</v>
      </c>
      <c r="X578" s="1" t="str">
        <f ca="1">VLOOKUP(tblDistributionTests[[#This Row],[Rand]],tblNormalTestVl[],2,TRUE)</f>
        <v>Luke</v>
      </c>
      <c r="Y578" s="11" t="str">
        <f ca="1">INDEX(tblNormalTestIM[],MATCH(tblDistributionTests[[#This Row],[Rand]],tblNormalTestIM[Score],-1),2)</f>
        <v>Riley</v>
      </c>
    </row>
    <row r="579" spans="22:25" x14ac:dyDescent="0.2">
      <c r="V579" s="1">
        <f t="shared" ca="1" si="8"/>
        <v>0.47</v>
      </c>
      <c r="W579" s="1" t="e">
        <f ca="1">VLOOKUP(tblDistributionTests[[#This Row],[Rand]]+MIN(tblFairTest[Score]),tblFairTest[],2,TRUE)</f>
        <v>#N/A</v>
      </c>
      <c r="X579" s="1" t="str">
        <f ca="1">VLOOKUP(tblDistributionTests[[#This Row],[Rand]],tblNormalTestVl[],2,TRUE)</f>
        <v>Luke</v>
      </c>
      <c r="Y579" s="11" t="str">
        <f ca="1">INDEX(tblNormalTestIM[],MATCH(tblDistributionTests[[#This Row],[Rand]],tblNormalTestIM[Score],-1),2)</f>
        <v>Riley</v>
      </c>
    </row>
    <row r="580" spans="22:25" x14ac:dyDescent="0.2">
      <c r="V580" s="1">
        <f t="shared" ca="1" si="8"/>
        <v>0.43</v>
      </c>
      <c r="W580" s="1" t="e">
        <f ca="1">VLOOKUP(tblDistributionTests[[#This Row],[Rand]]+MIN(tblFairTest[Score]),tblFairTest[],2,TRUE)</f>
        <v>#N/A</v>
      </c>
      <c r="X580" s="1" t="str">
        <f ca="1">VLOOKUP(tblDistributionTests[[#This Row],[Rand]],tblNormalTestVl[],2,TRUE)</f>
        <v>Luke</v>
      </c>
      <c r="Y580" s="11" t="str">
        <f ca="1">INDEX(tblNormalTestIM[],MATCH(tblDistributionTests[[#This Row],[Rand]],tblNormalTestIM[Score],-1),2)</f>
        <v>Riley</v>
      </c>
    </row>
    <row r="581" spans="22:25" x14ac:dyDescent="0.2">
      <c r="V581" s="1">
        <f t="shared" ca="1" si="8"/>
        <v>0.37</v>
      </c>
      <c r="W581" s="1" t="e">
        <f ca="1">VLOOKUP(tblDistributionTests[[#This Row],[Rand]]+MIN(tblFairTest[Score]),tblFairTest[],2,TRUE)</f>
        <v>#N/A</v>
      </c>
      <c r="X581" s="1" t="str">
        <f ca="1">VLOOKUP(tblDistributionTests[[#This Row],[Rand]],tblNormalTestVl[],2,TRUE)</f>
        <v>Luke</v>
      </c>
      <c r="Y581" s="11" t="str">
        <f ca="1">INDEX(tblNormalTestIM[],MATCH(tblDistributionTests[[#This Row],[Rand]],tblNormalTestIM[Score],-1),2)</f>
        <v>Riley</v>
      </c>
    </row>
    <row r="582" spans="22:25" x14ac:dyDescent="0.2">
      <c r="V582" s="1">
        <f t="shared" ca="1" si="8"/>
        <v>0.74</v>
      </c>
      <c r="W582" s="1" t="str">
        <f ca="1">VLOOKUP(tblDistributionTests[[#This Row],[Rand]]+MIN(tblFairTest[Score]),tblFairTest[],2,TRUE)</f>
        <v>Todd</v>
      </c>
      <c r="X582" s="1" t="str">
        <f ca="1">VLOOKUP(tblDistributionTests[[#This Row],[Rand]],tblNormalTestVl[],2,TRUE)</f>
        <v>Riley</v>
      </c>
      <c r="Y582" s="11" t="str">
        <f ca="1">INDEX(tblNormalTestIM[],MATCH(tblDistributionTests[[#This Row],[Rand]],tblNormalTestIM[Score],-1),2)</f>
        <v>Luke</v>
      </c>
    </row>
    <row r="583" spans="22:25" x14ac:dyDescent="0.2">
      <c r="V583" s="1">
        <f t="shared" ca="1" si="8"/>
        <v>0.14000000000000001</v>
      </c>
      <c r="W583" s="1" t="e">
        <f ca="1">VLOOKUP(tblDistributionTests[[#This Row],[Rand]]+MIN(tblFairTest[Score]),tblFairTest[],2,TRUE)</f>
        <v>#N/A</v>
      </c>
      <c r="X583" s="1" t="str">
        <f ca="1">VLOOKUP(tblDistributionTests[[#This Row],[Rand]],tblNormalTestVl[],2,TRUE)</f>
        <v>Frank</v>
      </c>
      <c r="Y583" s="11" t="str">
        <f ca="1">INDEX(tblNormalTestIM[],MATCH(tblDistributionTests[[#This Row],[Rand]],tblNormalTestIM[Score],-1),2)</f>
        <v>William</v>
      </c>
    </row>
    <row r="584" spans="22:25" x14ac:dyDescent="0.2">
      <c r="V584" s="1">
        <f t="shared" ref="V584:V647" ca="1" si="9">RANDBETWEEN(1,100)/100</f>
        <v>0.71</v>
      </c>
      <c r="W584" s="1" t="str">
        <f ca="1">VLOOKUP(tblDistributionTests[[#This Row],[Rand]]+MIN(tblFairTest[Score]),tblFairTest[],2,TRUE)</f>
        <v>Todd</v>
      </c>
      <c r="X584" s="1" t="str">
        <f ca="1">VLOOKUP(tblDistributionTests[[#This Row],[Rand]],tblNormalTestVl[],2,TRUE)</f>
        <v>Riley</v>
      </c>
      <c r="Y584" s="11" t="str">
        <f ca="1">INDEX(tblNormalTestIM[],MATCH(tblDistributionTests[[#This Row],[Rand]],tblNormalTestIM[Score],-1),2)</f>
        <v>Luke</v>
      </c>
    </row>
    <row r="585" spans="22:25" x14ac:dyDescent="0.2">
      <c r="V585" s="1">
        <f t="shared" ca="1" si="9"/>
        <v>0.82</v>
      </c>
      <c r="W585" s="1" t="str">
        <f ca="1">VLOOKUP(tblDistributionTests[[#This Row],[Rand]]+MIN(tblFairTest[Score]),tblFairTest[],2,TRUE)</f>
        <v>Todd</v>
      </c>
      <c r="X585" s="1" t="str">
        <f ca="1">VLOOKUP(tblDistributionTests[[#This Row],[Rand]],tblNormalTestVl[],2,TRUE)</f>
        <v>William</v>
      </c>
      <c r="Y585" s="11" t="str">
        <f ca="1">INDEX(tblNormalTestIM[],MATCH(tblDistributionTests[[#This Row],[Rand]],tblNormalTestIM[Score],-1),2)</f>
        <v>Frank</v>
      </c>
    </row>
    <row r="586" spans="22:25" x14ac:dyDescent="0.2">
      <c r="V586" s="1">
        <f t="shared" ca="1" si="9"/>
        <v>7.0000000000000007E-2</v>
      </c>
      <c r="W586" s="1" t="e">
        <f ca="1">VLOOKUP(tblDistributionTests[[#This Row],[Rand]]+MIN(tblFairTest[Score]),tblFairTest[],2,TRUE)</f>
        <v>#N/A</v>
      </c>
      <c r="X586" s="1" t="str">
        <f ca="1">VLOOKUP(tblDistributionTests[[#This Row],[Rand]],tblNormalTestVl[],2,TRUE)</f>
        <v>Frank</v>
      </c>
      <c r="Y586" s="11" t="str">
        <f ca="1">INDEX(tblNormalTestIM[],MATCH(tblDistributionTests[[#This Row],[Rand]],tblNormalTestIM[Score],-1),2)</f>
        <v>William</v>
      </c>
    </row>
    <row r="587" spans="22:25" x14ac:dyDescent="0.2">
      <c r="V587" s="1">
        <f t="shared" ca="1" si="9"/>
        <v>0.23</v>
      </c>
      <c r="W587" s="1" t="e">
        <f ca="1">VLOOKUP(tblDistributionTests[[#This Row],[Rand]]+MIN(tblFairTest[Score]),tblFairTest[],2,TRUE)</f>
        <v>#N/A</v>
      </c>
      <c r="X587" s="1" t="str">
        <f ca="1">VLOOKUP(tblDistributionTests[[#This Row],[Rand]],tblNormalTestVl[],2,TRUE)</f>
        <v>Luke</v>
      </c>
      <c r="Y587" s="11" t="str">
        <f ca="1">INDEX(tblNormalTestIM[],MATCH(tblDistributionTests[[#This Row],[Rand]],tblNormalTestIM[Score],-1),2)</f>
        <v>Riley</v>
      </c>
    </row>
    <row r="588" spans="22:25" x14ac:dyDescent="0.2">
      <c r="V588" s="1">
        <f t="shared" ca="1" si="9"/>
        <v>0.4</v>
      </c>
      <c r="W588" s="1" t="e">
        <f ca="1">VLOOKUP(tblDistributionTests[[#This Row],[Rand]]+MIN(tblFairTest[Score]),tblFairTest[],2,TRUE)</f>
        <v>#N/A</v>
      </c>
      <c r="X588" s="1" t="str">
        <f ca="1">VLOOKUP(tblDistributionTests[[#This Row],[Rand]],tblNormalTestVl[],2,TRUE)</f>
        <v>Luke</v>
      </c>
      <c r="Y588" s="11" t="str">
        <f ca="1">INDEX(tblNormalTestIM[],MATCH(tblDistributionTests[[#This Row],[Rand]],tblNormalTestIM[Score],-1),2)</f>
        <v>Riley</v>
      </c>
    </row>
    <row r="589" spans="22:25" x14ac:dyDescent="0.2">
      <c r="V589" s="1">
        <f t="shared" ca="1" si="9"/>
        <v>0.17</v>
      </c>
      <c r="W589" s="1" t="e">
        <f ca="1">VLOOKUP(tblDistributionTests[[#This Row],[Rand]]+MIN(tblFairTest[Score]),tblFairTest[],2,TRUE)</f>
        <v>#N/A</v>
      </c>
      <c r="X589" s="1" t="str">
        <f ca="1">VLOOKUP(tblDistributionTests[[#This Row],[Rand]],tblNormalTestVl[],2,TRUE)</f>
        <v>Frank</v>
      </c>
      <c r="Y589" s="11" t="str">
        <f ca="1">INDEX(tblNormalTestIM[],MATCH(tblDistributionTests[[#This Row],[Rand]],tblNormalTestIM[Score],-1),2)</f>
        <v>William</v>
      </c>
    </row>
    <row r="590" spans="22:25" x14ac:dyDescent="0.2">
      <c r="V590" s="1">
        <f t="shared" ca="1" si="9"/>
        <v>0.12</v>
      </c>
      <c r="W590" s="1" t="e">
        <f ca="1">VLOOKUP(tblDistributionTests[[#This Row],[Rand]]+MIN(tblFairTest[Score]),tblFairTest[],2,TRUE)</f>
        <v>#N/A</v>
      </c>
      <c r="X590" s="1" t="str">
        <f ca="1">VLOOKUP(tblDistributionTests[[#This Row],[Rand]],tblNormalTestVl[],2,TRUE)</f>
        <v>Frank</v>
      </c>
      <c r="Y590" s="11" t="str">
        <f ca="1">INDEX(tblNormalTestIM[],MATCH(tblDistributionTests[[#This Row],[Rand]],tblNormalTestIM[Score],-1),2)</f>
        <v>William</v>
      </c>
    </row>
    <row r="591" spans="22:25" x14ac:dyDescent="0.2">
      <c r="V591" s="1">
        <f t="shared" ca="1" si="9"/>
        <v>0.89</v>
      </c>
      <c r="W591" s="1" t="str">
        <f ca="1">VLOOKUP(tblDistributionTests[[#This Row],[Rand]]+MIN(tblFairTest[Score]),tblFairTest[],2,TRUE)</f>
        <v>Todd</v>
      </c>
      <c r="X591" s="1" t="str">
        <f ca="1">VLOOKUP(tblDistributionTests[[#This Row],[Rand]],tblNormalTestVl[],2,TRUE)</f>
        <v>William</v>
      </c>
      <c r="Y591" s="11" t="str">
        <f ca="1">INDEX(tblNormalTestIM[],MATCH(tblDistributionTests[[#This Row],[Rand]],tblNormalTestIM[Score],-1),2)</f>
        <v>Frank</v>
      </c>
    </row>
    <row r="592" spans="22:25" x14ac:dyDescent="0.2">
      <c r="V592" s="1">
        <f t="shared" ca="1" si="9"/>
        <v>0.92</v>
      </c>
      <c r="W592" s="1" t="str">
        <f ca="1">VLOOKUP(tblDistributionTests[[#This Row],[Rand]]+MIN(tblFairTest[Score]),tblFairTest[],2,TRUE)</f>
        <v>Todd</v>
      </c>
      <c r="X592" s="1" t="str">
        <f ca="1">VLOOKUP(tblDistributionTests[[#This Row],[Rand]],tblNormalTestVl[],2,TRUE)</f>
        <v>William</v>
      </c>
      <c r="Y592" s="11" t="str">
        <f ca="1">INDEX(tblNormalTestIM[],MATCH(tblDistributionTests[[#This Row],[Rand]],tblNormalTestIM[Score],-1),2)</f>
        <v>Frank</v>
      </c>
    </row>
    <row r="593" spans="22:25" x14ac:dyDescent="0.2">
      <c r="V593" s="1">
        <f t="shared" ca="1" si="9"/>
        <v>0.7</v>
      </c>
      <c r="W593" s="1" t="str">
        <f ca="1">VLOOKUP(tblDistributionTests[[#This Row],[Rand]]+MIN(tblFairTest[Score]),tblFairTest[],2,TRUE)</f>
        <v>Todd</v>
      </c>
      <c r="X593" s="1" t="str">
        <f ca="1">VLOOKUP(tblDistributionTests[[#This Row],[Rand]],tblNormalTestVl[],2,TRUE)</f>
        <v>Riley</v>
      </c>
      <c r="Y593" s="11" t="str">
        <f ca="1">INDEX(tblNormalTestIM[],MATCH(tblDistributionTests[[#This Row],[Rand]],tblNormalTestIM[Score],-1),2)</f>
        <v>Luke</v>
      </c>
    </row>
    <row r="594" spans="22:25" x14ac:dyDescent="0.2">
      <c r="V594" s="1">
        <f t="shared" ca="1" si="9"/>
        <v>0.36</v>
      </c>
      <c r="W594" s="1" t="e">
        <f ca="1">VLOOKUP(tblDistributionTests[[#This Row],[Rand]]+MIN(tblFairTest[Score]),tblFairTest[],2,TRUE)</f>
        <v>#N/A</v>
      </c>
      <c r="X594" s="1" t="str">
        <f ca="1">VLOOKUP(tblDistributionTests[[#This Row],[Rand]],tblNormalTestVl[],2,TRUE)</f>
        <v>Luke</v>
      </c>
      <c r="Y594" s="11" t="str">
        <f ca="1">INDEX(tblNormalTestIM[],MATCH(tblDistributionTests[[#This Row],[Rand]],tblNormalTestIM[Score],-1),2)</f>
        <v>Riley</v>
      </c>
    </row>
    <row r="595" spans="22:25" x14ac:dyDescent="0.2">
      <c r="V595" s="1">
        <f t="shared" ca="1" si="9"/>
        <v>0.19</v>
      </c>
      <c r="W595" s="1" t="e">
        <f ca="1">VLOOKUP(tblDistributionTests[[#This Row],[Rand]]+MIN(tblFairTest[Score]),tblFairTest[],2,TRUE)</f>
        <v>#N/A</v>
      </c>
      <c r="X595" s="1" t="str">
        <f ca="1">VLOOKUP(tblDistributionTests[[#This Row],[Rand]],tblNormalTestVl[],2,TRUE)</f>
        <v>Frank</v>
      </c>
      <c r="Y595" s="11" t="str">
        <f ca="1">INDEX(tblNormalTestIM[],MATCH(tblDistributionTests[[#This Row],[Rand]],tblNormalTestIM[Score],-1),2)</f>
        <v>William</v>
      </c>
    </row>
    <row r="596" spans="22:25" x14ac:dyDescent="0.2">
      <c r="V596" s="1">
        <f t="shared" ca="1" si="9"/>
        <v>0.53</v>
      </c>
      <c r="W596" s="1" t="str">
        <f ca="1">VLOOKUP(tblDistributionTests[[#This Row],[Rand]]+MIN(tblFairTest[Score]),tblFairTest[],2,TRUE)</f>
        <v>Todd</v>
      </c>
      <c r="X596" s="1" t="str">
        <f ca="1">VLOOKUP(tblDistributionTests[[#This Row],[Rand]],tblNormalTestVl[],2,TRUE)</f>
        <v>Riley</v>
      </c>
      <c r="Y596" s="11" t="str">
        <f ca="1">INDEX(tblNormalTestIM[],MATCH(tblDistributionTests[[#This Row],[Rand]],tblNormalTestIM[Score],-1),2)</f>
        <v>Luke</v>
      </c>
    </row>
    <row r="597" spans="22:25" x14ac:dyDescent="0.2">
      <c r="V597" s="1">
        <f t="shared" ca="1" si="9"/>
        <v>0.46</v>
      </c>
      <c r="W597" s="1" t="e">
        <f ca="1">VLOOKUP(tblDistributionTests[[#This Row],[Rand]]+MIN(tblFairTest[Score]),tblFairTest[],2,TRUE)</f>
        <v>#N/A</v>
      </c>
      <c r="X597" s="1" t="str">
        <f ca="1">VLOOKUP(tblDistributionTests[[#This Row],[Rand]],tblNormalTestVl[],2,TRUE)</f>
        <v>Luke</v>
      </c>
      <c r="Y597" s="11" t="str">
        <f ca="1">INDEX(tblNormalTestIM[],MATCH(tblDistributionTests[[#This Row],[Rand]],tblNormalTestIM[Score],-1),2)</f>
        <v>Riley</v>
      </c>
    </row>
    <row r="598" spans="22:25" x14ac:dyDescent="0.2">
      <c r="V598" s="1">
        <f t="shared" ca="1" si="9"/>
        <v>0.46</v>
      </c>
      <c r="W598" s="1" t="e">
        <f ca="1">VLOOKUP(tblDistributionTests[[#This Row],[Rand]]+MIN(tblFairTest[Score]),tblFairTest[],2,TRUE)</f>
        <v>#N/A</v>
      </c>
      <c r="X598" s="1" t="str">
        <f ca="1">VLOOKUP(tblDistributionTests[[#This Row],[Rand]],tblNormalTestVl[],2,TRUE)</f>
        <v>Luke</v>
      </c>
      <c r="Y598" s="11" t="str">
        <f ca="1">INDEX(tblNormalTestIM[],MATCH(tblDistributionTests[[#This Row],[Rand]],tblNormalTestIM[Score],-1),2)</f>
        <v>Riley</v>
      </c>
    </row>
    <row r="599" spans="22:25" x14ac:dyDescent="0.2">
      <c r="V599" s="1">
        <f t="shared" ca="1" si="9"/>
        <v>0.21</v>
      </c>
      <c r="W599" s="1" t="e">
        <f ca="1">VLOOKUP(tblDistributionTests[[#This Row],[Rand]]+MIN(tblFairTest[Score]),tblFairTest[],2,TRUE)</f>
        <v>#N/A</v>
      </c>
      <c r="X599" s="1" t="str">
        <f ca="1">VLOOKUP(tblDistributionTests[[#This Row],[Rand]],tblNormalTestVl[],2,TRUE)</f>
        <v>Frank</v>
      </c>
      <c r="Y599" s="11" t="str">
        <f ca="1">INDEX(tblNormalTestIM[],MATCH(tblDistributionTests[[#This Row],[Rand]],tblNormalTestIM[Score],-1),2)</f>
        <v>William</v>
      </c>
    </row>
    <row r="600" spans="22:25" x14ac:dyDescent="0.2">
      <c r="V600" s="1">
        <f t="shared" ca="1" si="9"/>
        <v>0.9</v>
      </c>
      <c r="W600" s="1" t="str">
        <f ca="1">VLOOKUP(tblDistributionTests[[#This Row],[Rand]]+MIN(tblFairTest[Score]),tblFairTest[],2,TRUE)</f>
        <v>Todd</v>
      </c>
      <c r="X600" s="1" t="str">
        <f ca="1">VLOOKUP(tblDistributionTests[[#This Row],[Rand]],tblNormalTestVl[],2,TRUE)</f>
        <v>William</v>
      </c>
      <c r="Y600" s="11" t="str">
        <f ca="1">INDEX(tblNormalTestIM[],MATCH(tblDistributionTests[[#This Row],[Rand]],tblNormalTestIM[Score],-1),2)</f>
        <v>Frank</v>
      </c>
    </row>
    <row r="601" spans="22:25" x14ac:dyDescent="0.2">
      <c r="V601" s="1">
        <f t="shared" ca="1" si="9"/>
        <v>0.02</v>
      </c>
      <c r="W601" s="1" t="e">
        <f ca="1">VLOOKUP(tblDistributionTests[[#This Row],[Rand]]+MIN(tblFairTest[Score]),tblFairTest[],2,TRUE)</f>
        <v>#N/A</v>
      </c>
      <c r="X601" s="1" t="str">
        <f ca="1">VLOOKUP(tblDistributionTests[[#This Row],[Rand]],tblNormalTestVl[],2,TRUE)</f>
        <v>Bill</v>
      </c>
      <c r="Y601" s="11" t="str">
        <f ca="1">INDEX(tblNormalTestIM[],MATCH(tblDistributionTests[[#This Row],[Rand]],tblNormalTestIM[Score],-1),2)</f>
        <v>Eric</v>
      </c>
    </row>
    <row r="602" spans="22:25" x14ac:dyDescent="0.2">
      <c r="V602" s="1">
        <f t="shared" ca="1" si="9"/>
        <v>0.5</v>
      </c>
      <c r="W602" s="1" t="str">
        <f ca="1">VLOOKUP(tblDistributionTests[[#This Row],[Rand]]+MIN(tblFairTest[Score]),tblFairTest[],2,TRUE)</f>
        <v>Riley</v>
      </c>
      <c r="X602" s="1" t="str">
        <f ca="1">VLOOKUP(tblDistributionTests[[#This Row],[Rand]],tblNormalTestVl[],2,TRUE)</f>
        <v>Riley</v>
      </c>
      <c r="Y602" s="11" t="str">
        <f ca="1">INDEX(tblNormalTestIM[],MATCH(tblDistributionTests[[#This Row],[Rand]],tblNormalTestIM[Score],-1),2)</f>
        <v>Riley</v>
      </c>
    </row>
    <row r="603" spans="22:25" x14ac:dyDescent="0.2">
      <c r="V603" s="1">
        <f t="shared" ca="1" si="9"/>
        <v>0.44</v>
      </c>
      <c r="W603" s="1" t="e">
        <f ca="1">VLOOKUP(tblDistributionTests[[#This Row],[Rand]]+MIN(tblFairTest[Score]),tblFairTest[],2,TRUE)</f>
        <v>#N/A</v>
      </c>
      <c r="X603" s="1" t="str">
        <f ca="1">VLOOKUP(tblDistributionTests[[#This Row],[Rand]],tblNormalTestVl[],2,TRUE)</f>
        <v>Luke</v>
      </c>
      <c r="Y603" s="11" t="str">
        <f ca="1">INDEX(tblNormalTestIM[],MATCH(tblDistributionTests[[#This Row],[Rand]],tblNormalTestIM[Score],-1),2)</f>
        <v>Riley</v>
      </c>
    </row>
    <row r="604" spans="22:25" x14ac:dyDescent="0.2">
      <c r="V604" s="1">
        <f t="shared" ca="1" si="9"/>
        <v>0.76</v>
      </c>
      <c r="W604" s="1" t="str">
        <f ca="1">VLOOKUP(tblDistributionTests[[#This Row],[Rand]]+MIN(tblFairTest[Score]),tblFairTest[],2,TRUE)</f>
        <v>Todd</v>
      </c>
      <c r="X604" s="1" t="str">
        <f ca="1">VLOOKUP(tblDistributionTests[[#This Row],[Rand]],tblNormalTestVl[],2,TRUE)</f>
        <v>Riley</v>
      </c>
      <c r="Y604" s="11" t="str">
        <f ca="1">INDEX(tblNormalTestIM[],MATCH(tblDistributionTests[[#This Row],[Rand]],tblNormalTestIM[Score],-1),2)</f>
        <v>Luke</v>
      </c>
    </row>
    <row r="605" spans="22:25" x14ac:dyDescent="0.2">
      <c r="V605" s="1">
        <f t="shared" ca="1" si="9"/>
        <v>0.13</v>
      </c>
      <c r="W605" s="1" t="e">
        <f ca="1">VLOOKUP(tblDistributionTests[[#This Row],[Rand]]+MIN(tblFairTest[Score]),tblFairTest[],2,TRUE)</f>
        <v>#N/A</v>
      </c>
      <c r="X605" s="1" t="str">
        <f ca="1">VLOOKUP(tblDistributionTests[[#This Row],[Rand]],tblNormalTestVl[],2,TRUE)</f>
        <v>Frank</v>
      </c>
      <c r="Y605" s="11" t="str">
        <f ca="1">INDEX(tblNormalTestIM[],MATCH(tblDistributionTests[[#This Row],[Rand]],tblNormalTestIM[Score],-1),2)</f>
        <v>William</v>
      </c>
    </row>
    <row r="606" spans="22:25" x14ac:dyDescent="0.2">
      <c r="V606" s="1">
        <f t="shared" ca="1" si="9"/>
        <v>0.75</v>
      </c>
      <c r="W606" s="1" t="str">
        <f ca="1">VLOOKUP(tblDistributionTests[[#This Row],[Rand]]+MIN(tblFairTest[Score]),tblFairTest[],2,TRUE)</f>
        <v>Todd</v>
      </c>
      <c r="X606" s="1" t="str">
        <f ca="1">VLOOKUP(tblDistributionTests[[#This Row],[Rand]],tblNormalTestVl[],2,TRUE)</f>
        <v>Riley</v>
      </c>
      <c r="Y606" s="11" t="str">
        <f ca="1">INDEX(tblNormalTestIM[],MATCH(tblDistributionTests[[#This Row],[Rand]],tblNormalTestIM[Score],-1),2)</f>
        <v>Luke</v>
      </c>
    </row>
    <row r="607" spans="22:25" x14ac:dyDescent="0.2">
      <c r="V607" s="1">
        <f t="shared" ca="1" si="9"/>
        <v>0.1</v>
      </c>
      <c r="W607" s="1" t="e">
        <f ca="1">VLOOKUP(tblDistributionTests[[#This Row],[Rand]]+MIN(tblFairTest[Score]),tblFairTest[],2,TRUE)</f>
        <v>#N/A</v>
      </c>
      <c r="X607" s="1" t="str">
        <f ca="1">VLOOKUP(tblDistributionTests[[#This Row],[Rand]],tblNormalTestVl[],2,TRUE)</f>
        <v>Frank</v>
      </c>
      <c r="Y607" s="11" t="str">
        <f ca="1">INDEX(tblNormalTestIM[],MATCH(tblDistributionTests[[#This Row],[Rand]],tblNormalTestIM[Score],-1),2)</f>
        <v>William</v>
      </c>
    </row>
    <row r="608" spans="22:25" x14ac:dyDescent="0.2">
      <c r="V608" s="1">
        <f t="shared" ca="1" si="9"/>
        <v>0.78</v>
      </c>
      <c r="W608" s="1" t="str">
        <f ca="1">VLOOKUP(tblDistributionTests[[#This Row],[Rand]]+MIN(tblFairTest[Score]),tblFairTest[],2,TRUE)</f>
        <v>Todd</v>
      </c>
      <c r="X608" s="1" t="str">
        <f ca="1">VLOOKUP(tblDistributionTests[[#This Row],[Rand]],tblNormalTestVl[],2,TRUE)</f>
        <v>William</v>
      </c>
      <c r="Y608" s="11" t="str">
        <f ca="1">INDEX(tblNormalTestIM[],MATCH(tblDistributionTests[[#This Row],[Rand]],tblNormalTestIM[Score],-1),2)</f>
        <v>Frank</v>
      </c>
    </row>
    <row r="609" spans="22:25" x14ac:dyDescent="0.2">
      <c r="V609" s="1">
        <f t="shared" ca="1" si="9"/>
        <v>0.84</v>
      </c>
      <c r="W609" s="1" t="str">
        <f ca="1">VLOOKUP(tblDistributionTests[[#This Row],[Rand]]+MIN(tblFairTest[Score]),tblFairTest[],2,TRUE)</f>
        <v>Todd</v>
      </c>
      <c r="X609" s="1" t="str">
        <f ca="1">VLOOKUP(tblDistributionTests[[#This Row],[Rand]],tblNormalTestVl[],2,TRUE)</f>
        <v>William</v>
      </c>
      <c r="Y609" s="11" t="str">
        <f ca="1">INDEX(tblNormalTestIM[],MATCH(tblDistributionTests[[#This Row],[Rand]],tblNormalTestIM[Score],-1),2)</f>
        <v>Frank</v>
      </c>
    </row>
    <row r="610" spans="22:25" x14ac:dyDescent="0.2">
      <c r="V610" s="1">
        <f t="shared" ca="1" si="9"/>
        <v>0.63</v>
      </c>
      <c r="W610" s="1" t="str">
        <f ca="1">VLOOKUP(tblDistributionTests[[#This Row],[Rand]]+MIN(tblFairTest[Score]),tblFairTest[],2,TRUE)</f>
        <v>Todd</v>
      </c>
      <c r="X610" s="1" t="str">
        <f ca="1">VLOOKUP(tblDistributionTests[[#This Row],[Rand]],tblNormalTestVl[],2,TRUE)</f>
        <v>Riley</v>
      </c>
      <c r="Y610" s="11" t="str">
        <f ca="1">INDEX(tblNormalTestIM[],MATCH(tblDistributionTests[[#This Row],[Rand]],tblNormalTestIM[Score],-1),2)</f>
        <v>Luke</v>
      </c>
    </row>
    <row r="611" spans="22:25" x14ac:dyDescent="0.2">
      <c r="V611" s="1">
        <f t="shared" ca="1" si="9"/>
        <v>0.01</v>
      </c>
      <c r="W611" s="1" t="e">
        <f ca="1">VLOOKUP(tblDistributionTests[[#This Row],[Rand]]+MIN(tblFairTest[Score]),tblFairTest[],2,TRUE)</f>
        <v>#N/A</v>
      </c>
      <c r="X611" s="1" t="e">
        <f ca="1">VLOOKUP(tblDistributionTests[[#This Row],[Rand]],tblNormalTestVl[],2,TRUE)</f>
        <v>#N/A</v>
      </c>
      <c r="Y611" s="11" t="str">
        <f ca="1">INDEX(tblNormalTestIM[],MATCH(tblDistributionTests[[#This Row],[Rand]],tblNormalTestIM[Score],-1),2)</f>
        <v>Chuck</v>
      </c>
    </row>
    <row r="612" spans="22:25" x14ac:dyDescent="0.2">
      <c r="V612" s="1">
        <f t="shared" ca="1" si="9"/>
        <v>0.51</v>
      </c>
      <c r="W612" s="1" t="str">
        <f ca="1">VLOOKUP(tblDistributionTests[[#This Row],[Rand]]+MIN(tblFairTest[Score]),tblFairTest[],2,TRUE)</f>
        <v>Todd</v>
      </c>
      <c r="X612" s="1" t="str">
        <f ca="1">VLOOKUP(tblDistributionTests[[#This Row],[Rand]],tblNormalTestVl[],2,TRUE)</f>
        <v>Riley</v>
      </c>
      <c r="Y612" s="11" t="str">
        <f ca="1">INDEX(tblNormalTestIM[],MATCH(tblDistributionTests[[#This Row],[Rand]],tblNormalTestIM[Score],-1),2)</f>
        <v>Luke</v>
      </c>
    </row>
    <row r="613" spans="22:25" x14ac:dyDescent="0.2">
      <c r="V613" s="1">
        <f t="shared" ca="1" si="9"/>
        <v>0.4</v>
      </c>
      <c r="W613" s="1" t="e">
        <f ca="1">VLOOKUP(tblDistributionTests[[#This Row],[Rand]]+MIN(tblFairTest[Score]),tblFairTest[],2,TRUE)</f>
        <v>#N/A</v>
      </c>
      <c r="X613" s="1" t="str">
        <f ca="1">VLOOKUP(tblDistributionTests[[#This Row],[Rand]],tblNormalTestVl[],2,TRUE)</f>
        <v>Luke</v>
      </c>
      <c r="Y613" s="11" t="str">
        <f ca="1">INDEX(tblNormalTestIM[],MATCH(tblDistributionTests[[#This Row],[Rand]],tblNormalTestIM[Score],-1),2)</f>
        <v>Riley</v>
      </c>
    </row>
    <row r="614" spans="22:25" x14ac:dyDescent="0.2">
      <c r="V614" s="1">
        <f t="shared" ca="1" si="9"/>
        <v>0.88</v>
      </c>
      <c r="W614" s="1" t="str">
        <f ca="1">VLOOKUP(tblDistributionTests[[#This Row],[Rand]]+MIN(tblFairTest[Score]),tblFairTest[],2,TRUE)</f>
        <v>Todd</v>
      </c>
      <c r="X614" s="1" t="str">
        <f ca="1">VLOOKUP(tblDistributionTests[[#This Row],[Rand]],tblNormalTestVl[],2,TRUE)</f>
        <v>William</v>
      </c>
      <c r="Y614" s="11" t="str">
        <f ca="1">INDEX(tblNormalTestIM[],MATCH(tblDistributionTests[[#This Row],[Rand]],tblNormalTestIM[Score],-1),2)</f>
        <v>Frank</v>
      </c>
    </row>
    <row r="615" spans="22:25" x14ac:dyDescent="0.2">
      <c r="V615" s="1">
        <f t="shared" ca="1" si="9"/>
        <v>0.2</v>
      </c>
      <c r="W615" s="1" t="e">
        <f ca="1">VLOOKUP(tblDistributionTests[[#This Row],[Rand]]+MIN(tblFairTest[Score]),tblFairTest[],2,TRUE)</f>
        <v>#N/A</v>
      </c>
      <c r="X615" s="1" t="str">
        <f ca="1">VLOOKUP(tblDistributionTests[[#This Row],[Rand]],tblNormalTestVl[],2,TRUE)</f>
        <v>Frank</v>
      </c>
      <c r="Y615" s="11" t="str">
        <f ca="1">INDEX(tblNormalTestIM[],MATCH(tblDistributionTests[[#This Row],[Rand]],tblNormalTestIM[Score],-1),2)</f>
        <v>William</v>
      </c>
    </row>
    <row r="616" spans="22:25" x14ac:dyDescent="0.2">
      <c r="V616" s="1">
        <f t="shared" ca="1" si="9"/>
        <v>0.1</v>
      </c>
      <c r="W616" s="1" t="e">
        <f ca="1">VLOOKUP(tblDistributionTests[[#This Row],[Rand]]+MIN(tblFairTest[Score]),tblFairTest[],2,TRUE)</f>
        <v>#N/A</v>
      </c>
      <c r="X616" s="1" t="str">
        <f ca="1">VLOOKUP(tblDistributionTests[[#This Row],[Rand]],tblNormalTestVl[],2,TRUE)</f>
        <v>Frank</v>
      </c>
      <c r="Y616" s="11" t="str">
        <f ca="1">INDEX(tblNormalTestIM[],MATCH(tblDistributionTests[[#This Row],[Rand]],tblNormalTestIM[Score],-1),2)</f>
        <v>William</v>
      </c>
    </row>
    <row r="617" spans="22:25" x14ac:dyDescent="0.2">
      <c r="V617" s="1">
        <f t="shared" ca="1" si="9"/>
        <v>0.09</v>
      </c>
      <c r="W617" s="1" t="e">
        <f ca="1">VLOOKUP(tblDistributionTests[[#This Row],[Rand]]+MIN(tblFairTest[Score]),tblFairTest[],2,TRUE)</f>
        <v>#N/A</v>
      </c>
      <c r="X617" s="1" t="str">
        <f ca="1">VLOOKUP(tblDistributionTests[[#This Row],[Rand]],tblNormalTestVl[],2,TRUE)</f>
        <v>Frank</v>
      </c>
      <c r="Y617" s="11" t="str">
        <f ca="1">INDEX(tblNormalTestIM[],MATCH(tblDistributionTests[[#This Row],[Rand]],tblNormalTestIM[Score],-1),2)</f>
        <v>William</v>
      </c>
    </row>
    <row r="618" spans="22:25" x14ac:dyDescent="0.2">
      <c r="V618" s="1">
        <f t="shared" ca="1" si="9"/>
        <v>0.48</v>
      </c>
      <c r="W618" s="1" t="e">
        <f ca="1">VLOOKUP(tblDistributionTests[[#This Row],[Rand]]+MIN(tblFairTest[Score]),tblFairTest[],2,TRUE)</f>
        <v>#N/A</v>
      </c>
      <c r="X618" s="1" t="str">
        <f ca="1">VLOOKUP(tblDistributionTests[[#This Row],[Rand]],tblNormalTestVl[],2,TRUE)</f>
        <v>Luke</v>
      </c>
      <c r="Y618" s="11" t="str">
        <f ca="1">INDEX(tblNormalTestIM[],MATCH(tblDistributionTests[[#This Row],[Rand]],tblNormalTestIM[Score],-1),2)</f>
        <v>Riley</v>
      </c>
    </row>
    <row r="619" spans="22:25" x14ac:dyDescent="0.2">
      <c r="V619" s="1">
        <f t="shared" ca="1" si="9"/>
        <v>0.2</v>
      </c>
      <c r="W619" s="1" t="e">
        <f ca="1">VLOOKUP(tblDistributionTests[[#This Row],[Rand]]+MIN(tblFairTest[Score]),tblFairTest[],2,TRUE)</f>
        <v>#N/A</v>
      </c>
      <c r="X619" s="1" t="str">
        <f ca="1">VLOOKUP(tblDistributionTests[[#This Row],[Rand]],tblNormalTestVl[],2,TRUE)</f>
        <v>Frank</v>
      </c>
      <c r="Y619" s="11" t="str">
        <f ca="1">INDEX(tblNormalTestIM[],MATCH(tblDistributionTests[[#This Row],[Rand]],tblNormalTestIM[Score],-1),2)</f>
        <v>William</v>
      </c>
    </row>
    <row r="620" spans="22:25" x14ac:dyDescent="0.2">
      <c r="V620" s="1">
        <f t="shared" ca="1" si="9"/>
        <v>0.74</v>
      </c>
      <c r="W620" s="1" t="str">
        <f ca="1">VLOOKUP(tblDistributionTests[[#This Row],[Rand]]+MIN(tblFairTest[Score]),tblFairTest[],2,TRUE)</f>
        <v>Todd</v>
      </c>
      <c r="X620" s="1" t="str">
        <f ca="1">VLOOKUP(tblDistributionTests[[#This Row],[Rand]],tblNormalTestVl[],2,TRUE)</f>
        <v>Riley</v>
      </c>
      <c r="Y620" s="11" t="str">
        <f ca="1">INDEX(tblNormalTestIM[],MATCH(tblDistributionTests[[#This Row],[Rand]],tblNormalTestIM[Score],-1),2)</f>
        <v>Luke</v>
      </c>
    </row>
    <row r="621" spans="22:25" x14ac:dyDescent="0.2">
      <c r="V621" s="1">
        <f t="shared" ca="1" si="9"/>
        <v>0.96</v>
      </c>
      <c r="W621" s="1" t="str">
        <f ca="1">VLOOKUP(tblDistributionTests[[#This Row],[Rand]]+MIN(tblFairTest[Score]),tblFairTest[],2,TRUE)</f>
        <v>Todd</v>
      </c>
      <c r="X621" s="1" t="str">
        <f ca="1">VLOOKUP(tblDistributionTests[[#This Row],[Rand]],tblNormalTestVl[],2,TRUE)</f>
        <v>Eric</v>
      </c>
      <c r="Y621" s="11" t="str">
        <f ca="1">INDEX(tblNormalTestIM[],MATCH(tblDistributionTests[[#This Row],[Rand]],tblNormalTestIM[Score],-1),2)</f>
        <v>Bill</v>
      </c>
    </row>
    <row r="622" spans="22:25" x14ac:dyDescent="0.2">
      <c r="V622" s="1">
        <f t="shared" ca="1" si="9"/>
        <v>0.44</v>
      </c>
      <c r="W622" s="1" t="e">
        <f ca="1">VLOOKUP(tblDistributionTests[[#This Row],[Rand]]+MIN(tblFairTest[Score]),tblFairTest[],2,TRUE)</f>
        <v>#N/A</v>
      </c>
      <c r="X622" s="1" t="str">
        <f ca="1">VLOOKUP(tblDistributionTests[[#This Row],[Rand]],tblNormalTestVl[],2,TRUE)</f>
        <v>Luke</v>
      </c>
      <c r="Y622" s="11" t="str">
        <f ca="1">INDEX(tblNormalTestIM[],MATCH(tblDistributionTests[[#This Row],[Rand]],tblNormalTestIM[Score],-1),2)</f>
        <v>Riley</v>
      </c>
    </row>
    <row r="623" spans="22:25" x14ac:dyDescent="0.2">
      <c r="V623" s="1">
        <f t="shared" ca="1" si="9"/>
        <v>0.44</v>
      </c>
      <c r="W623" s="1" t="e">
        <f ca="1">VLOOKUP(tblDistributionTests[[#This Row],[Rand]]+MIN(tblFairTest[Score]),tblFairTest[],2,TRUE)</f>
        <v>#N/A</v>
      </c>
      <c r="X623" s="1" t="str">
        <f ca="1">VLOOKUP(tblDistributionTests[[#This Row],[Rand]],tblNormalTestVl[],2,TRUE)</f>
        <v>Luke</v>
      </c>
      <c r="Y623" s="11" t="str">
        <f ca="1">INDEX(tblNormalTestIM[],MATCH(tblDistributionTests[[#This Row],[Rand]],tblNormalTestIM[Score],-1),2)</f>
        <v>Riley</v>
      </c>
    </row>
    <row r="624" spans="22:25" x14ac:dyDescent="0.2">
      <c r="V624" s="1">
        <f t="shared" ca="1" si="9"/>
        <v>0.37</v>
      </c>
      <c r="W624" s="1" t="e">
        <f ca="1">VLOOKUP(tblDistributionTests[[#This Row],[Rand]]+MIN(tblFairTest[Score]),tblFairTest[],2,TRUE)</f>
        <v>#N/A</v>
      </c>
      <c r="X624" s="1" t="str">
        <f ca="1">VLOOKUP(tblDistributionTests[[#This Row],[Rand]],tblNormalTestVl[],2,TRUE)</f>
        <v>Luke</v>
      </c>
      <c r="Y624" s="11" t="str">
        <f ca="1">INDEX(tblNormalTestIM[],MATCH(tblDistributionTests[[#This Row],[Rand]],tblNormalTestIM[Score],-1),2)</f>
        <v>Riley</v>
      </c>
    </row>
    <row r="625" spans="22:25" x14ac:dyDescent="0.2">
      <c r="V625" s="1">
        <f t="shared" ca="1" si="9"/>
        <v>0.13</v>
      </c>
      <c r="W625" s="1" t="e">
        <f ca="1">VLOOKUP(tblDistributionTests[[#This Row],[Rand]]+MIN(tblFairTest[Score]),tblFairTest[],2,TRUE)</f>
        <v>#N/A</v>
      </c>
      <c r="X625" s="1" t="str">
        <f ca="1">VLOOKUP(tblDistributionTests[[#This Row],[Rand]],tblNormalTestVl[],2,TRUE)</f>
        <v>Frank</v>
      </c>
      <c r="Y625" s="11" t="str">
        <f ca="1">INDEX(tblNormalTestIM[],MATCH(tblDistributionTests[[#This Row],[Rand]],tblNormalTestIM[Score],-1),2)</f>
        <v>William</v>
      </c>
    </row>
    <row r="626" spans="22:25" x14ac:dyDescent="0.2">
      <c r="V626" s="1">
        <f t="shared" ca="1" si="9"/>
        <v>0.46</v>
      </c>
      <c r="W626" s="1" t="e">
        <f ca="1">VLOOKUP(tblDistributionTests[[#This Row],[Rand]]+MIN(tblFairTest[Score]),tblFairTest[],2,TRUE)</f>
        <v>#N/A</v>
      </c>
      <c r="X626" s="1" t="str">
        <f ca="1">VLOOKUP(tblDistributionTests[[#This Row],[Rand]],tblNormalTestVl[],2,TRUE)</f>
        <v>Luke</v>
      </c>
      <c r="Y626" s="11" t="str">
        <f ca="1">INDEX(tblNormalTestIM[],MATCH(tblDistributionTests[[#This Row],[Rand]],tblNormalTestIM[Score],-1),2)</f>
        <v>Riley</v>
      </c>
    </row>
    <row r="627" spans="22:25" x14ac:dyDescent="0.2">
      <c r="V627" s="1">
        <f t="shared" ca="1" si="9"/>
        <v>0.72</v>
      </c>
      <c r="W627" s="1" t="str">
        <f ca="1">VLOOKUP(tblDistributionTests[[#This Row],[Rand]]+MIN(tblFairTest[Score]),tblFairTest[],2,TRUE)</f>
        <v>Todd</v>
      </c>
      <c r="X627" s="1" t="str">
        <f ca="1">VLOOKUP(tblDistributionTests[[#This Row],[Rand]],tblNormalTestVl[],2,TRUE)</f>
        <v>Riley</v>
      </c>
      <c r="Y627" s="11" t="str">
        <f ca="1">INDEX(tblNormalTestIM[],MATCH(tblDistributionTests[[#This Row],[Rand]],tblNormalTestIM[Score],-1),2)</f>
        <v>Luke</v>
      </c>
    </row>
    <row r="628" spans="22:25" x14ac:dyDescent="0.2">
      <c r="V628" s="1">
        <f t="shared" ca="1" si="9"/>
        <v>0.75</v>
      </c>
      <c r="W628" s="1" t="str">
        <f ca="1">VLOOKUP(tblDistributionTests[[#This Row],[Rand]]+MIN(tblFairTest[Score]),tblFairTest[],2,TRUE)</f>
        <v>Todd</v>
      </c>
      <c r="X628" s="1" t="str">
        <f ca="1">VLOOKUP(tblDistributionTests[[#This Row],[Rand]],tblNormalTestVl[],2,TRUE)</f>
        <v>Riley</v>
      </c>
      <c r="Y628" s="11" t="str">
        <f ca="1">INDEX(tblNormalTestIM[],MATCH(tblDistributionTests[[#This Row],[Rand]],tblNormalTestIM[Score],-1),2)</f>
        <v>Luke</v>
      </c>
    </row>
    <row r="629" spans="22:25" x14ac:dyDescent="0.2">
      <c r="V629" s="1">
        <f t="shared" ca="1" si="9"/>
        <v>0.03</v>
      </c>
      <c r="W629" s="1" t="e">
        <f ca="1">VLOOKUP(tblDistributionTests[[#This Row],[Rand]]+MIN(tblFairTest[Score]),tblFairTest[],2,TRUE)</f>
        <v>#N/A</v>
      </c>
      <c r="X629" s="1" t="str">
        <f ca="1">VLOOKUP(tblDistributionTests[[#This Row],[Rand]],tblNormalTestVl[],2,TRUE)</f>
        <v>Bill</v>
      </c>
      <c r="Y629" s="11" t="str">
        <f ca="1">INDEX(tblNormalTestIM[],MATCH(tblDistributionTests[[#This Row],[Rand]],tblNormalTestIM[Score],-1),2)</f>
        <v>Eric</v>
      </c>
    </row>
    <row r="630" spans="22:25" x14ac:dyDescent="0.2">
      <c r="V630" s="1">
        <f t="shared" ca="1" si="9"/>
        <v>0.28999999999999998</v>
      </c>
      <c r="W630" s="1" t="e">
        <f ca="1">VLOOKUP(tblDistributionTests[[#This Row],[Rand]]+MIN(tblFairTest[Score]),tblFairTest[],2,TRUE)</f>
        <v>#N/A</v>
      </c>
      <c r="X630" s="1" t="str">
        <f ca="1">VLOOKUP(tblDistributionTests[[#This Row],[Rand]],tblNormalTestVl[],2,TRUE)</f>
        <v>Luke</v>
      </c>
      <c r="Y630" s="11" t="str">
        <f ca="1">INDEX(tblNormalTestIM[],MATCH(tblDistributionTests[[#This Row],[Rand]],tblNormalTestIM[Score],-1),2)</f>
        <v>Riley</v>
      </c>
    </row>
    <row r="631" spans="22:25" x14ac:dyDescent="0.2">
      <c r="V631" s="1">
        <f t="shared" ca="1" si="9"/>
        <v>0.76</v>
      </c>
      <c r="W631" s="1" t="str">
        <f ca="1">VLOOKUP(tblDistributionTests[[#This Row],[Rand]]+MIN(tblFairTest[Score]),tblFairTest[],2,TRUE)</f>
        <v>Todd</v>
      </c>
      <c r="X631" s="1" t="str">
        <f ca="1">VLOOKUP(tblDistributionTests[[#This Row],[Rand]],tblNormalTestVl[],2,TRUE)</f>
        <v>Riley</v>
      </c>
      <c r="Y631" s="11" t="str">
        <f ca="1">INDEX(tblNormalTestIM[],MATCH(tblDistributionTests[[#This Row],[Rand]],tblNormalTestIM[Score],-1),2)</f>
        <v>Luke</v>
      </c>
    </row>
    <row r="632" spans="22:25" x14ac:dyDescent="0.2">
      <c r="V632" s="1">
        <f t="shared" ca="1" si="9"/>
        <v>0.66</v>
      </c>
      <c r="W632" s="1" t="str">
        <f ca="1">VLOOKUP(tblDistributionTests[[#This Row],[Rand]]+MIN(tblFairTest[Score]),tblFairTest[],2,TRUE)</f>
        <v>Todd</v>
      </c>
      <c r="X632" s="1" t="str">
        <f ca="1">VLOOKUP(tblDistributionTests[[#This Row],[Rand]],tblNormalTestVl[],2,TRUE)</f>
        <v>Riley</v>
      </c>
      <c r="Y632" s="11" t="str">
        <f ca="1">INDEX(tblNormalTestIM[],MATCH(tblDistributionTests[[#This Row],[Rand]],tblNormalTestIM[Score],-1),2)</f>
        <v>Luke</v>
      </c>
    </row>
    <row r="633" spans="22:25" x14ac:dyDescent="0.2">
      <c r="V633" s="1">
        <f t="shared" ca="1" si="9"/>
        <v>0.82</v>
      </c>
      <c r="W633" s="1" t="str">
        <f ca="1">VLOOKUP(tblDistributionTests[[#This Row],[Rand]]+MIN(tblFairTest[Score]),tblFairTest[],2,TRUE)</f>
        <v>Todd</v>
      </c>
      <c r="X633" s="1" t="str">
        <f ca="1">VLOOKUP(tblDistributionTests[[#This Row],[Rand]],tblNormalTestVl[],2,TRUE)</f>
        <v>William</v>
      </c>
      <c r="Y633" s="11" t="str">
        <f ca="1">INDEX(tblNormalTestIM[],MATCH(tblDistributionTests[[#This Row],[Rand]],tblNormalTestIM[Score],-1),2)</f>
        <v>Frank</v>
      </c>
    </row>
    <row r="634" spans="22:25" x14ac:dyDescent="0.2">
      <c r="V634" s="1">
        <f t="shared" ca="1" si="9"/>
        <v>0.41</v>
      </c>
      <c r="W634" s="1" t="e">
        <f ca="1">VLOOKUP(tblDistributionTests[[#This Row],[Rand]]+MIN(tblFairTest[Score]),tblFairTest[],2,TRUE)</f>
        <v>#N/A</v>
      </c>
      <c r="X634" s="1" t="str">
        <f ca="1">VLOOKUP(tblDistributionTests[[#This Row],[Rand]],tblNormalTestVl[],2,TRUE)</f>
        <v>Luke</v>
      </c>
      <c r="Y634" s="11" t="str">
        <f ca="1">INDEX(tblNormalTestIM[],MATCH(tblDistributionTests[[#This Row],[Rand]],tblNormalTestIM[Score],-1),2)</f>
        <v>Riley</v>
      </c>
    </row>
    <row r="635" spans="22:25" x14ac:dyDescent="0.2">
      <c r="V635" s="1">
        <f t="shared" ca="1" si="9"/>
        <v>0.86</v>
      </c>
      <c r="W635" s="1" t="str">
        <f ca="1">VLOOKUP(tblDistributionTests[[#This Row],[Rand]]+MIN(tblFairTest[Score]),tblFairTest[],2,TRUE)</f>
        <v>Todd</v>
      </c>
      <c r="X635" s="1" t="str">
        <f ca="1">VLOOKUP(tblDistributionTests[[#This Row],[Rand]],tblNormalTestVl[],2,TRUE)</f>
        <v>William</v>
      </c>
      <c r="Y635" s="11" t="str">
        <f ca="1">INDEX(tblNormalTestIM[],MATCH(tblDistributionTests[[#This Row],[Rand]],tblNormalTestIM[Score],-1),2)</f>
        <v>Frank</v>
      </c>
    </row>
    <row r="636" spans="22:25" x14ac:dyDescent="0.2">
      <c r="V636" s="1">
        <f t="shared" ca="1" si="9"/>
        <v>0.78</v>
      </c>
      <c r="W636" s="1" t="str">
        <f ca="1">VLOOKUP(tblDistributionTests[[#This Row],[Rand]]+MIN(tblFairTest[Score]),tblFairTest[],2,TRUE)</f>
        <v>Todd</v>
      </c>
      <c r="X636" s="1" t="str">
        <f ca="1">VLOOKUP(tblDistributionTests[[#This Row],[Rand]],tblNormalTestVl[],2,TRUE)</f>
        <v>William</v>
      </c>
      <c r="Y636" s="11" t="str">
        <f ca="1">INDEX(tblNormalTestIM[],MATCH(tblDistributionTests[[#This Row],[Rand]],tblNormalTestIM[Score],-1),2)</f>
        <v>Frank</v>
      </c>
    </row>
    <row r="637" spans="22:25" x14ac:dyDescent="0.2">
      <c r="V637" s="1">
        <f t="shared" ca="1" si="9"/>
        <v>0.76</v>
      </c>
      <c r="W637" s="1" t="str">
        <f ca="1">VLOOKUP(tblDistributionTests[[#This Row],[Rand]]+MIN(tblFairTest[Score]),tblFairTest[],2,TRUE)</f>
        <v>Todd</v>
      </c>
      <c r="X637" s="1" t="str">
        <f ca="1">VLOOKUP(tblDistributionTests[[#This Row],[Rand]],tblNormalTestVl[],2,TRUE)</f>
        <v>Riley</v>
      </c>
      <c r="Y637" s="11" t="str">
        <f ca="1">INDEX(tblNormalTestIM[],MATCH(tblDistributionTests[[#This Row],[Rand]],tblNormalTestIM[Score],-1),2)</f>
        <v>Luke</v>
      </c>
    </row>
    <row r="638" spans="22:25" x14ac:dyDescent="0.2">
      <c r="V638" s="1">
        <f t="shared" ca="1" si="9"/>
        <v>0.95</v>
      </c>
      <c r="W638" s="1" t="str">
        <f ca="1">VLOOKUP(tblDistributionTests[[#This Row],[Rand]]+MIN(tblFairTest[Score]),tblFairTest[],2,TRUE)</f>
        <v>Todd</v>
      </c>
      <c r="X638" s="1" t="str">
        <f ca="1">VLOOKUP(tblDistributionTests[[#This Row],[Rand]],tblNormalTestVl[],2,TRUE)</f>
        <v>Eric</v>
      </c>
      <c r="Y638" s="11" t="str">
        <f ca="1">INDEX(tblNormalTestIM[],MATCH(tblDistributionTests[[#This Row],[Rand]],tblNormalTestIM[Score],-1),2)</f>
        <v>Bill</v>
      </c>
    </row>
    <row r="639" spans="22:25" x14ac:dyDescent="0.2">
      <c r="V639" s="1">
        <f t="shared" ca="1" si="9"/>
        <v>0.99</v>
      </c>
      <c r="W639" s="1" t="str">
        <f ca="1">VLOOKUP(tblDistributionTests[[#This Row],[Rand]]+MIN(tblFairTest[Score]),tblFairTest[],2,TRUE)</f>
        <v>Todd</v>
      </c>
      <c r="X639" s="1" t="str">
        <f ca="1">VLOOKUP(tblDistributionTests[[#This Row],[Rand]],tblNormalTestVl[],2,TRUE)</f>
        <v>Chuck</v>
      </c>
      <c r="Y639" s="11" t="e">
        <f ca="1">INDEX(tblNormalTestIM[],MATCH(tblDistributionTests[[#This Row],[Rand]],tblNormalTestIM[Score],-1),2)</f>
        <v>#N/A</v>
      </c>
    </row>
    <row r="640" spans="22:25" x14ac:dyDescent="0.2">
      <c r="V640" s="1">
        <f t="shared" ca="1" si="9"/>
        <v>0.44</v>
      </c>
      <c r="W640" s="1" t="e">
        <f ca="1">VLOOKUP(tblDistributionTests[[#This Row],[Rand]]+MIN(tblFairTest[Score]),tblFairTest[],2,TRUE)</f>
        <v>#N/A</v>
      </c>
      <c r="X640" s="1" t="str">
        <f ca="1">VLOOKUP(tblDistributionTests[[#This Row],[Rand]],tblNormalTestVl[],2,TRUE)</f>
        <v>Luke</v>
      </c>
      <c r="Y640" s="11" t="str">
        <f ca="1">INDEX(tblNormalTestIM[],MATCH(tblDistributionTests[[#This Row],[Rand]],tblNormalTestIM[Score],-1),2)</f>
        <v>Riley</v>
      </c>
    </row>
    <row r="641" spans="22:25" x14ac:dyDescent="0.2">
      <c r="V641" s="1">
        <f t="shared" ca="1" si="9"/>
        <v>0.98</v>
      </c>
      <c r="W641" s="1" t="str">
        <f ca="1">VLOOKUP(tblDistributionTests[[#This Row],[Rand]]+MIN(tblFairTest[Score]),tblFairTest[],2,TRUE)</f>
        <v>Todd</v>
      </c>
      <c r="X641" s="1" t="str">
        <f ca="1">VLOOKUP(tblDistributionTests[[#This Row],[Rand]],tblNormalTestVl[],2,TRUE)</f>
        <v>Eric</v>
      </c>
      <c r="Y641" s="11" t="str">
        <f ca="1">INDEX(tblNormalTestIM[],MATCH(tblDistributionTests[[#This Row],[Rand]],tblNormalTestIM[Score],-1),2)</f>
        <v>Bill</v>
      </c>
    </row>
    <row r="642" spans="22:25" x14ac:dyDescent="0.2">
      <c r="V642" s="1">
        <f t="shared" ca="1" si="9"/>
        <v>0.5</v>
      </c>
      <c r="W642" s="1" t="str">
        <f ca="1">VLOOKUP(tblDistributionTests[[#This Row],[Rand]]+MIN(tblFairTest[Score]),tblFairTest[],2,TRUE)</f>
        <v>Riley</v>
      </c>
      <c r="X642" s="1" t="str">
        <f ca="1">VLOOKUP(tblDistributionTests[[#This Row],[Rand]],tblNormalTestVl[],2,TRUE)</f>
        <v>Riley</v>
      </c>
      <c r="Y642" s="11" t="str">
        <f ca="1">INDEX(tblNormalTestIM[],MATCH(tblDistributionTests[[#This Row],[Rand]],tblNormalTestIM[Score],-1),2)</f>
        <v>Riley</v>
      </c>
    </row>
    <row r="643" spans="22:25" x14ac:dyDescent="0.2">
      <c r="V643" s="1">
        <f t="shared" ca="1" si="9"/>
        <v>0.45</v>
      </c>
      <c r="W643" s="1" t="e">
        <f ca="1">VLOOKUP(tblDistributionTests[[#This Row],[Rand]]+MIN(tblFairTest[Score]),tblFairTest[],2,TRUE)</f>
        <v>#N/A</v>
      </c>
      <c r="X643" s="1" t="str">
        <f ca="1">VLOOKUP(tblDistributionTests[[#This Row],[Rand]],tblNormalTestVl[],2,TRUE)</f>
        <v>Luke</v>
      </c>
      <c r="Y643" s="11" t="str">
        <f ca="1">INDEX(tblNormalTestIM[],MATCH(tblDistributionTests[[#This Row],[Rand]],tblNormalTestIM[Score],-1),2)</f>
        <v>Riley</v>
      </c>
    </row>
    <row r="644" spans="22:25" x14ac:dyDescent="0.2">
      <c r="V644" s="1">
        <f t="shared" ca="1" si="9"/>
        <v>0.53</v>
      </c>
      <c r="W644" s="1" t="str">
        <f ca="1">VLOOKUP(tblDistributionTests[[#This Row],[Rand]]+MIN(tblFairTest[Score]),tblFairTest[],2,TRUE)</f>
        <v>Todd</v>
      </c>
      <c r="X644" s="1" t="str">
        <f ca="1">VLOOKUP(tblDistributionTests[[#This Row],[Rand]],tblNormalTestVl[],2,TRUE)</f>
        <v>Riley</v>
      </c>
      <c r="Y644" s="11" t="str">
        <f ca="1">INDEX(tblNormalTestIM[],MATCH(tblDistributionTests[[#This Row],[Rand]],tblNormalTestIM[Score],-1),2)</f>
        <v>Luke</v>
      </c>
    </row>
    <row r="645" spans="22:25" x14ac:dyDescent="0.2">
      <c r="V645" s="1">
        <f t="shared" ca="1" si="9"/>
        <v>0.42</v>
      </c>
      <c r="W645" s="1" t="e">
        <f ca="1">VLOOKUP(tblDistributionTests[[#This Row],[Rand]]+MIN(tblFairTest[Score]),tblFairTest[],2,TRUE)</f>
        <v>#N/A</v>
      </c>
      <c r="X645" s="1" t="str">
        <f ca="1">VLOOKUP(tblDistributionTests[[#This Row],[Rand]],tblNormalTestVl[],2,TRUE)</f>
        <v>Luke</v>
      </c>
      <c r="Y645" s="11" t="str">
        <f ca="1">INDEX(tblNormalTestIM[],MATCH(tblDistributionTests[[#This Row],[Rand]],tblNormalTestIM[Score],-1),2)</f>
        <v>Riley</v>
      </c>
    </row>
    <row r="646" spans="22:25" x14ac:dyDescent="0.2">
      <c r="V646" s="1">
        <f t="shared" ca="1" si="9"/>
        <v>0.81</v>
      </c>
      <c r="W646" s="1" t="str">
        <f ca="1">VLOOKUP(tblDistributionTests[[#This Row],[Rand]]+MIN(tblFairTest[Score]),tblFairTest[],2,TRUE)</f>
        <v>Todd</v>
      </c>
      <c r="X646" s="1" t="str">
        <f ca="1">VLOOKUP(tblDistributionTests[[#This Row],[Rand]],tblNormalTestVl[],2,TRUE)</f>
        <v>William</v>
      </c>
      <c r="Y646" s="11" t="str">
        <f ca="1">INDEX(tblNormalTestIM[],MATCH(tblDistributionTests[[#This Row],[Rand]],tblNormalTestIM[Score],-1),2)</f>
        <v>Frank</v>
      </c>
    </row>
    <row r="647" spans="22:25" x14ac:dyDescent="0.2">
      <c r="V647" s="1">
        <f t="shared" ca="1" si="9"/>
        <v>0.32</v>
      </c>
      <c r="W647" s="1" t="e">
        <f ca="1">VLOOKUP(tblDistributionTests[[#This Row],[Rand]]+MIN(tblFairTest[Score]),tblFairTest[],2,TRUE)</f>
        <v>#N/A</v>
      </c>
      <c r="X647" s="1" t="str">
        <f ca="1">VLOOKUP(tblDistributionTests[[#This Row],[Rand]],tblNormalTestVl[],2,TRUE)</f>
        <v>Luke</v>
      </c>
      <c r="Y647" s="11" t="str">
        <f ca="1">INDEX(tblNormalTestIM[],MATCH(tblDistributionTests[[#This Row],[Rand]],tblNormalTestIM[Score],-1),2)</f>
        <v>Riley</v>
      </c>
    </row>
    <row r="648" spans="22:25" x14ac:dyDescent="0.2">
      <c r="V648" s="1">
        <f t="shared" ref="V648:V711" ca="1" si="10">RANDBETWEEN(1,100)/100</f>
        <v>0.24</v>
      </c>
      <c r="W648" s="1" t="e">
        <f ca="1">VLOOKUP(tblDistributionTests[[#This Row],[Rand]]+MIN(tblFairTest[Score]),tblFairTest[],2,TRUE)</f>
        <v>#N/A</v>
      </c>
      <c r="X648" s="1" t="str">
        <f ca="1">VLOOKUP(tblDistributionTests[[#This Row],[Rand]],tblNormalTestVl[],2,TRUE)</f>
        <v>Luke</v>
      </c>
      <c r="Y648" s="11" t="str">
        <f ca="1">INDEX(tblNormalTestIM[],MATCH(tblDistributionTests[[#This Row],[Rand]],tblNormalTestIM[Score],-1),2)</f>
        <v>Riley</v>
      </c>
    </row>
    <row r="649" spans="22:25" x14ac:dyDescent="0.2">
      <c r="V649" s="1">
        <f t="shared" ca="1" si="10"/>
        <v>0.18</v>
      </c>
      <c r="W649" s="1" t="e">
        <f ca="1">VLOOKUP(tblDistributionTests[[#This Row],[Rand]]+MIN(tblFairTest[Score]),tblFairTest[],2,TRUE)</f>
        <v>#N/A</v>
      </c>
      <c r="X649" s="1" t="str">
        <f ca="1">VLOOKUP(tblDistributionTests[[#This Row],[Rand]],tblNormalTestVl[],2,TRUE)</f>
        <v>Frank</v>
      </c>
      <c r="Y649" s="11" t="str">
        <f ca="1">INDEX(tblNormalTestIM[],MATCH(tblDistributionTests[[#This Row],[Rand]],tblNormalTestIM[Score],-1),2)</f>
        <v>William</v>
      </c>
    </row>
    <row r="650" spans="22:25" x14ac:dyDescent="0.2">
      <c r="V650" s="1">
        <f t="shared" ca="1" si="10"/>
        <v>0.46</v>
      </c>
      <c r="W650" s="1" t="e">
        <f ca="1">VLOOKUP(tblDistributionTests[[#This Row],[Rand]]+MIN(tblFairTest[Score]),tblFairTest[],2,TRUE)</f>
        <v>#N/A</v>
      </c>
      <c r="X650" s="1" t="str">
        <f ca="1">VLOOKUP(tblDistributionTests[[#This Row],[Rand]],tblNormalTestVl[],2,TRUE)</f>
        <v>Luke</v>
      </c>
      <c r="Y650" s="11" t="str">
        <f ca="1">INDEX(tblNormalTestIM[],MATCH(tblDistributionTests[[#This Row],[Rand]],tblNormalTestIM[Score],-1),2)</f>
        <v>Riley</v>
      </c>
    </row>
    <row r="651" spans="22:25" x14ac:dyDescent="0.2">
      <c r="V651" s="1">
        <f t="shared" ca="1" si="10"/>
        <v>0.65</v>
      </c>
      <c r="W651" s="1" t="str">
        <f ca="1">VLOOKUP(tblDistributionTests[[#This Row],[Rand]]+MIN(tblFairTest[Score]),tblFairTest[],2,TRUE)</f>
        <v>Todd</v>
      </c>
      <c r="X651" s="1" t="str">
        <f ca="1">VLOOKUP(tblDistributionTests[[#This Row],[Rand]],tblNormalTestVl[],2,TRUE)</f>
        <v>Riley</v>
      </c>
      <c r="Y651" s="11" t="str">
        <f ca="1">INDEX(tblNormalTestIM[],MATCH(tblDistributionTests[[#This Row],[Rand]],tblNormalTestIM[Score],-1),2)</f>
        <v>Luke</v>
      </c>
    </row>
    <row r="652" spans="22:25" x14ac:dyDescent="0.2">
      <c r="V652" s="1">
        <f t="shared" ca="1" si="10"/>
        <v>0.85</v>
      </c>
      <c r="W652" s="1" t="str">
        <f ca="1">VLOOKUP(tblDistributionTests[[#This Row],[Rand]]+MIN(tblFairTest[Score]),tblFairTest[],2,TRUE)</f>
        <v>Todd</v>
      </c>
      <c r="X652" s="1" t="str">
        <f ca="1">VLOOKUP(tblDistributionTests[[#This Row],[Rand]],tblNormalTestVl[],2,TRUE)</f>
        <v>William</v>
      </c>
      <c r="Y652" s="11" t="str">
        <f ca="1">INDEX(tblNormalTestIM[],MATCH(tblDistributionTests[[#This Row],[Rand]],tblNormalTestIM[Score],-1),2)</f>
        <v>Frank</v>
      </c>
    </row>
    <row r="653" spans="22:25" x14ac:dyDescent="0.2">
      <c r="V653" s="1">
        <f t="shared" ca="1" si="10"/>
        <v>0.23</v>
      </c>
      <c r="W653" s="1" t="e">
        <f ca="1">VLOOKUP(tblDistributionTests[[#This Row],[Rand]]+MIN(tblFairTest[Score]),tblFairTest[],2,TRUE)</f>
        <v>#N/A</v>
      </c>
      <c r="X653" s="1" t="str">
        <f ca="1">VLOOKUP(tblDistributionTests[[#This Row],[Rand]],tblNormalTestVl[],2,TRUE)</f>
        <v>Luke</v>
      </c>
      <c r="Y653" s="11" t="str">
        <f ca="1">INDEX(tblNormalTestIM[],MATCH(tblDistributionTests[[#This Row],[Rand]],tblNormalTestIM[Score],-1),2)</f>
        <v>Riley</v>
      </c>
    </row>
    <row r="654" spans="22:25" x14ac:dyDescent="0.2">
      <c r="V654" s="1">
        <f t="shared" ca="1" si="10"/>
        <v>0.55000000000000004</v>
      </c>
      <c r="W654" s="1" t="str">
        <f ca="1">VLOOKUP(tblDistributionTests[[#This Row],[Rand]]+MIN(tblFairTest[Score]),tblFairTest[],2,TRUE)</f>
        <v>Todd</v>
      </c>
      <c r="X654" s="1" t="str">
        <f ca="1">VLOOKUP(tblDistributionTests[[#This Row],[Rand]],tblNormalTestVl[],2,TRUE)</f>
        <v>Riley</v>
      </c>
      <c r="Y654" s="11" t="str">
        <f ca="1">INDEX(tblNormalTestIM[],MATCH(tblDistributionTests[[#This Row],[Rand]],tblNormalTestIM[Score],-1),2)</f>
        <v>Luke</v>
      </c>
    </row>
    <row r="655" spans="22:25" x14ac:dyDescent="0.2">
      <c r="V655" s="1">
        <f t="shared" ca="1" si="10"/>
        <v>0.35</v>
      </c>
      <c r="W655" s="1" t="e">
        <f ca="1">VLOOKUP(tblDistributionTests[[#This Row],[Rand]]+MIN(tblFairTest[Score]),tblFairTest[],2,TRUE)</f>
        <v>#N/A</v>
      </c>
      <c r="X655" s="1" t="str">
        <f ca="1">VLOOKUP(tblDistributionTests[[#This Row],[Rand]],tblNormalTestVl[],2,TRUE)</f>
        <v>Luke</v>
      </c>
      <c r="Y655" s="11" t="str">
        <f ca="1">INDEX(tblNormalTestIM[],MATCH(tblDistributionTests[[#This Row],[Rand]],tblNormalTestIM[Score],-1),2)</f>
        <v>Riley</v>
      </c>
    </row>
    <row r="656" spans="22:25" x14ac:dyDescent="0.2">
      <c r="V656" s="1">
        <f t="shared" ca="1" si="10"/>
        <v>0.72</v>
      </c>
      <c r="W656" s="1" t="str">
        <f ca="1">VLOOKUP(tblDistributionTests[[#This Row],[Rand]]+MIN(tblFairTest[Score]),tblFairTest[],2,TRUE)</f>
        <v>Todd</v>
      </c>
      <c r="X656" s="1" t="str">
        <f ca="1">VLOOKUP(tblDistributionTests[[#This Row],[Rand]],tblNormalTestVl[],2,TRUE)</f>
        <v>Riley</v>
      </c>
      <c r="Y656" s="11" t="str">
        <f ca="1">INDEX(tblNormalTestIM[],MATCH(tblDistributionTests[[#This Row],[Rand]],tblNormalTestIM[Score],-1),2)</f>
        <v>Luke</v>
      </c>
    </row>
    <row r="657" spans="22:25" x14ac:dyDescent="0.2">
      <c r="V657" s="1">
        <f t="shared" ca="1" si="10"/>
        <v>0.39</v>
      </c>
      <c r="W657" s="1" t="e">
        <f ca="1">VLOOKUP(tblDistributionTests[[#This Row],[Rand]]+MIN(tblFairTest[Score]),tblFairTest[],2,TRUE)</f>
        <v>#N/A</v>
      </c>
      <c r="X657" s="1" t="str">
        <f ca="1">VLOOKUP(tblDistributionTests[[#This Row],[Rand]],tblNormalTestVl[],2,TRUE)</f>
        <v>Luke</v>
      </c>
      <c r="Y657" s="11" t="str">
        <f ca="1">INDEX(tblNormalTestIM[],MATCH(tblDistributionTests[[#This Row],[Rand]],tblNormalTestIM[Score],-1),2)</f>
        <v>Riley</v>
      </c>
    </row>
    <row r="658" spans="22:25" x14ac:dyDescent="0.2">
      <c r="V658" s="1">
        <f t="shared" ca="1" si="10"/>
        <v>0.75</v>
      </c>
      <c r="W658" s="1" t="str">
        <f ca="1">VLOOKUP(tblDistributionTests[[#This Row],[Rand]]+MIN(tblFairTest[Score]),tblFairTest[],2,TRUE)</f>
        <v>Todd</v>
      </c>
      <c r="X658" s="1" t="str">
        <f ca="1">VLOOKUP(tblDistributionTests[[#This Row],[Rand]],tblNormalTestVl[],2,TRUE)</f>
        <v>Riley</v>
      </c>
      <c r="Y658" s="11" t="str">
        <f ca="1">INDEX(tblNormalTestIM[],MATCH(tblDistributionTests[[#This Row],[Rand]],tblNormalTestIM[Score],-1),2)</f>
        <v>Luke</v>
      </c>
    </row>
    <row r="659" spans="22:25" x14ac:dyDescent="0.2">
      <c r="V659" s="1">
        <f t="shared" ca="1" si="10"/>
        <v>0.69</v>
      </c>
      <c r="W659" s="1" t="str">
        <f ca="1">VLOOKUP(tblDistributionTests[[#This Row],[Rand]]+MIN(tblFairTest[Score]),tblFairTest[],2,TRUE)</f>
        <v>Todd</v>
      </c>
      <c r="X659" s="1" t="str">
        <f ca="1">VLOOKUP(tblDistributionTests[[#This Row],[Rand]],tblNormalTestVl[],2,TRUE)</f>
        <v>Riley</v>
      </c>
      <c r="Y659" s="11" t="str">
        <f ca="1">INDEX(tblNormalTestIM[],MATCH(tblDistributionTests[[#This Row],[Rand]],tblNormalTestIM[Score],-1),2)</f>
        <v>Luke</v>
      </c>
    </row>
    <row r="660" spans="22:25" x14ac:dyDescent="0.2">
      <c r="V660" s="1">
        <f t="shared" ca="1" si="10"/>
        <v>0.11</v>
      </c>
      <c r="W660" s="1" t="e">
        <f ca="1">VLOOKUP(tblDistributionTests[[#This Row],[Rand]]+MIN(tblFairTest[Score]),tblFairTest[],2,TRUE)</f>
        <v>#N/A</v>
      </c>
      <c r="X660" s="1" t="str">
        <f ca="1">VLOOKUP(tblDistributionTests[[#This Row],[Rand]],tblNormalTestVl[],2,TRUE)</f>
        <v>Frank</v>
      </c>
      <c r="Y660" s="11" t="str">
        <f ca="1">INDEX(tblNormalTestIM[],MATCH(tblDistributionTests[[#This Row],[Rand]],tblNormalTestIM[Score],-1),2)</f>
        <v>William</v>
      </c>
    </row>
    <row r="661" spans="22:25" x14ac:dyDescent="0.2">
      <c r="V661" s="1">
        <f t="shared" ca="1" si="10"/>
        <v>0.47</v>
      </c>
      <c r="W661" s="1" t="e">
        <f ca="1">VLOOKUP(tblDistributionTests[[#This Row],[Rand]]+MIN(tblFairTest[Score]),tblFairTest[],2,TRUE)</f>
        <v>#N/A</v>
      </c>
      <c r="X661" s="1" t="str">
        <f ca="1">VLOOKUP(tblDistributionTests[[#This Row],[Rand]],tblNormalTestVl[],2,TRUE)</f>
        <v>Luke</v>
      </c>
      <c r="Y661" s="11" t="str">
        <f ca="1">INDEX(tblNormalTestIM[],MATCH(tblDistributionTests[[#This Row],[Rand]],tblNormalTestIM[Score],-1),2)</f>
        <v>Riley</v>
      </c>
    </row>
    <row r="662" spans="22:25" x14ac:dyDescent="0.2">
      <c r="V662" s="1">
        <f t="shared" ca="1" si="10"/>
        <v>0.33</v>
      </c>
      <c r="W662" s="1" t="e">
        <f ca="1">VLOOKUP(tblDistributionTests[[#This Row],[Rand]]+MIN(tblFairTest[Score]),tblFairTest[],2,TRUE)</f>
        <v>#N/A</v>
      </c>
      <c r="X662" s="1" t="str">
        <f ca="1">VLOOKUP(tblDistributionTests[[#This Row],[Rand]],tblNormalTestVl[],2,TRUE)</f>
        <v>Luke</v>
      </c>
      <c r="Y662" s="11" t="str">
        <f ca="1">INDEX(tblNormalTestIM[],MATCH(tblDistributionTests[[#This Row],[Rand]],tblNormalTestIM[Score],-1),2)</f>
        <v>Riley</v>
      </c>
    </row>
    <row r="663" spans="22:25" x14ac:dyDescent="0.2">
      <c r="V663" s="1">
        <f t="shared" ca="1" si="10"/>
        <v>0.8</v>
      </c>
      <c r="W663" s="1" t="str">
        <f ca="1">VLOOKUP(tblDistributionTests[[#This Row],[Rand]]+MIN(tblFairTest[Score]),tblFairTest[],2,TRUE)</f>
        <v>Todd</v>
      </c>
      <c r="X663" s="1" t="str">
        <f ca="1">VLOOKUP(tblDistributionTests[[#This Row],[Rand]],tblNormalTestVl[],2,TRUE)</f>
        <v>William</v>
      </c>
      <c r="Y663" s="11" t="str">
        <f ca="1">INDEX(tblNormalTestIM[],MATCH(tblDistributionTests[[#This Row],[Rand]],tblNormalTestIM[Score],-1),2)</f>
        <v>Frank</v>
      </c>
    </row>
    <row r="664" spans="22:25" x14ac:dyDescent="0.2">
      <c r="V664" s="1">
        <f t="shared" ca="1" si="10"/>
        <v>0.04</v>
      </c>
      <c r="W664" s="1" t="e">
        <f ca="1">VLOOKUP(tblDistributionTests[[#This Row],[Rand]]+MIN(tblFairTest[Score]),tblFairTest[],2,TRUE)</f>
        <v>#N/A</v>
      </c>
      <c r="X664" s="1" t="str">
        <f ca="1">VLOOKUP(tblDistributionTests[[#This Row],[Rand]],tblNormalTestVl[],2,TRUE)</f>
        <v>Bill</v>
      </c>
      <c r="Y664" s="11" t="str">
        <f ca="1">INDEX(tblNormalTestIM[],MATCH(tblDistributionTests[[#This Row],[Rand]],tblNormalTestIM[Score],-1),2)</f>
        <v>Eric</v>
      </c>
    </row>
    <row r="665" spans="22:25" x14ac:dyDescent="0.2">
      <c r="V665" s="1">
        <f t="shared" ca="1" si="10"/>
        <v>0.24</v>
      </c>
      <c r="W665" s="1" t="e">
        <f ca="1">VLOOKUP(tblDistributionTests[[#This Row],[Rand]]+MIN(tblFairTest[Score]),tblFairTest[],2,TRUE)</f>
        <v>#N/A</v>
      </c>
      <c r="X665" s="1" t="str">
        <f ca="1">VLOOKUP(tblDistributionTests[[#This Row],[Rand]],tblNormalTestVl[],2,TRUE)</f>
        <v>Luke</v>
      </c>
      <c r="Y665" s="11" t="str">
        <f ca="1">INDEX(tblNormalTestIM[],MATCH(tblDistributionTests[[#This Row],[Rand]],tblNormalTestIM[Score],-1),2)</f>
        <v>Riley</v>
      </c>
    </row>
    <row r="666" spans="22:25" x14ac:dyDescent="0.2">
      <c r="V666" s="1">
        <f t="shared" ca="1" si="10"/>
        <v>0.83</v>
      </c>
      <c r="W666" s="1" t="str">
        <f ca="1">VLOOKUP(tblDistributionTests[[#This Row],[Rand]]+MIN(tblFairTest[Score]),tblFairTest[],2,TRUE)</f>
        <v>Todd</v>
      </c>
      <c r="X666" s="1" t="str">
        <f ca="1">VLOOKUP(tblDistributionTests[[#This Row],[Rand]],tblNormalTestVl[],2,TRUE)</f>
        <v>William</v>
      </c>
      <c r="Y666" s="11" t="str">
        <f ca="1">INDEX(tblNormalTestIM[],MATCH(tblDistributionTests[[#This Row],[Rand]],tblNormalTestIM[Score],-1),2)</f>
        <v>Frank</v>
      </c>
    </row>
    <row r="667" spans="22:25" x14ac:dyDescent="0.2">
      <c r="V667" s="1">
        <f t="shared" ca="1" si="10"/>
        <v>0.26</v>
      </c>
      <c r="W667" s="1" t="e">
        <f ca="1">VLOOKUP(tblDistributionTests[[#This Row],[Rand]]+MIN(tblFairTest[Score]),tblFairTest[],2,TRUE)</f>
        <v>#N/A</v>
      </c>
      <c r="X667" s="1" t="str">
        <f ca="1">VLOOKUP(tblDistributionTests[[#This Row],[Rand]],tblNormalTestVl[],2,TRUE)</f>
        <v>Luke</v>
      </c>
      <c r="Y667" s="11" t="str">
        <f ca="1">INDEX(tblNormalTestIM[],MATCH(tblDistributionTests[[#This Row],[Rand]],tblNormalTestIM[Score],-1),2)</f>
        <v>Riley</v>
      </c>
    </row>
    <row r="668" spans="22:25" x14ac:dyDescent="0.2">
      <c r="V668" s="1">
        <f t="shared" ca="1" si="10"/>
        <v>0.31</v>
      </c>
      <c r="W668" s="1" t="e">
        <f ca="1">VLOOKUP(tblDistributionTests[[#This Row],[Rand]]+MIN(tblFairTest[Score]),tblFairTest[],2,TRUE)</f>
        <v>#N/A</v>
      </c>
      <c r="X668" s="1" t="str">
        <f ca="1">VLOOKUP(tblDistributionTests[[#This Row],[Rand]],tblNormalTestVl[],2,TRUE)</f>
        <v>Luke</v>
      </c>
      <c r="Y668" s="11" t="str">
        <f ca="1">INDEX(tblNormalTestIM[],MATCH(tblDistributionTests[[#This Row],[Rand]],tblNormalTestIM[Score],-1),2)</f>
        <v>Riley</v>
      </c>
    </row>
    <row r="669" spans="22:25" x14ac:dyDescent="0.2">
      <c r="V669" s="1">
        <f t="shared" ca="1" si="10"/>
        <v>0.56999999999999995</v>
      </c>
      <c r="W669" s="1" t="str">
        <f ca="1">VLOOKUP(tblDistributionTests[[#This Row],[Rand]]+MIN(tblFairTest[Score]),tblFairTest[],2,TRUE)</f>
        <v>Todd</v>
      </c>
      <c r="X669" s="1" t="str">
        <f ca="1">VLOOKUP(tblDistributionTests[[#This Row],[Rand]],tblNormalTestVl[],2,TRUE)</f>
        <v>Riley</v>
      </c>
      <c r="Y669" s="11" t="str">
        <f ca="1">INDEX(tblNormalTestIM[],MATCH(tblDistributionTests[[#This Row],[Rand]],tblNormalTestIM[Score],-1),2)</f>
        <v>Luke</v>
      </c>
    </row>
    <row r="670" spans="22:25" x14ac:dyDescent="0.2">
      <c r="V670" s="1">
        <f t="shared" ca="1" si="10"/>
        <v>0.87</v>
      </c>
      <c r="W670" s="1" t="str">
        <f ca="1">VLOOKUP(tblDistributionTests[[#This Row],[Rand]]+MIN(tblFairTest[Score]),tblFairTest[],2,TRUE)</f>
        <v>Todd</v>
      </c>
      <c r="X670" s="1" t="str">
        <f ca="1">VLOOKUP(tblDistributionTests[[#This Row],[Rand]],tblNormalTestVl[],2,TRUE)</f>
        <v>William</v>
      </c>
      <c r="Y670" s="11" t="str">
        <f ca="1">INDEX(tblNormalTestIM[],MATCH(tblDistributionTests[[#This Row],[Rand]],tblNormalTestIM[Score],-1),2)</f>
        <v>Frank</v>
      </c>
    </row>
    <row r="671" spans="22:25" x14ac:dyDescent="0.2">
      <c r="V671" s="1">
        <f t="shared" ca="1" si="10"/>
        <v>0.66</v>
      </c>
      <c r="W671" s="1" t="str">
        <f ca="1">VLOOKUP(tblDistributionTests[[#This Row],[Rand]]+MIN(tblFairTest[Score]),tblFairTest[],2,TRUE)</f>
        <v>Todd</v>
      </c>
      <c r="X671" s="1" t="str">
        <f ca="1">VLOOKUP(tblDistributionTests[[#This Row],[Rand]],tblNormalTestVl[],2,TRUE)</f>
        <v>Riley</v>
      </c>
      <c r="Y671" s="11" t="str">
        <f ca="1">INDEX(tblNormalTestIM[],MATCH(tblDistributionTests[[#This Row],[Rand]],tblNormalTestIM[Score],-1),2)</f>
        <v>Luke</v>
      </c>
    </row>
    <row r="672" spans="22:25" x14ac:dyDescent="0.2">
      <c r="V672" s="1">
        <f t="shared" ca="1" si="10"/>
        <v>0.67</v>
      </c>
      <c r="W672" s="1" t="str">
        <f ca="1">VLOOKUP(tblDistributionTests[[#This Row],[Rand]]+MIN(tblFairTest[Score]),tblFairTest[],2,TRUE)</f>
        <v>Todd</v>
      </c>
      <c r="X672" s="1" t="str">
        <f ca="1">VLOOKUP(tblDistributionTests[[#This Row],[Rand]],tblNormalTestVl[],2,TRUE)</f>
        <v>Riley</v>
      </c>
      <c r="Y672" s="11" t="str">
        <f ca="1">INDEX(tblNormalTestIM[],MATCH(tblDistributionTests[[#This Row],[Rand]],tblNormalTestIM[Score],-1),2)</f>
        <v>Luke</v>
      </c>
    </row>
    <row r="673" spans="22:25" x14ac:dyDescent="0.2">
      <c r="V673" s="1">
        <f t="shared" ca="1" si="10"/>
        <v>0.71</v>
      </c>
      <c r="W673" s="1" t="str">
        <f ca="1">VLOOKUP(tblDistributionTests[[#This Row],[Rand]]+MIN(tblFairTest[Score]),tblFairTest[],2,TRUE)</f>
        <v>Todd</v>
      </c>
      <c r="X673" s="1" t="str">
        <f ca="1">VLOOKUP(tblDistributionTests[[#This Row],[Rand]],tblNormalTestVl[],2,TRUE)</f>
        <v>Riley</v>
      </c>
      <c r="Y673" s="11" t="str">
        <f ca="1">INDEX(tblNormalTestIM[],MATCH(tblDistributionTests[[#This Row],[Rand]],tblNormalTestIM[Score],-1),2)</f>
        <v>Luke</v>
      </c>
    </row>
    <row r="674" spans="22:25" x14ac:dyDescent="0.2">
      <c r="V674" s="1">
        <f t="shared" ca="1" si="10"/>
        <v>0.06</v>
      </c>
      <c r="W674" s="1" t="e">
        <f ca="1">VLOOKUP(tblDistributionTests[[#This Row],[Rand]]+MIN(tblFairTest[Score]),tblFairTest[],2,TRUE)</f>
        <v>#N/A</v>
      </c>
      <c r="X674" s="1" t="str">
        <f ca="1">VLOOKUP(tblDistributionTests[[#This Row],[Rand]],tblNormalTestVl[],2,TRUE)</f>
        <v>Bill</v>
      </c>
      <c r="Y674" s="11" t="str">
        <f ca="1">INDEX(tblNormalTestIM[],MATCH(tblDistributionTests[[#This Row],[Rand]],tblNormalTestIM[Score],-1),2)</f>
        <v>Eric</v>
      </c>
    </row>
    <row r="675" spans="22:25" x14ac:dyDescent="0.2">
      <c r="V675" s="1">
        <f t="shared" ca="1" si="10"/>
        <v>0.84</v>
      </c>
      <c r="W675" s="1" t="str">
        <f ca="1">VLOOKUP(tblDistributionTests[[#This Row],[Rand]]+MIN(tblFairTest[Score]),tblFairTest[],2,TRUE)</f>
        <v>Todd</v>
      </c>
      <c r="X675" s="1" t="str">
        <f ca="1">VLOOKUP(tblDistributionTests[[#This Row],[Rand]],tblNormalTestVl[],2,TRUE)</f>
        <v>William</v>
      </c>
      <c r="Y675" s="11" t="str">
        <f ca="1">INDEX(tblNormalTestIM[],MATCH(tblDistributionTests[[#This Row],[Rand]],tblNormalTestIM[Score],-1),2)</f>
        <v>Frank</v>
      </c>
    </row>
    <row r="676" spans="22:25" x14ac:dyDescent="0.2">
      <c r="V676" s="1">
        <f t="shared" ca="1" si="10"/>
        <v>0.44</v>
      </c>
      <c r="W676" s="1" t="e">
        <f ca="1">VLOOKUP(tblDistributionTests[[#This Row],[Rand]]+MIN(tblFairTest[Score]),tblFairTest[],2,TRUE)</f>
        <v>#N/A</v>
      </c>
      <c r="X676" s="1" t="str">
        <f ca="1">VLOOKUP(tblDistributionTests[[#This Row],[Rand]],tblNormalTestVl[],2,TRUE)</f>
        <v>Luke</v>
      </c>
      <c r="Y676" s="11" t="str">
        <f ca="1">INDEX(tblNormalTestIM[],MATCH(tblDistributionTests[[#This Row],[Rand]],tblNormalTestIM[Score],-1),2)</f>
        <v>Riley</v>
      </c>
    </row>
    <row r="677" spans="22:25" x14ac:dyDescent="0.2">
      <c r="V677" s="1">
        <f t="shared" ca="1" si="10"/>
        <v>0.98</v>
      </c>
      <c r="W677" s="1" t="str">
        <f ca="1">VLOOKUP(tblDistributionTests[[#This Row],[Rand]]+MIN(tblFairTest[Score]),tblFairTest[],2,TRUE)</f>
        <v>Todd</v>
      </c>
      <c r="X677" s="1" t="str">
        <f ca="1">VLOOKUP(tblDistributionTests[[#This Row],[Rand]],tblNormalTestVl[],2,TRUE)</f>
        <v>Eric</v>
      </c>
      <c r="Y677" s="11" t="str">
        <f ca="1">INDEX(tblNormalTestIM[],MATCH(tblDistributionTests[[#This Row],[Rand]],tblNormalTestIM[Score],-1),2)</f>
        <v>Bill</v>
      </c>
    </row>
    <row r="678" spans="22:25" x14ac:dyDescent="0.2">
      <c r="V678" s="1">
        <f t="shared" ca="1" si="10"/>
        <v>0.91</v>
      </c>
      <c r="W678" s="1" t="str">
        <f ca="1">VLOOKUP(tblDistributionTests[[#This Row],[Rand]]+MIN(tblFairTest[Score]),tblFairTest[],2,TRUE)</f>
        <v>Todd</v>
      </c>
      <c r="X678" s="1" t="str">
        <f ca="1">VLOOKUP(tblDistributionTests[[#This Row],[Rand]],tblNormalTestVl[],2,TRUE)</f>
        <v>William</v>
      </c>
      <c r="Y678" s="11" t="str">
        <f ca="1">INDEX(tblNormalTestIM[],MATCH(tblDistributionTests[[#This Row],[Rand]],tblNormalTestIM[Score],-1),2)</f>
        <v>Frank</v>
      </c>
    </row>
    <row r="679" spans="22:25" x14ac:dyDescent="0.2">
      <c r="V679" s="1">
        <f t="shared" ca="1" si="10"/>
        <v>0.54</v>
      </c>
      <c r="W679" s="1" t="str">
        <f ca="1">VLOOKUP(tblDistributionTests[[#This Row],[Rand]]+MIN(tblFairTest[Score]),tblFairTest[],2,TRUE)</f>
        <v>Todd</v>
      </c>
      <c r="X679" s="1" t="str">
        <f ca="1">VLOOKUP(tblDistributionTests[[#This Row],[Rand]],tblNormalTestVl[],2,TRUE)</f>
        <v>Riley</v>
      </c>
      <c r="Y679" s="11" t="str">
        <f ca="1">INDEX(tblNormalTestIM[],MATCH(tblDistributionTests[[#This Row],[Rand]],tblNormalTestIM[Score],-1),2)</f>
        <v>Luke</v>
      </c>
    </row>
    <row r="680" spans="22:25" x14ac:dyDescent="0.2">
      <c r="V680" s="1">
        <f t="shared" ca="1" si="10"/>
        <v>0.88</v>
      </c>
      <c r="W680" s="1" t="str">
        <f ca="1">VLOOKUP(tblDistributionTests[[#This Row],[Rand]]+MIN(tblFairTest[Score]),tblFairTest[],2,TRUE)</f>
        <v>Todd</v>
      </c>
      <c r="X680" s="1" t="str">
        <f ca="1">VLOOKUP(tblDistributionTests[[#This Row],[Rand]],tblNormalTestVl[],2,TRUE)</f>
        <v>William</v>
      </c>
      <c r="Y680" s="11" t="str">
        <f ca="1">INDEX(tblNormalTestIM[],MATCH(tblDistributionTests[[#This Row],[Rand]],tblNormalTestIM[Score],-1),2)</f>
        <v>Frank</v>
      </c>
    </row>
    <row r="681" spans="22:25" x14ac:dyDescent="0.2">
      <c r="V681" s="1">
        <f t="shared" ca="1" si="10"/>
        <v>0.06</v>
      </c>
      <c r="W681" s="1" t="e">
        <f ca="1">VLOOKUP(tblDistributionTests[[#This Row],[Rand]]+MIN(tblFairTest[Score]),tblFairTest[],2,TRUE)</f>
        <v>#N/A</v>
      </c>
      <c r="X681" s="1" t="str">
        <f ca="1">VLOOKUP(tblDistributionTests[[#This Row],[Rand]],tblNormalTestVl[],2,TRUE)</f>
        <v>Bill</v>
      </c>
      <c r="Y681" s="11" t="str">
        <f ca="1">INDEX(tblNormalTestIM[],MATCH(tblDistributionTests[[#This Row],[Rand]],tblNormalTestIM[Score],-1),2)</f>
        <v>Eric</v>
      </c>
    </row>
    <row r="682" spans="22:25" x14ac:dyDescent="0.2">
      <c r="V682" s="1">
        <f t="shared" ca="1" si="10"/>
        <v>0.83</v>
      </c>
      <c r="W682" s="1" t="str">
        <f ca="1">VLOOKUP(tblDistributionTests[[#This Row],[Rand]]+MIN(tblFairTest[Score]),tblFairTest[],2,TRUE)</f>
        <v>Todd</v>
      </c>
      <c r="X682" s="1" t="str">
        <f ca="1">VLOOKUP(tblDistributionTests[[#This Row],[Rand]],tblNormalTestVl[],2,TRUE)</f>
        <v>William</v>
      </c>
      <c r="Y682" s="11" t="str">
        <f ca="1">INDEX(tblNormalTestIM[],MATCH(tblDistributionTests[[#This Row],[Rand]],tblNormalTestIM[Score],-1),2)</f>
        <v>Frank</v>
      </c>
    </row>
    <row r="683" spans="22:25" x14ac:dyDescent="0.2">
      <c r="V683" s="1">
        <f t="shared" ca="1" si="10"/>
        <v>7.0000000000000007E-2</v>
      </c>
      <c r="W683" s="1" t="e">
        <f ca="1">VLOOKUP(tblDistributionTests[[#This Row],[Rand]]+MIN(tblFairTest[Score]),tblFairTest[],2,TRUE)</f>
        <v>#N/A</v>
      </c>
      <c r="X683" s="1" t="str">
        <f ca="1">VLOOKUP(tblDistributionTests[[#This Row],[Rand]],tblNormalTestVl[],2,TRUE)</f>
        <v>Frank</v>
      </c>
      <c r="Y683" s="11" t="str">
        <f ca="1">INDEX(tblNormalTestIM[],MATCH(tblDistributionTests[[#This Row],[Rand]],tblNormalTestIM[Score],-1),2)</f>
        <v>William</v>
      </c>
    </row>
    <row r="684" spans="22:25" x14ac:dyDescent="0.2">
      <c r="V684" s="1">
        <f t="shared" ca="1" si="10"/>
        <v>0.26</v>
      </c>
      <c r="W684" s="1" t="e">
        <f ca="1">VLOOKUP(tblDistributionTests[[#This Row],[Rand]]+MIN(tblFairTest[Score]),tblFairTest[],2,TRUE)</f>
        <v>#N/A</v>
      </c>
      <c r="X684" s="1" t="str">
        <f ca="1">VLOOKUP(tblDistributionTests[[#This Row],[Rand]],tblNormalTestVl[],2,TRUE)</f>
        <v>Luke</v>
      </c>
      <c r="Y684" s="11" t="str">
        <f ca="1">INDEX(tblNormalTestIM[],MATCH(tblDistributionTests[[#This Row],[Rand]],tblNormalTestIM[Score],-1),2)</f>
        <v>Riley</v>
      </c>
    </row>
    <row r="685" spans="22:25" x14ac:dyDescent="0.2">
      <c r="V685" s="1">
        <f t="shared" ca="1" si="10"/>
        <v>0.62</v>
      </c>
      <c r="W685" s="1" t="str">
        <f ca="1">VLOOKUP(tblDistributionTests[[#This Row],[Rand]]+MIN(tblFairTest[Score]),tblFairTest[],2,TRUE)</f>
        <v>Todd</v>
      </c>
      <c r="X685" s="1" t="str">
        <f ca="1">VLOOKUP(tblDistributionTests[[#This Row],[Rand]],tblNormalTestVl[],2,TRUE)</f>
        <v>Riley</v>
      </c>
      <c r="Y685" s="11" t="str">
        <f ca="1">INDEX(tblNormalTestIM[],MATCH(tblDistributionTests[[#This Row],[Rand]],tblNormalTestIM[Score],-1),2)</f>
        <v>Luke</v>
      </c>
    </row>
    <row r="686" spans="22:25" x14ac:dyDescent="0.2">
      <c r="V686" s="1">
        <f t="shared" ca="1" si="10"/>
        <v>0.98</v>
      </c>
      <c r="W686" s="1" t="str">
        <f ca="1">VLOOKUP(tblDistributionTests[[#This Row],[Rand]]+MIN(tblFairTest[Score]),tblFairTest[],2,TRUE)</f>
        <v>Todd</v>
      </c>
      <c r="X686" s="1" t="str">
        <f ca="1">VLOOKUP(tblDistributionTests[[#This Row],[Rand]],tblNormalTestVl[],2,TRUE)</f>
        <v>Eric</v>
      </c>
      <c r="Y686" s="11" t="str">
        <f ca="1">INDEX(tblNormalTestIM[],MATCH(tblDistributionTests[[#This Row],[Rand]],tblNormalTestIM[Score],-1),2)</f>
        <v>Bill</v>
      </c>
    </row>
    <row r="687" spans="22:25" x14ac:dyDescent="0.2">
      <c r="V687" s="1">
        <f t="shared" ca="1" si="10"/>
        <v>0.75</v>
      </c>
      <c r="W687" s="1" t="str">
        <f ca="1">VLOOKUP(tblDistributionTests[[#This Row],[Rand]]+MIN(tblFairTest[Score]),tblFairTest[],2,TRUE)</f>
        <v>Todd</v>
      </c>
      <c r="X687" s="1" t="str">
        <f ca="1">VLOOKUP(tblDistributionTests[[#This Row],[Rand]],tblNormalTestVl[],2,TRUE)</f>
        <v>Riley</v>
      </c>
      <c r="Y687" s="11" t="str">
        <f ca="1">INDEX(tblNormalTestIM[],MATCH(tblDistributionTests[[#This Row],[Rand]],tblNormalTestIM[Score],-1),2)</f>
        <v>Luke</v>
      </c>
    </row>
    <row r="688" spans="22:25" x14ac:dyDescent="0.2">
      <c r="V688" s="1">
        <f t="shared" ca="1" si="10"/>
        <v>0.5</v>
      </c>
      <c r="W688" s="1" t="str">
        <f ca="1">VLOOKUP(tblDistributionTests[[#This Row],[Rand]]+MIN(tblFairTest[Score]),tblFairTest[],2,TRUE)</f>
        <v>Riley</v>
      </c>
      <c r="X688" s="1" t="str">
        <f ca="1">VLOOKUP(tblDistributionTests[[#This Row],[Rand]],tblNormalTestVl[],2,TRUE)</f>
        <v>Riley</v>
      </c>
      <c r="Y688" s="11" t="str">
        <f ca="1">INDEX(tblNormalTestIM[],MATCH(tblDistributionTests[[#This Row],[Rand]],tblNormalTestIM[Score],-1),2)</f>
        <v>Riley</v>
      </c>
    </row>
    <row r="689" spans="22:25" x14ac:dyDescent="0.2">
      <c r="V689" s="1">
        <f t="shared" ca="1" si="10"/>
        <v>0.97</v>
      </c>
      <c r="W689" s="1" t="str">
        <f ca="1">VLOOKUP(tblDistributionTests[[#This Row],[Rand]]+MIN(tblFairTest[Score]),tblFairTest[],2,TRUE)</f>
        <v>Todd</v>
      </c>
      <c r="X689" s="1" t="str">
        <f ca="1">VLOOKUP(tblDistributionTests[[#This Row],[Rand]],tblNormalTestVl[],2,TRUE)</f>
        <v>Eric</v>
      </c>
      <c r="Y689" s="11" t="str">
        <f ca="1">INDEX(tblNormalTestIM[],MATCH(tblDistributionTests[[#This Row],[Rand]],tblNormalTestIM[Score],-1),2)</f>
        <v>Bill</v>
      </c>
    </row>
    <row r="690" spans="22:25" x14ac:dyDescent="0.2">
      <c r="V690" s="1">
        <f t="shared" ca="1" si="10"/>
        <v>0.91</v>
      </c>
      <c r="W690" s="1" t="str">
        <f ca="1">VLOOKUP(tblDistributionTests[[#This Row],[Rand]]+MIN(tblFairTest[Score]),tblFairTest[],2,TRUE)</f>
        <v>Todd</v>
      </c>
      <c r="X690" s="1" t="str">
        <f ca="1">VLOOKUP(tblDistributionTests[[#This Row],[Rand]],tblNormalTestVl[],2,TRUE)</f>
        <v>William</v>
      </c>
      <c r="Y690" s="11" t="str">
        <f ca="1">INDEX(tblNormalTestIM[],MATCH(tblDistributionTests[[#This Row],[Rand]],tblNormalTestIM[Score],-1),2)</f>
        <v>Frank</v>
      </c>
    </row>
    <row r="691" spans="22:25" x14ac:dyDescent="0.2">
      <c r="V691" s="1">
        <f t="shared" ca="1" si="10"/>
        <v>0.05</v>
      </c>
      <c r="W691" s="1" t="e">
        <f ca="1">VLOOKUP(tblDistributionTests[[#This Row],[Rand]]+MIN(tblFairTest[Score]),tblFairTest[],2,TRUE)</f>
        <v>#N/A</v>
      </c>
      <c r="X691" s="1" t="str">
        <f ca="1">VLOOKUP(tblDistributionTests[[#This Row],[Rand]],tblNormalTestVl[],2,TRUE)</f>
        <v>Bill</v>
      </c>
      <c r="Y691" s="11" t="str">
        <f ca="1">INDEX(tblNormalTestIM[],MATCH(tblDistributionTests[[#This Row],[Rand]],tblNormalTestIM[Score],-1),2)</f>
        <v>Eric</v>
      </c>
    </row>
    <row r="692" spans="22:25" x14ac:dyDescent="0.2">
      <c r="V692" s="1">
        <f t="shared" ca="1" si="10"/>
        <v>0.54</v>
      </c>
      <c r="W692" s="1" t="str">
        <f ca="1">VLOOKUP(tblDistributionTests[[#This Row],[Rand]]+MIN(tblFairTest[Score]),tblFairTest[],2,TRUE)</f>
        <v>Todd</v>
      </c>
      <c r="X692" s="1" t="str">
        <f ca="1">VLOOKUP(tblDistributionTests[[#This Row],[Rand]],tblNormalTestVl[],2,TRUE)</f>
        <v>Riley</v>
      </c>
      <c r="Y692" s="11" t="str">
        <f ca="1">INDEX(tblNormalTestIM[],MATCH(tblDistributionTests[[#This Row],[Rand]],tblNormalTestIM[Score],-1),2)</f>
        <v>Luke</v>
      </c>
    </row>
    <row r="693" spans="22:25" x14ac:dyDescent="0.2">
      <c r="V693" s="1">
        <f t="shared" ca="1" si="10"/>
        <v>0.67</v>
      </c>
      <c r="W693" s="1" t="str">
        <f ca="1">VLOOKUP(tblDistributionTests[[#This Row],[Rand]]+MIN(tblFairTest[Score]),tblFairTest[],2,TRUE)</f>
        <v>Todd</v>
      </c>
      <c r="X693" s="1" t="str">
        <f ca="1">VLOOKUP(tblDistributionTests[[#This Row],[Rand]],tblNormalTestVl[],2,TRUE)</f>
        <v>Riley</v>
      </c>
      <c r="Y693" s="11" t="str">
        <f ca="1">INDEX(tblNormalTestIM[],MATCH(tblDistributionTests[[#This Row],[Rand]],tblNormalTestIM[Score],-1),2)</f>
        <v>Luke</v>
      </c>
    </row>
    <row r="694" spans="22:25" x14ac:dyDescent="0.2">
      <c r="V694" s="1">
        <f t="shared" ca="1" si="10"/>
        <v>0.91</v>
      </c>
      <c r="W694" s="1" t="str">
        <f ca="1">VLOOKUP(tblDistributionTests[[#This Row],[Rand]]+MIN(tblFairTest[Score]),tblFairTest[],2,TRUE)</f>
        <v>Todd</v>
      </c>
      <c r="X694" s="1" t="str">
        <f ca="1">VLOOKUP(tblDistributionTests[[#This Row],[Rand]],tblNormalTestVl[],2,TRUE)</f>
        <v>William</v>
      </c>
      <c r="Y694" s="11" t="str">
        <f ca="1">INDEX(tblNormalTestIM[],MATCH(tblDistributionTests[[#This Row],[Rand]],tblNormalTestIM[Score],-1),2)</f>
        <v>Frank</v>
      </c>
    </row>
    <row r="695" spans="22:25" x14ac:dyDescent="0.2">
      <c r="V695" s="1">
        <f t="shared" ca="1" si="10"/>
        <v>0.73</v>
      </c>
      <c r="W695" s="1" t="str">
        <f ca="1">VLOOKUP(tblDistributionTests[[#This Row],[Rand]]+MIN(tblFairTest[Score]),tblFairTest[],2,TRUE)</f>
        <v>Todd</v>
      </c>
      <c r="X695" s="1" t="str">
        <f ca="1">VLOOKUP(tblDistributionTests[[#This Row],[Rand]],tblNormalTestVl[],2,TRUE)</f>
        <v>Riley</v>
      </c>
      <c r="Y695" s="11" t="str">
        <f ca="1">INDEX(tblNormalTestIM[],MATCH(tblDistributionTests[[#This Row],[Rand]],tblNormalTestIM[Score],-1),2)</f>
        <v>Luke</v>
      </c>
    </row>
    <row r="696" spans="22:25" x14ac:dyDescent="0.2">
      <c r="V696" s="1">
        <f t="shared" ca="1" si="10"/>
        <v>0.15</v>
      </c>
      <c r="W696" s="1" t="e">
        <f ca="1">VLOOKUP(tblDistributionTests[[#This Row],[Rand]]+MIN(tblFairTest[Score]),tblFairTest[],2,TRUE)</f>
        <v>#N/A</v>
      </c>
      <c r="X696" s="1" t="str">
        <f ca="1">VLOOKUP(tblDistributionTests[[#This Row],[Rand]],tblNormalTestVl[],2,TRUE)</f>
        <v>Frank</v>
      </c>
      <c r="Y696" s="11" t="str">
        <f ca="1">INDEX(tblNormalTestIM[],MATCH(tblDistributionTests[[#This Row],[Rand]],tblNormalTestIM[Score],-1),2)</f>
        <v>William</v>
      </c>
    </row>
    <row r="697" spans="22:25" x14ac:dyDescent="0.2">
      <c r="V697" s="1">
        <f t="shared" ca="1" si="10"/>
        <v>0.54</v>
      </c>
      <c r="W697" s="1" t="str">
        <f ca="1">VLOOKUP(tblDistributionTests[[#This Row],[Rand]]+MIN(tblFairTest[Score]),tblFairTest[],2,TRUE)</f>
        <v>Todd</v>
      </c>
      <c r="X697" s="1" t="str">
        <f ca="1">VLOOKUP(tblDistributionTests[[#This Row],[Rand]],tblNormalTestVl[],2,TRUE)</f>
        <v>Riley</v>
      </c>
      <c r="Y697" s="11" t="str">
        <f ca="1">INDEX(tblNormalTestIM[],MATCH(tblDistributionTests[[#This Row],[Rand]],tblNormalTestIM[Score],-1),2)</f>
        <v>Luke</v>
      </c>
    </row>
    <row r="698" spans="22:25" x14ac:dyDescent="0.2">
      <c r="V698" s="1">
        <f t="shared" ca="1" si="10"/>
        <v>0.61</v>
      </c>
      <c r="W698" s="1" t="str">
        <f ca="1">VLOOKUP(tblDistributionTests[[#This Row],[Rand]]+MIN(tblFairTest[Score]),tblFairTest[],2,TRUE)</f>
        <v>Todd</v>
      </c>
      <c r="X698" s="1" t="str">
        <f ca="1">VLOOKUP(tblDistributionTests[[#This Row],[Rand]],tblNormalTestVl[],2,TRUE)</f>
        <v>Riley</v>
      </c>
      <c r="Y698" s="11" t="str">
        <f ca="1">INDEX(tblNormalTestIM[],MATCH(tblDistributionTests[[#This Row],[Rand]],tblNormalTestIM[Score],-1),2)</f>
        <v>Luke</v>
      </c>
    </row>
    <row r="699" spans="22:25" x14ac:dyDescent="0.2">
      <c r="V699" s="1">
        <f t="shared" ca="1" si="10"/>
        <v>0.64</v>
      </c>
      <c r="W699" s="1" t="str">
        <f ca="1">VLOOKUP(tblDistributionTests[[#This Row],[Rand]]+MIN(tblFairTest[Score]),tblFairTest[],2,TRUE)</f>
        <v>Todd</v>
      </c>
      <c r="X699" s="1" t="str">
        <f ca="1">VLOOKUP(tblDistributionTests[[#This Row],[Rand]],tblNormalTestVl[],2,TRUE)</f>
        <v>Riley</v>
      </c>
      <c r="Y699" s="11" t="str">
        <f ca="1">INDEX(tblNormalTestIM[],MATCH(tblDistributionTests[[#This Row],[Rand]],tblNormalTestIM[Score],-1),2)</f>
        <v>Luke</v>
      </c>
    </row>
    <row r="700" spans="22:25" x14ac:dyDescent="0.2">
      <c r="V700" s="1">
        <f t="shared" ca="1" si="10"/>
        <v>0.83</v>
      </c>
      <c r="W700" s="1" t="str">
        <f ca="1">VLOOKUP(tblDistributionTests[[#This Row],[Rand]]+MIN(tblFairTest[Score]),tblFairTest[],2,TRUE)</f>
        <v>Todd</v>
      </c>
      <c r="X700" s="1" t="str">
        <f ca="1">VLOOKUP(tblDistributionTests[[#This Row],[Rand]],tblNormalTestVl[],2,TRUE)</f>
        <v>William</v>
      </c>
      <c r="Y700" s="11" t="str">
        <f ca="1">INDEX(tblNormalTestIM[],MATCH(tblDistributionTests[[#This Row],[Rand]],tblNormalTestIM[Score],-1),2)</f>
        <v>Frank</v>
      </c>
    </row>
    <row r="701" spans="22:25" x14ac:dyDescent="0.2">
      <c r="V701" s="1">
        <f t="shared" ca="1" si="10"/>
        <v>0.1</v>
      </c>
      <c r="W701" s="1" t="e">
        <f ca="1">VLOOKUP(tblDistributionTests[[#This Row],[Rand]]+MIN(tblFairTest[Score]),tblFairTest[],2,TRUE)</f>
        <v>#N/A</v>
      </c>
      <c r="X701" s="1" t="str">
        <f ca="1">VLOOKUP(tblDistributionTests[[#This Row],[Rand]],tblNormalTestVl[],2,TRUE)</f>
        <v>Frank</v>
      </c>
      <c r="Y701" s="11" t="str">
        <f ca="1">INDEX(tblNormalTestIM[],MATCH(tblDistributionTests[[#This Row],[Rand]],tblNormalTestIM[Score],-1),2)</f>
        <v>William</v>
      </c>
    </row>
    <row r="702" spans="22:25" x14ac:dyDescent="0.2">
      <c r="V702" s="1">
        <f t="shared" ca="1" si="10"/>
        <v>0.06</v>
      </c>
      <c r="W702" s="1" t="e">
        <f ca="1">VLOOKUP(tblDistributionTests[[#This Row],[Rand]]+MIN(tblFairTest[Score]),tblFairTest[],2,TRUE)</f>
        <v>#N/A</v>
      </c>
      <c r="X702" s="1" t="str">
        <f ca="1">VLOOKUP(tblDistributionTests[[#This Row],[Rand]],tblNormalTestVl[],2,TRUE)</f>
        <v>Bill</v>
      </c>
      <c r="Y702" s="11" t="str">
        <f ca="1">INDEX(tblNormalTestIM[],MATCH(tblDistributionTests[[#This Row],[Rand]],tblNormalTestIM[Score],-1),2)</f>
        <v>Eric</v>
      </c>
    </row>
    <row r="703" spans="22:25" x14ac:dyDescent="0.2">
      <c r="V703" s="1">
        <f t="shared" ca="1" si="10"/>
        <v>0.82</v>
      </c>
      <c r="W703" s="1" t="str">
        <f ca="1">VLOOKUP(tblDistributionTests[[#This Row],[Rand]]+MIN(tblFairTest[Score]),tblFairTest[],2,TRUE)</f>
        <v>Todd</v>
      </c>
      <c r="X703" s="1" t="str">
        <f ca="1">VLOOKUP(tblDistributionTests[[#This Row],[Rand]],tblNormalTestVl[],2,TRUE)</f>
        <v>William</v>
      </c>
      <c r="Y703" s="11" t="str">
        <f ca="1">INDEX(tblNormalTestIM[],MATCH(tblDistributionTests[[#This Row],[Rand]],tblNormalTestIM[Score],-1),2)</f>
        <v>Frank</v>
      </c>
    </row>
    <row r="704" spans="22:25" x14ac:dyDescent="0.2">
      <c r="V704" s="1">
        <f t="shared" ca="1" si="10"/>
        <v>0.43</v>
      </c>
      <c r="W704" s="1" t="e">
        <f ca="1">VLOOKUP(tblDistributionTests[[#This Row],[Rand]]+MIN(tblFairTest[Score]),tblFairTest[],2,TRUE)</f>
        <v>#N/A</v>
      </c>
      <c r="X704" s="1" t="str">
        <f ca="1">VLOOKUP(tblDistributionTests[[#This Row],[Rand]],tblNormalTestVl[],2,TRUE)</f>
        <v>Luke</v>
      </c>
      <c r="Y704" s="11" t="str">
        <f ca="1">INDEX(tblNormalTestIM[],MATCH(tblDistributionTests[[#This Row],[Rand]],tblNormalTestIM[Score],-1),2)</f>
        <v>Riley</v>
      </c>
    </row>
    <row r="705" spans="22:25" x14ac:dyDescent="0.2">
      <c r="V705" s="1">
        <f t="shared" ca="1" si="10"/>
        <v>0.12</v>
      </c>
      <c r="W705" s="1" t="e">
        <f ca="1">VLOOKUP(tblDistributionTests[[#This Row],[Rand]]+MIN(tblFairTest[Score]),tblFairTest[],2,TRUE)</f>
        <v>#N/A</v>
      </c>
      <c r="X705" s="1" t="str">
        <f ca="1">VLOOKUP(tblDistributionTests[[#This Row],[Rand]],tblNormalTestVl[],2,TRUE)</f>
        <v>Frank</v>
      </c>
      <c r="Y705" s="11" t="str">
        <f ca="1">INDEX(tblNormalTestIM[],MATCH(tblDistributionTests[[#This Row],[Rand]],tblNormalTestIM[Score],-1),2)</f>
        <v>William</v>
      </c>
    </row>
    <row r="706" spans="22:25" x14ac:dyDescent="0.2">
      <c r="V706" s="1">
        <f t="shared" ca="1" si="10"/>
        <v>0.04</v>
      </c>
      <c r="W706" s="1" t="e">
        <f ca="1">VLOOKUP(tblDistributionTests[[#This Row],[Rand]]+MIN(tblFairTest[Score]),tblFairTest[],2,TRUE)</f>
        <v>#N/A</v>
      </c>
      <c r="X706" s="1" t="str">
        <f ca="1">VLOOKUP(tblDistributionTests[[#This Row],[Rand]],tblNormalTestVl[],2,TRUE)</f>
        <v>Bill</v>
      </c>
      <c r="Y706" s="11" t="str">
        <f ca="1">INDEX(tblNormalTestIM[],MATCH(tblDistributionTests[[#This Row],[Rand]],tblNormalTestIM[Score],-1),2)</f>
        <v>Eric</v>
      </c>
    </row>
    <row r="707" spans="22:25" x14ac:dyDescent="0.2">
      <c r="V707" s="1">
        <f t="shared" ca="1" si="10"/>
        <v>0.2</v>
      </c>
      <c r="W707" s="1" t="e">
        <f ca="1">VLOOKUP(tblDistributionTests[[#This Row],[Rand]]+MIN(tblFairTest[Score]),tblFairTest[],2,TRUE)</f>
        <v>#N/A</v>
      </c>
      <c r="X707" s="1" t="str">
        <f ca="1">VLOOKUP(tblDistributionTests[[#This Row],[Rand]],tblNormalTestVl[],2,TRUE)</f>
        <v>Frank</v>
      </c>
      <c r="Y707" s="11" t="str">
        <f ca="1">INDEX(tblNormalTestIM[],MATCH(tblDistributionTests[[#This Row],[Rand]],tblNormalTestIM[Score],-1),2)</f>
        <v>William</v>
      </c>
    </row>
    <row r="708" spans="22:25" x14ac:dyDescent="0.2">
      <c r="V708" s="1">
        <f t="shared" ca="1" si="10"/>
        <v>0.71</v>
      </c>
      <c r="W708" s="1" t="str">
        <f ca="1">VLOOKUP(tblDistributionTests[[#This Row],[Rand]]+MIN(tblFairTest[Score]),tblFairTest[],2,TRUE)</f>
        <v>Todd</v>
      </c>
      <c r="X708" s="1" t="str">
        <f ca="1">VLOOKUP(tblDistributionTests[[#This Row],[Rand]],tblNormalTestVl[],2,TRUE)</f>
        <v>Riley</v>
      </c>
      <c r="Y708" s="11" t="str">
        <f ca="1">INDEX(tblNormalTestIM[],MATCH(tblDistributionTests[[#This Row],[Rand]],tblNormalTestIM[Score],-1),2)</f>
        <v>Luke</v>
      </c>
    </row>
    <row r="709" spans="22:25" x14ac:dyDescent="0.2">
      <c r="V709" s="1">
        <f t="shared" ca="1" si="10"/>
        <v>0.52</v>
      </c>
      <c r="W709" s="1" t="str">
        <f ca="1">VLOOKUP(tblDistributionTests[[#This Row],[Rand]]+MIN(tblFairTest[Score]),tblFairTest[],2,TRUE)</f>
        <v>Todd</v>
      </c>
      <c r="X709" s="1" t="str">
        <f ca="1">VLOOKUP(tblDistributionTests[[#This Row],[Rand]],tblNormalTestVl[],2,TRUE)</f>
        <v>Riley</v>
      </c>
      <c r="Y709" s="11" t="str">
        <f ca="1">INDEX(tblNormalTestIM[],MATCH(tblDistributionTests[[#This Row],[Rand]],tblNormalTestIM[Score],-1),2)</f>
        <v>Luke</v>
      </c>
    </row>
    <row r="710" spans="22:25" x14ac:dyDescent="0.2">
      <c r="V710" s="1">
        <f t="shared" ca="1" si="10"/>
        <v>0.67</v>
      </c>
      <c r="W710" s="1" t="str">
        <f ca="1">VLOOKUP(tblDistributionTests[[#This Row],[Rand]]+MIN(tblFairTest[Score]),tblFairTest[],2,TRUE)</f>
        <v>Todd</v>
      </c>
      <c r="X710" s="1" t="str">
        <f ca="1">VLOOKUP(tblDistributionTests[[#This Row],[Rand]],tblNormalTestVl[],2,TRUE)</f>
        <v>Riley</v>
      </c>
      <c r="Y710" s="11" t="str">
        <f ca="1">INDEX(tblNormalTestIM[],MATCH(tblDistributionTests[[#This Row],[Rand]],tblNormalTestIM[Score],-1),2)</f>
        <v>Luke</v>
      </c>
    </row>
    <row r="711" spans="22:25" x14ac:dyDescent="0.2">
      <c r="V711" s="1">
        <f t="shared" ca="1" si="10"/>
        <v>0.72</v>
      </c>
      <c r="W711" s="1" t="str">
        <f ca="1">VLOOKUP(tblDistributionTests[[#This Row],[Rand]]+MIN(tblFairTest[Score]),tblFairTest[],2,TRUE)</f>
        <v>Todd</v>
      </c>
      <c r="X711" s="1" t="str">
        <f ca="1">VLOOKUP(tblDistributionTests[[#This Row],[Rand]],tblNormalTestVl[],2,TRUE)</f>
        <v>Riley</v>
      </c>
      <c r="Y711" s="11" t="str">
        <f ca="1">INDEX(tblNormalTestIM[],MATCH(tblDistributionTests[[#This Row],[Rand]],tblNormalTestIM[Score],-1),2)</f>
        <v>Luke</v>
      </c>
    </row>
    <row r="712" spans="22:25" x14ac:dyDescent="0.2">
      <c r="V712" s="1">
        <f t="shared" ref="V712:V775" ca="1" si="11">RANDBETWEEN(1,100)/100</f>
        <v>0.14000000000000001</v>
      </c>
      <c r="W712" s="1" t="e">
        <f ca="1">VLOOKUP(tblDistributionTests[[#This Row],[Rand]]+MIN(tblFairTest[Score]),tblFairTest[],2,TRUE)</f>
        <v>#N/A</v>
      </c>
      <c r="X712" s="1" t="str">
        <f ca="1">VLOOKUP(tblDistributionTests[[#This Row],[Rand]],tblNormalTestVl[],2,TRUE)</f>
        <v>Frank</v>
      </c>
      <c r="Y712" s="11" t="str">
        <f ca="1">INDEX(tblNormalTestIM[],MATCH(tblDistributionTests[[#This Row],[Rand]],tblNormalTestIM[Score],-1),2)</f>
        <v>William</v>
      </c>
    </row>
    <row r="713" spans="22:25" x14ac:dyDescent="0.2">
      <c r="V713" s="1">
        <f t="shared" ca="1" si="11"/>
        <v>0.82</v>
      </c>
      <c r="W713" s="1" t="str">
        <f ca="1">VLOOKUP(tblDistributionTests[[#This Row],[Rand]]+MIN(tblFairTest[Score]),tblFairTest[],2,TRUE)</f>
        <v>Todd</v>
      </c>
      <c r="X713" s="1" t="str">
        <f ca="1">VLOOKUP(tblDistributionTests[[#This Row],[Rand]],tblNormalTestVl[],2,TRUE)</f>
        <v>William</v>
      </c>
      <c r="Y713" s="11" t="str">
        <f ca="1">INDEX(tblNormalTestIM[],MATCH(tblDistributionTests[[#This Row],[Rand]],tblNormalTestIM[Score],-1),2)</f>
        <v>Frank</v>
      </c>
    </row>
    <row r="714" spans="22:25" x14ac:dyDescent="0.2">
      <c r="V714" s="1">
        <f t="shared" ca="1" si="11"/>
        <v>0.83</v>
      </c>
      <c r="W714" s="1" t="str">
        <f ca="1">VLOOKUP(tblDistributionTests[[#This Row],[Rand]]+MIN(tblFairTest[Score]),tblFairTest[],2,TRUE)</f>
        <v>Todd</v>
      </c>
      <c r="X714" s="1" t="str">
        <f ca="1">VLOOKUP(tblDistributionTests[[#This Row],[Rand]],tblNormalTestVl[],2,TRUE)</f>
        <v>William</v>
      </c>
      <c r="Y714" s="11" t="str">
        <f ca="1">INDEX(tblNormalTestIM[],MATCH(tblDistributionTests[[#This Row],[Rand]],tblNormalTestIM[Score],-1),2)</f>
        <v>Frank</v>
      </c>
    </row>
    <row r="715" spans="22:25" x14ac:dyDescent="0.2">
      <c r="V715" s="1">
        <f t="shared" ca="1" si="11"/>
        <v>0.95</v>
      </c>
      <c r="W715" s="1" t="str">
        <f ca="1">VLOOKUP(tblDistributionTests[[#This Row],[Rand]]+MIN(tblFairTest[Score]),tblFairTest[],2,TRUE)</f>
        <v>Todd</v>
      </c>
      <c r="X715" s="1" t="str">
        <f ca="1">VLOOKUP(tblDistributionTests[[#This Row],[Rand]],tblNormalTestVl[],2,TRUE)</f>
        <v>Eric</v>
      </c>
      <c r="Y715" s="11" t="str">
        <f ca="1">INDEX(tblNormalTestIM[],MATCH(tblDistributionTests[[#This Row],[Rand]],tblNormalTestIM[Score],-1),2)</f>
        <v>Bill</v>
      </c>
    </row>
    <row r="716" spans="22:25" x14ac:dyDescent="0.2">
      <c r="V716" s="1">
        <f t="shared" ca="1" si="11"/>
        <v>0.23</v>
      </c>
      <c r="W716" s="1" t="e">
        <f ca="1">VLOOKUP(tblDistributionTests[[#This Row],[Rand]]+MIN(tblFairTest[Score]),tblFairTest[],2,TRUE)</f>
        <v>#N/A</v>
      </c>
      <c r="X716" s="1" t="str">
        <f ca="1">VLOOKUP(tblDistributionTests[[#This Row],[Rand]],tblNormalTestVl[],2,TRUE)</f>
        <v>Luke</v>
      </c>
      <c r="Y716" s="11" t="str">
        <f ca="1">INDEX(tblNormalTestIM[],MATCH(tblDistributionTests[[#This Row],[Rand]],tblNormalTestIM[Score],-1),2)</f>
        <v>Riley</v>
      </c>
    </row>
    <row r="717" spans="22:25" x14ac:dyDescent="0.2">
      <c r="V717" s="1">
        <f t="shared" ca="1" si="11"/>
        <v>0.02</v>
      </c>
      <c r="W717" s="1" t="e">
        <f ca="1">VLOOKUP(tblDistributionTests[[#This Row],[Rand]]+MIN(tblFairTest[Score]),tblFairTest[],2,TRUE)</f>
        <v>#N/A</v>
      </c>
      <c r="X717" s="1" t="str">
        <f ca="1">VLOOKUP(tblDistributionTests[[#This Row],[Rand]],tblNormalTestVl[],2,TRUE)</f>
        <v>Bill</v>
      </c>
      <c r="Y717" s="11" t="str">
        <f ca="1">INDEX(tblNormalTestIM[],MATCH(tblDistributionTests[[#This Row],[Rand]],tblNormalTestIM[Score],-1),2)</f>
        <v>Eric</v>
      </c>
    </row>
    <row r="718" spans="22:25" x14ac:dyDescent="0.2">
      <c r="V718" s="1">
        <f t="shared" ca="1" si="11"/>
        <v>0.91</v>
      </c>
      <c r="W718" s="1" t="str">
        <f ca="1">VLOOKUP(tblDistributionTests[[#This Row],[Rand]]+MIN(tblFairTest[Score]),tblFairTest[],2,TRUE)</f>
        <v>Todd</v>
      </c>
      <c r="X718" s="1" t="str">
        <f ca="1">VLOOKUP(tblDistributionTests[[#This Row],[Rand]],tblNormalTestVl[],2,TRUE)</f>
        <v>William</v>
      </c>
      <c r="Y718" s="11" t="str">
        <f ca="1">INDEX(tblNormalTestIM[],MATCH(tblDistributionTests[[#This Row],[Rand]],tblNormalTestIM[Score],-1),2)</f>
        <v>Frank</v>
      </c>
    </row>
    <row r="719" spans="22:25" x14ac:dyDescent="0.2">
      <c r="V719" s="1">
        <f t="shared" ca="1" si="11"/>
        <v>0.38</v>
      </c>
      <c r="W719" s="1" t="e">
        <f ca="1">VLOOKUP(tblDistributionTests[[#This Row],[Rand]]+MIN(tblFairTest[Score]),tblFairTest[],2,TRUE)</f>
        <v>#N/A</v>
      </c>
      <c r="X719" s="1" t="str">
        <f ca="1">VLOOKUP(tblDistributionTests[[#This Row],[Rand]],tblNormalTestVl[],2,TRUE)</f>
        <v>Luke</v>
      </c>
      <c r="Y719" s="11" t="str">
        <f ca="1">INDEX(tblNormalTestIM[],MATCH(tblDistributionTests[[#This Row],[Rand]],tblNormalTestIM[Score],-1),2)</f>
        <v>Riley</v>
      </c>
    </row>
    <row r="720" spans="22:25" x14ac:dyDescent="0.2">
      <c r="V720" s="1">
        <f t="shared" ca="1" si="11"/>
        <v>0.82</v>
      </c>
      <c r="W720" s="1" t="str">
        <f ca="1">VLOOKUP(tblDistributionTests[[#This Row],[Rand]]+MIN(tblFairTest[Score]),tblFairTest[],2,TRUE)</f>
        <v>Todd</v>
      </c>
      <c r="X720" s="1" t="str">
        <f ca="1">VLOOKUP(tblDistributionTests[[#This Row],[Rand]],tblNormalTestVl[],2,TRUE)</f>
        <v>William</v>
      </c>
      <c r="Y720" s="11" t="str">
        <f ca="1">INDEX(tblNormalTestIM[],MATCH(tblDistributionTests[[#This Row],[Rand]],tblNormalTestIM[Score],-1),2)</f>
        <v>Frank</v>
      </c>
    </row>
    <row r="721" spans="22:25" x14ac:dyDescent="0.2">
      <c r="V721" s="1">
        <f t="shared" ca="1" si="11"/>
        <v>0.8</v>
      </c>
      <c r="W721" s="1" t="str">
        <f ca="1">VLOOKUP(tblDistributionTests[[#This Row],[Rand]]+MIN(tblFairTest[Score]),tblFairTest[],2,TRUE)</f>
        <v>Todd</v>
      </c>
      <c r="X721" s="1" t="str">
        <f ca="1">VLOOKUP(tblDistributionTests[[#This Row],[Rand]],tblNormalTestVl[],2,TRUE)</f>
        <v>William</v>
      </c>
      <c r="Y721" s="11" t="str">
        <f ca="1">INDEX(tblNormalTestIM[],MATCH(tblDistributionTests[[#This Row],[Rand]],tblNormalTestIM[Score],-1),2)</f>
        <v>Frank</v>
      </c>
    </row>
    <row r="722" spans="22:25" x14ac:dyDescent="0.2">
      <c r="V722" s="1">
        <f t="shared" ca="1" si="11"/>
        <v>0.28000000000000003</v>
      </c>
      <c r="W722" s="1" t="e">
        <f ca="1">VLOOKUP(tblDistributionTests[[#This Row],[Rand]]+MIN(tblFairTest[Score]),tblFairTest[],2,TRUE)</f>
        <v>#N/A</v>
      </c>
      <c r="X722" s="1" t="str">
        <f ca="1">VLOOKUP(tblDistributionTests[[#This Row],[Rand]],tblNormalTestVl[],2,TRUE)</f>
        <v>Luke</v>
      </c>
      <c r="Y722" s="11" t="str">
        <f ca="1">INDEX(tblNormalTestIM[],MATCH(tblDistributionTests[[#This Row],[Rand]],tblNormalTestIM[Score],-1),2)</f>
        <v>Riley</v>
      </c>
    </row>
    <row r="723" spans="22:25" x14ac:dyDescent="0.2">
      <c r="V723" s="1">
        <f t="shared" ca="1" si="11"/>
        <v>0.6</v>
      </c>
      <c r="W723" s="1" t="str">
        <f ca="1">VLOOKUP(tblDistributionTests[[#This Row],[Rand]]+MIN(tblFairTest[Score]),tblFairTest[],2,TRUE)</f>
        <v>Todd</v>
      </c>
      <c r="X723" s="1" t="str">
        <f ca="1">VLOOKUP(tblDistributionTests[[#This Row],[Rand]],tblNormalTestVl[],2,TRUE)</f>
        <v>Riley</v>
      </c>
      <c r="Y723" s="11" t="str">
        <f ca="1">INDEX(tblNormalTestIM[],MATCH(tblDistributionTests[[#This Row],[Rand]],tblNormalTestIM[Score],-1),2)</f>
        <v>Luke</v>
      </c>
    </row>
    <row r="724" spans="22:25" x14ac:dyDescent="0.2">
      <c r="V724" s="1">
        <f t="shared" ca="1" si="11"/>
        <v>0.78</v>
      </c>
      <c r="W724" s="1" t="str">
        <f ca="1">VLOOKUP(tblDistributionTests[[#This Row],[Rand]]+MIN(tblFairTest[Score]),tblFairTest[],2,TRUE)</f>
        <v>Todd</v>
      </c>
      <c r="X724" s="1" t="str">
        <f ca="1">VLOOKUP(tblDistributionTests[[#This Row],[Rand]],tblNormalTestVl[],2,TRUE)</f>
        <v>William</v>
      </c>
      <c r="Y724" s="11" t="str">
        <f ca="1">INDEX(tblNormalTestIM[],MATCH(tblDistributionTests[[#This Row],[Rand]],tblNormalTestIM[Score],-1),2)</f>
        <v>Frank</v>
      </c>
    </row>
    <row r="725" spans="22:25" x14ac:dyDescent="0.2">
      <c r="V725" s="1">
        <f t="shared" ca="1" si="11"/>
        <v>0.97</v>
      </c>
      <c r="W725" s="1" t="str">
        <f ca="1">VLOOKUP(tblDistributionTests[[#This Row],[Rand]]+MIN(tblFairTest[Score]),tblFairTest[],2,TRUE)</f>
        <v>Todd</v>
      </c>
      <c r="X725" s="1" t="str">
        <f ca="1">VLOOKUP(tblDistributionTests[[#This Row],[Rand]],tblNormalTestVl[],2,TRUE)</f>
        <v>Eric</v>
      </c>
      <c r="Y725" s="11" t="str">
        <f ca="1">INDEX(tblNormalTestIM[],MATCH(tblDistributionTests[[#This Row],[Rand]],tblNormalTestIM[Score],-1),2)</f>
        <v>Bill</v>
      </c>
    </row>
    <row r="726" spans="22:25" x14ac:dyDescent="0.2">
      <c r="V726" s="1">
        <f t="shared" ca="1" si="11"/>
        <v>0.1</v>
      </c>
      <c r="W726" s="1" t="e">
        <f ca="1">VLOOKUP(tblDistributionTests[[#This Row],[Rand]]+MIN(tblFairTest[Score]),tblFairTest[],2,TRUE)</f>
        <v>#N/A</v>
      </c>
      <c r="X726" s="1" t="str">
        <f ca="1">VLOOKUP(tblDistributionTests[[#This Row],[Rand]],tblNormalTestVl[],2,TRUE)</f>
        <v>Frank</v>
      </c>
      <c r="Y726" s="11" t="str">
        <f ca="1">INDEX(tblNormalTestIM[],MATCH(tblDistributionTests[[#This Row],[Rand]],tblNormalTestIM[Score],-1),2)</f>
        <v>William</v>
      </c>
    </row>
    <row r="727" spans="22:25" x14ac:dyDescent="0.2">
      <c r="V727" s="1">
        <f t="shared" ca="1" si="11"/>
        <v>0.36</v>
      </c>
      <c r="W727" s="1" t="e">
        <f ca="1">VLOOKUP(tblDistributionTests[[#This Row],[Rand]]+MIN(tblFairTest[Score]),tblFairTest[],2,TRUE)</f>
        <v>#N/A</v>
      </c>
      <c r="X727" s="1" t="str">
        <f ca="1">VLOOKUP(tblDistributionTests[[#This Row],[Rand]],tblNormalTestVl[],2,TRUE)</f>
        <v>Luke</v>
      </c>
      <c r="Y727" s="11" t="str">
        <f ca="1">INDEX(tblNormalTestIM[],MATCH(tblDistributionTests[[#This Row],[Rand]],tblNormalTestIM[Score],-1),2)</f>
        <v>Riley</v>
      </c>
    </row>
    <row r="728" spans="22:25" x14ac:dyDescent="0.2">
      <c r="V728" s="1">
        <f t="shared" ca="1" si="11"/>
        <v>0.46</v>
      </c>
      <c r="W728" s="1" t="e">
        <f ca="1">VLOOKUP(tblDistributionTests[[#This Row],[Rand]]+MIN(tblFairTest[Score]),tblFairTest[],2,TRUE)</f>
        <v>#N/A</v>
      </c>
      <c r="X728" s="1" t="str">
        <f ca="1">VLOOKUP(tblDistributionTests[[#This Row],[Rand]],tblNormalTestVl[],2,TRUE)</f>
        <v>Luke</v>
      </c>
      <c r="Y728" s="11" t="str">
        <f ca="1">INDEX(tblNormalTestIM[],MATCH(tblDistributionTests[[#This Row],[Rand]],tblNormalTestIM[Score],-1),2)</f>
        <v>Riley</v>
      </c>
    </row>
    <row r="729" spans="22:25" x14ac:dyDescent="0.2">
      <c r="V729" s="1">
        <f t="shared" ca="1" si="11"/>
        <v>0.82</v>
      </c>
      <c r="W729" s="1" t="str">
        <f ca="1">VLOOKUP(tblDistributionTests[[#This Row],[Rand]]+MIN(tblFairTest[Score]),tblFairTest[],2,TRUE)</f>
        <v>Todd</v>
      </c>
      <c r="X729" s="1" t="str">
        <f ca="1">VLOOKUP(tblDistributionTests[[#This Row],[Rand]],tblNormalTestVl[],2,TRUE)</f>
        <v>William</v>
      </c>
      <c r="Y729" s="11" t="str">
        <f ca="1">INDEX(tblNormalTestIM[],MATCH(tblDistributionTests[[#This Row],[Rand]],tblNormalTestIM[Score],-1),2)</f>
        <v>Frank</v>
      </c>
    </row>
    <row r="730" spans="22:25" x14ac:dyDescent="0.2">
      <c r="V730" s="1">
        <f t="shared" ca="1" si="11"/>
        <v>0.61</v>
      </c>
      <c r="W730" s="1" t="str">
        <f ca="1">VLOOKUP(tblDistributionTests[[#This Row],[Rand]]+MIN(tblFairTest[Score]),tblFairTest[],2,TRUE)</f>
        <v>Todd</v>
      </c>
      <c r="X730" s="1" t="str">
        <f ca="1">VLOOKUP(tblDistributionTests[[#This Row],[Rand]],tblNormalTestVl[],2,TRUE)</f>
        <v>Riley</v>
      </c>
      <c r="Y730" s="11" t="str">
        <f ca="1">INDEX(tblNormalTestIM[],MATCH(tblDistributionTests[[#This Row],[Rand]],tblNormalTestIM[Score],-1),2)</f>
        <v>Luke</v>
      </c>
    </row>
    <row r="731" spans="22:25" x14ac:dyDescent="0.2">
      <c r="V731" s="1">
        <f t="shared" ca="1" si="11"/>
        <v>0.97</v>
      </c>
      <c r="W731" s="1" t="str">
        <f ca="1">VLOOKUP(tblDistributionTests[[#This Row],[Rand]]+MIN(tblFairTest[Score]),tblFairTest[],2,TRUE)</f>
        <v>Todd</v>
      </c>
      <c r="X731" s="1" t="str">
        <f ca="1">VLOOKUP(tblDistributionTests[[#This Row],[Rand]],tblNormalTestVl[],2,TRUE)</f>
        <v>Eric</v>
      </c>
      <c r="Y731" s="11" t="str">
        <f ca="1">INDEX(tblNormalTestIM[],MATCH(tblDistributionTests[[#This Row],[Rand]],tblNormalTestIM[Score],-1),2)</f>
        <v>Bill</v>
      </c>
    </row>
    <row r="732" spans="22:25" x14ac:dyDescent="0.2">
      <c r="V732" s="1">
        <f t="shared" ca="1" si="11"/>
        <v>0.89</v>
      </c>
      <c r="W732" s="1" t="str">
        <f ca="1">VLOOKUP(tblDistributionTests[[#This Row],[Rand]]+MIN(tblFairTest[Score]),tblFairTest[],2,TRUE)</f>
        <v>Todd</v>
      </c>
      <c r="X732" s="1" t="str">
        <f ca="1">VLOOKUP(tblDistributionTests[[#This Row],[Rand]],tblNormalTestVl[],2,TRUE)</f>
        <v>William</v>
      </c>
      <c r="Y732" s="11" t="str">
        <f ca="1">INDEX(tblNormalTestIM[],MATCH(tblDistributionTests[[#This Row],[Rand]],tblNormalTestIM[Score],-1),2)</f>
        <v>Frank</v>
      </c>
    </row>
    <row r="733" spans="22:25" x14ac:dyDescent="0.2">
      <c r="V733" s="1">
        <f t="shared" ca="1" si="11"/>
        <v>0.78</v>
      </c>
      <c r="W733" s="1" t="str">
        <f ca="1">VLOOKUP(tblDistributionTests[[#This Row],[Rand]]+MIN(tblFairTest[Score]),tblFairTest[],2,TRUE)</f>
        <v>Todd</v>
      </c>
      <c r="X733" s="1" t="str">
        <f ca="1">VLOOKUP(tblDistributionTests[[#This Row],[Rand]],tblNormalTestVl[],2,TRUE)</f>
        <v>William</v>
      </c>
      <c r="Y733" s="11" t="str">
        <f ca="1">INDEX(tblNormalTestIM[],MATCH(tblDistributionTests[[#This Row],[Rand]],tblNormalTestIM[Score],-1),2)</f>
        <v>Frank</v>
      </c>
    </row>
    <row r="734" spans="22:25" x14ac:dyDescent="0.2">
      <c r="V734" s="1">
        <f t="shared" ca="1" si="11"/>
        <v>0.86</v>
      </c>
      <c r="W734" s="1" t="str">
        <f ca="1">VLOOKUP(tblDistributionTests[[#This Row],[Rand]]+MIN(tblFairTest[Score]),tblFairTest[],2,TRUE)</f>
        <v>Todd</v>
      </c>
      <c r="X734" s="1" t="str">
        <f ca="1">VLOOKUP(tblDistributionTests[[#This Row],[Rand]],tblNormalTestVl[],2,TRUE)</f>
        <v>William</v>
      </c>
      <c r="Y734" s="11" t="str">
        <f ca="1">INDEX(tblNormalTestIM[],MATCH(tblDistributionTests[[#This Row],[Rand]],tblNormalTestIM[Score],-1),2)</f>
        <v>Frank</v>
      </c>
    </row>
    <row r="735" spans="22:25" x14ac:dyDescent="0.2">
      <c r="V735" s="1">
        <f t="shared" ca="1" si="11"/>
        <v>0.62</v>
      </c>
      <c r="W735" s="1" t="str">
        <f ca="1">VLOOKUP(tblDistributionTests[[#This Row],[Rand]]+MIN(tblFairTest[Score]),tblFairTest[],2,TRUE)</f>
        <v>Todd</v>
      </c>
      <c r="X735" s="1" t="str">
        <f ca="1">VLOOKUP(tblDistributionTests[[#This Row],[Rand]],tblNormalTestVl[],2,TRUE)</f>
        <v>Riley</v>
      </c>
      <c r="Y735" s="11" t="str">
        <f ca="1">INDEX(tblNormalTestIM[],MATCH(tblDistributionTests[[#This Row],[Rand]],tblNormalTestIM[Score],-1),2)</f>
        <v>Luke</v>
      </c>
    </row>
    <row r="736" spans="22:25" x14ac:dyDescent="0.2">
      <c r="V736" s="1">
        <f t="shared" ca="1" si="11"/>
        <v>0.79</v>
      </c>
      <c r="W736" s="1" t="str">
        <f ca="1">VLOOKUP(tblDistributionTests[[#This Row],[Rand]]+MIN(tblFairTest[Score]),tblFairTest[],2,TRUE)</f>
        <v>Todd</v>
      </c>
      <c r="X736" s="1" t="str">
        <f ca="1">VLOOKUP(tblDistributionTests[[#This Row],[Rand]],tblNormalTestVl[],2,TRUE)</f>
        <v>William</v>
      </c>
      <c r="Y736" s="11" t="str">
        <f ca="1">INDEX(tblNormalTestIM[],MATCH(tblDistributionTests[[#This Row],[Rand]],tblNormalTestIM[Score],-1),2)</f>
        <v>Frank</v>
      </c>
    </row>
    <row r="737" spans="22:25" x14ac:dyDescent="0.2">
      <c r="V737" s="1">
        <f t="shared" ca="1" si="11"/>
        <v>0.54</v>
      </c>
      <c r="W737" s="1" t="str">
        <f ca="1">VLOOKUP(tblDistributionTests[[#This Row],[Rand]]+MIN(tblFairTest[Score]),tblFairTest[],2,TRUE)</f>
        <v>Todd</v>
      </c>
      <c r="X737" s="1" t="str">
        <f ca="1">VLOOKUP(tblDistributionTests[[#This Row],[Rand]],tblNormalTestVl[],2,TRUE)</f>
        <v>Riley</v>
      </c>
      <c r="Y737" s="11" t="str">
        <f ca="1">INDEX(tblNormalTestIM[],MATCH(tblDistributionTests[[#This Row],[Rand]],tblNormalTestIM[Score],-1),2)</f>
        <v>Luke</v>
      </c>
    </row>
    <row r="738" spans="22:25" x14ac:dyDescent="0.2">
      <c r="V738" s="1">
        <f t="shared" ca="1" si="11"/>
        <v>0.25</v>
      </c>
      <c r="W738" s="1" t="e">
        <f ca="1">VLOOKUP(tblDistributionTests[[#This Row],[Rand]]+MIN(tblFairTest[Score]),tblFairTest[],2,TRUE)</f>
        <v>#N/A</v>
      </c>
      <c r="X738" s="1" t="str">
        <f ca="1">VLOOKUP(tblDistributionTests[[#This Row],[Rand]],tblNormalTestVl[],2,TRUE)</f>
        <v>Luke</v>
      </c>
      <c r="Y738" s="11" t="str">
        <f ca="1">INDEX(tblNormalTestIM[],MATCH(tblDistributionTests[[#This Row],[Rand]],tblNormalTestIM[Score],-1),2)</f>
        <v>Riley</v>
      </c>
    </row>
    <row r="739" spans="22:25" x14ac:dyDescent="0.2">
      <c r="V739" s="1">
        <f t="shared" ca="1" si="11"/>
        <v>0.1</v>
      </c>
      <c r="W739" s="1" t="e">
        <f ca="1">VLOOKUP(tblDistributionTests[[#This Row],[Rand]]+MIN(tblFairTest[Score]),tblFairTest[],2,TRUE)</f>
        <v>#N/A</v>
      </c>
      <c r="X739" s="1" t="str">
        <f ca="1">VLOOKUP(tblDistributionTests[[#This Row],[Rand]],tblNormalTestVl[],2,TRUE)</f>
        <v>Frank</v>
      </c>
      <c r="Y739" s="11" t="str">
        <f ca="1">INDEX(tblNormalTestIM[],MATCH(tblDistributionTests[[#This Row],[Rand]],tblNormalTestIM[Score],-1),2)</f>
        <v>William</v>
      </c>
    </row>
    <row r="740" spans="22:25" x14ac:dyDescent="0.2">
      <c r="V740" s="1">
        <f t="shared" ca="1" si="11"/>
        <v>0.86</v>
      </c>
      <c r="W740" s="1" t="str">
        <f ca="1">VLOOKUP(tblDistributionTests[[#This Row],[Rand]]+MIN(tblFairTest[Score]),tblFairTest[],2,TRUE)</f>
        <v>Todd</v>
      </c>
      <c r="X740" s="1" t="str">
        <f ca="1">VLOOKUP(tblDistributionTests[[#This Row],[Rand]],tblNormalTestVl[],2,TRUE)</f>
        <v>William</v>
      </c>
      <c r="Y740" s="11" t="str">
        <f ca="1">INDEX(tblNormalTestIM[],MATCH(tblDistributionTests[[#This Row],[Rand]],tblNormalTestIM[Score],-1),2)</f>
        <v>Frank</v>
      </c>
    </row>
    <row r="741" spans="22:25" x14ac:dyDescent="0.2">
      <c r="V741" s="1">
        <f t="shared" ca="1" si="11"/>
        <v>0.69</v>
      </c>
      <c r="W741" s="1" t="str">
        <f ca="1">VLOOKUP(tblDistributionTests[[#This Row],[Rand]]+MIN(tblFairTest[Score]),tblFairTest[],2,TRUE)</f>
        <v>Todd</v>
      </c>
      <c r="X741" s="1" t="str">
        <f ca="1">VLOOKUP(tblDistributionTests[[#This Row],[Rand]],tblNormalTestVl[],2,TRUE)</f>
        <v>Riley</v>
      </c>
      <c r="Y741" s="11" t="str">
        <f ca="1">INDEX(tblNormalTestIM[],MATCH(tblDistributionTests[[#This Row],[Rand]],tblNormalTestIM[Score],-1),2)</f>
        <v>Luke</v>
      </c>
    </row>
    <row r="742" spans="22:25" x14ac:dyDescent="0.2">
      <c r="V742" s="1">
        <f t="shared" ca="1" si="11"/>
        <v>0.61</v>
      </c>
      <c r="W742" s="1" t="str">
        <f ca="1">VLOOKUP(tblDistributionTests[[#This Row],[Rand]]+MIN(tblFairTest[Score]),tblFairTest[],2,TRUE)</f>
        <v>Todd</v>
      </c>
      <c r="X742" s="1" t="str">
        <f ca="1">VLOOKUP(tblDistributionTests[[#This Row],[Rand]],tblNormalTestVl[],2,TRUE)</f>
        <v>Riley</v>
      </c>
      <c r="Y742" s="11" t="str">
        <f ca="1">INDEX(tblNormalTestIM[],MATCH(tblDistributionTests[[#This Row],[Rand]],tblNormalTestIM[Score],-1),2)</f>
        <v>Luke</v>
      </c>
    </row>
    <row r="743" spans="22:25" x14ac:dyDescent="0.2">
      <c r="V743" s="1">
        <f t="shared" ca="1" si="11"/>
        <v>0.55000000000000004</v>
      </c>
      <c r="W743" s="1" t="str">
        <f ca="1">VLOOKUP(tblDistributionTests[[#This Row],[Rand]]+MIN(tblFairTest[Score]),tblFairTest[],2,TRUE)</f>
        <v>Todd</v>
      </c>
      <c r="X743" s="1" t="str">
        <f ca="1">VLOOKUP(tblDistributionTests[[#This Row],[Rand]],tblNormalTestVl[],2,TRUE)</f>
        <v>Riley</v>
      </c>
      <c r="Y743" s="11" t="str">
        <f ca="1">INDEX(tblNormalTestIM[],MATCH(tblDistributionTests[[#This Row],[Rand]],tblNormalTestIM[Score],-1),2)</f>
        <v>Luke</v>
      </c>
    </row>
    <row r="744" spans="22:25" x14ac:dyDescent="0.2">
      <c r="V744" s="1">
        <f t="shared" ca="1" si="11"/>
        <v>0.15</v>
      </c>
      <c r="W744" s="1" t="e">
        <f ca="1">VLOOKUP(tblDistributionTests[[#This Row],[Rand]]+MIN(tblFairTest[Score]),tblFairTest[],2,TRUE)</f>
        <v>#N/A</v>
      </c>
      <c r="X744" s="1" t="str">
        <f ca="1">VLOOKUP(tblDistributionTests[[#This Row],[Rand]],tblNormalTestVl[],2,TRUE)</f>
        <v>Frank</v>
      </c>
      <c r="Y744" s="11" t="str">
        <f ca="1">INDEX(tblNormalTestIM[],MATCH(tblDistributionTests[[#This Row],[Rand]],tblNormalTestIM[Score],-1),2)</f>
        <v>William</v>
      </c>
    </row>
    <row r="745" spans="22:25" x14ac:dyDescent="0.2">
      <c r="V745" s="1">
        <f t="shared" ca="1" si="11"/>
        <v>0.72</v>
      </c>
      <c r="W745" s="1" t="str">
        <f ca="1">VLOOKUP(tblDistributionTests[[#This Row],[Rand]]+MIN(tblFairTest[Score]),tblFairTest[],2,TRUE)</f>
        <v>Todd</v>
      </c>
      <c r="X745" s="1" t="str">
        <f ca="1">VLOOKUP(tblDistributionTests[[#This Row],[Rand]],tblNormalTestVl[],2,TRUE)</f>
        <v>Riley</v>
      </c>
      <c r="Y745" s="11" t="str">
        <f ca="1">INDEX(tblNormalTestIM[],MATCH(tblDistributionTests[[#This Row],[Rand]],tblNormalTestIM[Score],-1),2)</f>
        <v>Luke</v>
      </c>
    </row>
    <row r="746" spans="22:25" x14ac:dyDescent="0.2">
      <c r="V746" s="1">
        <f t="shared" ca="1" si="11"/>
        <v>0.37</v>
      </c>
      <c r="W746" s="1" t="e">
        <f ca="1">VLOOKUP(tblDistributionTests[[#This Row],[Rand]]+MIN(tblFairTest[Score]),tblFairTest[],2,TRUE)</f>
        <v>#N/A</v>
      </c>
      <c r="X746" s="1" t="str">
        <f ca="1">VLOOKUP(tblDistributionTests[[#This Row],[Rand]],tblNormalTestVl[],2,TRUE)</f>
        <v>Luke</v>
      </c>
      <c r="Y746" s="11" t="str">
        <f ca="1">INDEX(tblNormalTestIM[],MATCH(tblDistributionTests[[#This Row],[Rand]],tblNormalTestIM[Score],-1),2)</f>
        <v>Riley</v>
      </c>
    </row>
    <row r="747" spans="22:25" x14ac:dyDescent="0.2">
      <c r="V747" s="1">
        <f t="shared" ca="1" si="11"/>
        <v>0.15</v>
      </c>
      <c r="W747" s="1" t="e">
        <f ca="1">VLOOKUP(tblDistributionTests[[#This Row],[Rand]]+MIN(tblFairTest[Score]),tblFairTest[],2,TRUE)</f>
        <v>#N/A</v>
      </c>
      <c r="X747" s="1" t="str">
        <f ca="1">VLOOKUP(tblDistributionTests[[#This Row],[Rand]],tblNormalTestVl[],2,TRUE)</f>
        <v>Frank</v>
      </c>
      <c r="Y747" s="11" t="str">
        <f ca="1">INDEX(tblNormalTestIM[],MATCH(tblDistributionTests[[#This Row],[Rand]],tblNormalTestIM[Score],-1),2)</f>
        <v>William</v>
      </c>
    </row>
    <row r="748" spans="22:25" x14ac:dyDescent="0.2">
      <c r="V748" s="1">
        <f t="shared" ca="1" si="11"/>
        <v>0.44</v>
      </c>
      <c r="W748" s="1" t="e">
        <f ca="1">VLOOKUP(tblDistributionTests[[#This Row],[Rand]]+MIN(tblFairTest[Score]),tblFairTest[],2,TRUE)</f>
        <v>#N/A</v>
      </c>
      <c r="X748" s="1" t="str">
        <f ca="1">VLOOKUP(tblDistributionTests[[#This Row],[Rand]],tblNormalTestVl[],2,TRUE)</f>
        <v>Luke</v>
      </c>
      <c r="Y748" s="11" t="str">
        <f ca="1">INDEX(tblNormalTestIM[],MATCH(tblDistributionTests[[#This Row],[Rand]],tblNormalTestIM[Score],-1),2)</f>
        <v>Riley</v>
      </c>
    </row>
    <row r="749" spans="22:25" x14ac:dyDescent="0.2">
      <c r="V749" s="1">
        <f t="shared" ca="1" si="11"/>
        <v>1</v>
      </c>
      <c r="W749" s="1" t="str">
        <f ca="1">VLOOKUP(tblDistributionTests[[#This Row],[Rand]]+MIN(tblFairTest[Score]),tblFairTest[],2,TRUE)</f>
        <v>Todd</v>
      </c>
      <c r="X749" s="1" t="str">
        <f ca="1">VLOOKUP(tblDistributionTests[[#This Row],[Rand]],tblNormalTestVl[],2,TRUE)</f>
        <v>Todd</v>
      </c>
      <c r="Y749" s="11" t="e">
        <f ca="1">INDEX(tblNormalTestIM[],MATCH(tblDistributionTests[[#This Row],[Rand]],tblNormalTestIM[Score],-1),2)</f>
        <v>#N/A</v>
      </c>
    </row>
    <row r="750" spans="22:25" x14ac:dyDescent="0.2">
      <c r="V750" s="1">
        <f t="shared" ca="1" si="11"/>
        <v>0.32</v>
      </c>
      <c r="W750" s="1" t="e">
        <f ca="1">VLOOKUP(tblDistributionTests[[#This Row],[Rand]]+MIN(tblFairTest[Score]),tblFairTest[],2,TRUE)</f>
        <v>#N/A</v>
      </c>
      <c r="X750" s="1" t="str">
        <f ca="1">VLOOKUP(tblDistributionTests[[#This Row],[Rand]],tblNormalTestVl[],2,TRUE)</f>
        <v>Luke</v>
      </c>
      <c r="Y750" s="11" t="str">
        <f ca="1">INDEX(tblNormalTestIM[],MATCH(tblDistributionTests[[#This Row],[Rand]],tblNormalTestIM[Score],-1),2)</f>
        <v>Riley</v>
      </c>
    </row>
    <row r="751" spans="22:25" x14ac:dyDescent="0.2">
      <c r="V751" s="1">
        <f t="shared" ca="1" si="11"/>
        <v>0.95</v>
      </c>
      <c r="W751" s="1" t="str">
        <f ca="1">VLOOKUP(tblDistributionTests[[#This Row],[Rand]]+MIN(tblFairTest[Score]),tblFairTest[],2,TRUE)</f>
        <v>Todd</v>
      </c>
      <c r="X751" s="1" t="str">
        <f ca="1">VLOOKUP(tblDistributionTests[[#This Row],[Rand]],tblNormalTestVl[],2,TRUE)</f>
        <v>Eric</v>
      </c>
      <c r="Y751" s="11" t="str">
        <f ca="1">INDEX(tblNormalTestIM[],MATCH(tblDistributionTests[[#This Row],[Rand]],tblNormalTestIM[Score],-1),2)</f>
        <v>Bill</v>
      </c>
    </row>
    <row r="752" spans="22:25" x14ac:dyDescent="0.2">
      <c r="V752" s="1">
        <f t="shared" ca="1" si="11"/>
        <v>0.72</v>
      </c>
      <c r="W752" s="1" t="str">
        <f ca="1">VLOOKUP(tblDistributionTests[[#This Row],[Rand]]+MIN(tblFairTest[Score]),tblFairTest[],2,TRUE)</f>
        <v>Todd</v>
      </c>
      <c r="X752" s="1" t="str">
        <f ca="1">VLOOKUP(tblDistributionTests[[#This Row],[Rand]],tblNormalTestVl[],2,TRUE)</f>
        <v>Riley</v>
      </c>
      <c r="Y752" s="11" t="str">
        <f ca="1">INDEX(tblNormalTestIM[],MATCH(tblDistributionTests[[#This Row],[Rand]],tblNormalTestIM[Score],-1),2)</f>
        <v>Luke</v>
      </c>
    </row>
    <row r="753" spans="22:25" x14ac:dyDescent="0.2">
      <c r="V753" s="1">
        <f t="shared" ca="1" si="11"/>
        <v>0.19</v>
      </c>
      <c r="W753" s="1" t="e">
        <f ca="1">VLOOKUP(tblDistributionTests[[#This Row],[Rand]]+MIN(tblFairTest[Score]),tblFairTest[],2,TRUE)</f>
        <v>#N/A</v>
      </c>
      <c r="X753" s="1" t="str">
        <f ca="1">VLOOKUP(tblDistributionTests[[#This Row],[Rand]],tblNormalTestVl[],2,TRUE)</f>
        <v>Frank</v>
      </c>
      <c r="Y753" s="11" t="str">
        <f ca="1">INDEX(tblNormalTestIM[],MATCH(tblDistributionTests[[#This Row],[Rand]],tblNormalTestIM[Score],-1),2)</f>
        <v>William</v>
      </c>
    </row>
    <row r="754" spans="22:25" x14ac:dyDescent="0.2">
      <c r="V754" s="1">
        <f t="shared" ca="1" si="11"/>
        <v>0.18</v>
      </c>
      <c r="W754" s="1" t="e">
        <f ca="1">VLOOKUP(tblDistributionTests[[#This Row],[Rand]]+MIN(tblFairTest[Score]),tblFairTest[],2,TRUE)</f>
        <v>#N/A</v>
      </c>
      <c r="X754" s="1" t="str">
        <f ca="1">VLOOKUP(tblDistributionTests[[#This Row],[Rand]],tblNormalTestVl[],2,TRUE)</f>
        <v>Frank</v>
      </c>
      <c r="Y754" s="11" t="str">
        <f ca="1">INDEX(tblNormalTestIM[],MATCH(tblDistributionTests[[#This Row],[Rand]],tblNormalTestIM[Score],-1),2)</f>
        <v>William</v>
      </c>
    </row>
    <row r="755" spans="22:25" x14ac:dyDescent="0.2">
      <c r="V755" s="1">
        <f t="shared" ca="1" si="11"/>
        <v>0.6</v>
      </c>
      <c r="W755" s="1" t="str">
        <f ca="1">VLOOKUP(tblDistributionTests[[#This Row],[Rand]]+MIN(tblFairTest[Score]),tblFairTest[],2,TRUE)</f>
        <v>Todd</v>
      </c>
      <c r="X755" s="1" t="str">
        <f ca="1">VLOOKUP(tblDistributionTests[[#This Row],[Rand]],tblNormalTestVl[],2,TRUE)</f>
        <v>Riley</v>
      </c>
      <c r="Y755" s="11" t="str">
        <f ca="1">INDEX(tblNormalTestIM[],MATCH(tblDistributionTests[[#This Row],[Rand]],tblNormalTestIM[Score],-1),2)</f>
        <v>Luke</v>
      </c>
    </row>
    <row r="756" spans="22:25" x14ac:dyDescent="0.2">
      <c r="V756" s="1">
        <f t="shared" ca="1" si="11"/>
        <v>0.57999999999999996</v>
      </c>
      <c r="W756" s="1" t="str">
        <f ca="1">VLOOKUP(tblDistributionTests[[#This Row],[Rand]]+MIN(tblFairTest[Score]),tblFairTest[],2,TRUE)</f>
        <v>Todd</v>
      </c>
      <c r="X756" s="1" t="str">
        <f ca="1">VLOOKUP(tblDistributionTests[[#This Row],[Rand]],tblNormalTestVl[],2,TRUE)</f>
        <v>Riley</v>
      </c>
      <c r="Y756" s="11" t="str">
        <f ca="1">INDEX(tblNormalTestIM[],MATCH(tblDistributionTests[[#This Row],[Rand]],tblNormalTestIM[Score],-1),2)</f>
        <v>Luke</v>
      </c>
    </row>
    <row r="757" spans="22:25" x14ac:dyDescent="0.2">
      <c r="V757" s="1">
        <f t="shared" ca="1" si="11"/>
        <v>0.49</v>
      </c>
      <c r="W757" s="1" t="e">
        <f ca="1">VLOOKUP(tblDistributionTests[[#This Row],[Rand]]+MIN(tblFairTest[Score]),tblFairTest[],2,TRUE)</f>
        <v>#N/A</v>
      </c>
      <c r="X757" s="1" t="str">
        <f ca="1">VLOOKUP(tblDistributionTests[[#This Row],[Rand]],tblNormalTestVl[],2,TRUE)</f>
        <v>Luke</v>
      </c>
      <c r="Y757" s="11" t="str">
        <f ca="1">INDEX(tblNormalTestIM[],MATCH(tblDistributionTests[[#This Row],[Rand]],tblNormalTestIM[Score],-1),2)</f>
        <v>Riley</v>
      </c>
    </row>
    <row r="758" spans="22:25" x14ac:dyDescent="0.2">
      <c r="V758" s="1">
        <f t="shared" ca="1" si="11"/>
        <v>0.02</v>
      </c>
      <c r="W758" s="1" t="e">
        <f ca="1">VLOOKUP(tblDistributionTests[[#This Row],[Rand]]+MIN(tblFairTest[Score]),tblFairTest[],2,TRUE)</f>
        <v>#N/A</v>
      </c>
      <c r="X758" s="1" t="str">
        <f ca="1">VLOOKUP(tblDistributionTests[[#This Row],[Rand]],tblNormalTestVl[],2,TRUE)</f>
        <v>Bill</v>
      </c>
      <c r="Y758" s="11" t="str">
        <f ca="1">INDEX(tblNormalTestIM[],MATCH(tblDistributionTests[[#This Row],[Rand]],tblNormalTestIM[Score],-1),2)</f>
        <v>Eric</v>
      </c>
    </row>
    <row r="759" spans="22:25" x14ac:dyDescent="0.2">
      <c r="V759" s="1">
        <f t="shared" ca="1" si="11"/>
        <v>0.7</v>
      </c>
      <c r="W759" s="1" t="str">
        <f ca="1">VLOOKUP(tblDistributionTests[[#This Row],[Rand]]+MIN(tblFairTest[Score]),tblFairTest[],2,TRUE)</f>
        <v>Todd</v>
      </c>
      <c r="X759" s="1" t="str">
        <f ca="1">VLOOKUP(tblDistributionTests[[#This Row],[Rand]],tblNormalTestVl[],2,TRUE)</f>
        <v>Riley</v>
      </c>
      <c r="Y759" s="11" t="str">
        <f ca="1">INDEX(tblNormalTestIM[],MATCH(tblDistributionTests[[#This Row],[Rand]],tblNormalTestIM[Score],-1),2)</f>
        <v>Luke</v>
      </c>
    </row>
    <row r="760" spans="22:25" x14ac:dyDescent="0.2">
      <c r="V760" s="1">
        <f t="shared" ca="1" si="11"/>
        <v>0.26</v>
      </c>
      <c r="W760" s="1" t="e">
        <f ca="1">VLOOKUP(tblDistributionTests[[#This Row],[Rand]]+MIN(tblFairTest[Score]),tblFairTest[],2,TRUE)</f>
        <v>#N/A</v>
      </c>
      <c r="X760" s="1" t="str">
        <f ca="1">VLOOKUP(tblDistributionTests[[#This Row],[Rand]],tblNormalTestVl[],2,TRUE)</f>
        <v>Luke</v>
      </c>
      <c r="Y760" s="11" t="str">
        <f ca="1">INDEX(tblNormalTestIM[],MATCH(tblDistributionTests[[#This Row],[Rand]],tblNormalTestIM[Score],-1),2)</f>
        <v>Riley</v>
      </c>
    </row>
    <row r="761" spans="22:25" x14ac:dyDescent="0.2">
      <c r="V761" s="1">
        <f t="shared" ca="1" si="11"/>
        <v>0.79</v>
      </c>
      <c r="W761" s="1" t="str">
        <f ca="1">VLOOKUP(tblDistributionTests[[#This Row],[Rand]]+MIN(tblFairTest[Score]),tblFairTest[],2,TRUE)</f>
        <v>Todd</v>
      </c>
      <c r="X761" s="1" t="str">
        <f ca="1">VLOOKUP(tblDistributionTests[[#This Row],[Rand]],tblNormalTestVl[],2,TRUE)</f>
        <v>William</v>
      </c>
      <c r="Y761" s="11" t="str">
        <f ca="1">INDEX(tblNormalTestIM[],MATCH(tblDistributionTests[[#This Row],[Rand]],tblNormalTestIM[Score],-1),2)</f>
        <v>Frank</v>
      </c>
    </row>
    <row r="762" spans="22:25" x14ac:dyDescent="0.2">
      <c r="V762" s="1">
        <f t="shared" ca="1" si="11"/>
        <v>0.84</v>
      </c>
      <c r="W762" s="1" t="str">
        <f ca="1">VLOOKUP(tblDistributionTests[[#This Row],[Rand]]+MIN(tblFairTest[Score]),tblFairTest[],2,TRUE)</f>
        <v>Todd</v>
      </c>
      <c r="X762" s="1" t="str">
        <f ca="1">VLOOKUP(tblDistributionTests[[#This Row],[Rand]],tblNormalTestVl[],2,TRUE)</f>
        <v>William</v>
      </c>
      <c r="Y762" s="11" t="str">
        <f ca="1">INDEX(tblNormalTestIM[],MATCH(tblDistributionTests[[#This Row],[Rand]],tblNormalTestIM[Score],-1),2)</f>
        <v>Frank</v>
      </c>
    </row>
    <row r="763" spans="22:25" x14ac:dyDescent="0.2">
      <c r="V763" s="1">
        <f t="shared" ca="1" si="11"/>
        <v>0.45</v>
      </c>
      <c r="W763" s="1" t="e">
        <f ca="1">VLOOKUP(tblDistributionTests[[#This Row],[Rand]]+MIN(tblFairTest[Score]),tblFairTest[],2,TRUE)</f>
        <v>#N/A</v>
      </c>
      <c r="X763" s="1" t="str">
        <f ca="1">VLOOKUP(tblDistributionTests[[#This Row],[Rand]],tblNormalTestVl[],2,TRUE)</f>
        <v>Luke</v>
      </c>
      <c r="Y763" s="11" t="str">
        <f ca="1">INDEX(tblNormalTestIM[],MATCH(tblDistributionTests[[#This Row],[Rand]],tblNormalTestIM[Score],-1),2)</f>
        <v>Riley</v>
      </c>
    </row>
    <row r="764" spans="22:25" x14ac:dyDescent="0.2">
      <c r="V764" s="1">
        <f t="shared" ca="1" si="11"/>
        <v>0.82</v>
      </c>
      <c r="W764" s="1" t="str">
        <f ca="1">VLOOKUP(tblDistributionTests[[#This Row],[Rand]]+MIN(tblFairTest[Score]),tblFairTest[],2,TRUE)</f>
        <v>Todd</v>
      </c>
      <c r="X764" s="1" t="str">
        <f ca="1">VLOOKUP(tblDistributionTests[[#This Row],[Rand]],tblNormalTestVl[],2,TRUE)</f>
        <v>William</v>
      </c>
      <c r="Y764" s="11" t="str">
        <f ca="1">INDEX(tblNormalTestIM[],MATCH(tblDistributionTests[[#This Row],[Rand]],tblNormalTestIM[Score],-1),2)</f>
        <v>Frank</v>
      </c>
    </row>
    <row r="765" spans="22:25" x14ac:dyDescent="0.2">
      <c r="V765" s="1">
        <f t="shared" ca="1" si="11"/>
        <v>0.82</v>
      </c>
      <c r="W765" s="1" t="str">
        <f ca="1">VLOOKUP(tblDistributionTests[[#This Row],[Rand]]+MIN(tblFairTest[Score]),tblFairTest[],2,TRUE)</f>
        <v>Todd</v>
      </c>
      <c r="X765" s="1" t="str">
        <f ca="1">VLOOKUP(tblDistributionTests[[#This Row],[Rand]],tblNormalTestVl[],2,TRUE)</f>
        <v>William</v>
      </c>
      <c r="Y765" s="11" t="str">
        <f ca="1">INDEX(tblNormalTestIM[],MATCH(tblDistributionTests[[#This Row],[Rand]],tblNormalTestIM[Score],-1),2)</f>
        <v>Frank</v>
      </c>
    </row>
    <row r="766" spans="22:25" x14ac:dyDescent="0.2">
      <c r="V766" s="1">
        <f t="shared" ca="1" si="11"/>
        <v>0.1</v>
      </c>
      <c r="W766" s="1" t="e">
        <f ca="1">VLOOKUP(tblDistributionTests[[#This Row],[Rand]]+MIN(tblFairTest[Score]),tblFairTest[],2,TRUE)</f>
        <v>#N/A</v>
      </c>
      <c r="X766" s="1" t="str">
        <f ca="1">VLOOKUP(tblDistributionTests[[#This Row],[Rand]],tblNormalTestVl[],2,TRUE)</f>
        <v>Frank</v>
      </c>
      <c r="Y766" s="11" t="str">
        <f ca="1">INDEX(tblNormalTestIM[],MATCH(tblDistributionTests[[#This Row],[Rand]],tblNormalTestIM[Score],-1),2)</f>
        <v>William</v>
      </c>
    </row>
    <row r="767" spans="22:25" x14ac:dyDescent="0.2">
      <c r="V767" s="1">
        <f t="shared" ca="1" si="11"/>
        <v>0.18</v>
      </c>
      <c r="W767" s="1" t="e">
        <f ca="1">VLOOKUP(tblDistributionTests[[#This Row],[Rand]]+MIN(tblFairTest[Score]),tblFairTest[],2,TRUE)</f>
        <v>#N/A</v>
      </c>
      <c r="X767" s="1" t="str">
        <f ca="1">VLOOKUP(tblDistributionTests[[#This Row],[Rand]],tblNormalTestVl[],2,TRUE)</f>
        <v>Frank</v>
      </c>
      <c r="Y767" s="11" t="str">
        <f ca="1">INDEX(tblNormalTestIM[],MATCH(tblDistributionTests[[#This Row],[Rand]],tblNormalTestIM[Score],-1),2)</f>
        <v>William</v>
      </c>
    </row>
    <row r="768" spans="22:25" x14ac:dyDescent="0.2">
      <c r="V768" s="1">
        <f t="shared" ca="1" si="11"/>
        <v>0.63</v>
      </c>
      <c r="W768" s="1" t="str">
        <f ca="1">VLOOKUP(tblDistributionTests[[#This Row],[Rand]]+MIN(tblFairTest[Score]),tblFairTest[],2,TRUE)</f>
        <v>Todd</v>
      </c>
      <c r="X768" s="1" t="str">
        <f ca="1">VLOOKUP(tblDistributionTests[[#This Row],[Rand]],tblNormalTestVl[],2,TRUE)</f>
        <v>Riley</v>
      </c>
      <c r="Y768" s="11" t="str">
        <f ca="1">INDEX(tblNormalTestIM[],MATCH(tblDistributionTests[[#This Row],[Rand]],tblNormalTestIM[Score],-1),2)</f>
        <v>Luke</v>
      </c>
    </row>
    <row r="769" spans="22:25" x14ac:dyDescent="0.2">
      <c r="V769" s="1">
        <f t="shared" ca="1" si="11"/>
        <v>0.71</v>
      </c>
      <c r="W769" s="1" t="str">
        <f ca="1">VLOOKUP(tblDistributionTests[[#This Row],[Rand]]+MIN(tblFairTest[Score]),tblFairTest[],2,TRUE)</f>
        <v>Todd</v>
      </c>
      <c r="X769" s="1" t="str">
        <f ca="1">VLOOKUP(tblDistributionTests[[#This Row],[Rand]],tblNormalTestVl[],2,TRUE)</f>
        <v>Riley</v>
      </c>
      <c r="Y769" s="11" t="str">
        <f ca="1">INDEX(tblNormalTestIM[],MATCH(tblDistributionTests[[#This Row],[Rand]],tblNormalTestIM[Score],-1),2)</f>
        <v>Luke</v>
      </c>
    </row>
    <row r="770" spans="22:25" x14ac:dyDescent="0.2">
      <c r="V770" s="1">
        <f t="shared" ca="1" si="11"/>
        <v>0.37</v>
      </c>
      <c r="W770" s="1" t="e">
        <f ca="1">VLOOKUP(tblDistributionTests[[#This Row],[Rand]]+MIN(tblFairTest[Score]),tblFairTest[],2,TRUE)</f>
        <v>#N/A</v>
      </c>
      <c r="X770" s="1" t="str">
        <f ca="1">VLOOKUP(tblDistributionTests[[#This Row],[Rand]],tblNormalTestVl[],2,TRUE)</f>
        <v>Luke</v>
      </c>
      <c r="Y770" s="11" t="str">
        <f ca="1">INDEX(tblNormalTestIM[],MATCH(tblDistributionTests[[#This Row],[Rand]],tblNormalTestIM[Score],-1),2)</f>
        <v>Riley</v>
      </c>
    </row>
    <row r="771" spans="22:25" x14ac:dyDescent="0.2">
      <c r="V771" s="1">
        <f t="shared" ca="1" si="11"/>
        <v>0.25</v>
      </c>
      <c r="W771" s="1" t="e">
        <f ca="1">VLOOKUP(tblDistributionTests[[#This Row],[Rand]]+MIN(tblFairTest[Score]),tblFairTest[],2,TRUE)</f>
        <v>#N/A</v>
      </c>
      <c r="X771" s="1" t="str">
        <f ca="1">VLOOKUP(tblDistributionTests[[#This Row],[Rand]],tblNormalTestVl[],2,TRUE)</f>
        <v>Luke</v>
      </c>
      <c r="Y771" s="11" t="str">
        <f ca="1">INDEX(tblNormalTestIM[],MATCH(tblDistributionTests[[#This Row],[Rand]],tblNormalTestIM[Score],-1),2)</f>
        <v>Riley</v>
      </c>
    </row>
    <row r="772" spans="22:25" x14ac:dyDescent="0.2">
      <c r="V772" s="1">
        <f t="shared" ca="1" si="11"/>
        <v>0.98</v>
      </c>
      <c r="W772" s="1" t="str">
        <f ca="1">VLOOKUP(tblDistributionTests[[#This Row],[Rand]]+MIN(tblFairTest[Score]),tblFairTest[],2,TRUE)</f>
        <v>Todd</v>
      </c>
      <c r="X772" s="1" t="str">
        <f ca="1">VLOOKUP(tblDistributionTests[[#This Row],[Rand]],tblNormalTestVl[],2,TRUE)</f>
        <v>Eric</v>
      </c>
      <c r="Y772" s="11" t="str">
        <f ca="1">INDEX(tblNormalTestIM[],MATCH(tblDistributionTests[[#This Row],[Rand]],tblNormalTestIM[Score],-1),2)</f>
        <v>Bill</v>
      </c>
    </row>
    <row r="773" spans="22:25" x14ac:dyDescent="0.2">
      <c r="V773" s="1">
        <f t="shared" ca="1" si="11"/>
        <v>0.31</v>
      </c>
      <c r="W773" s="1" t="e">
        <f ca="1">VLOOKUP(tblDistributionTests[[#This Row],[Rand]]+MIN(tblFairTest[Score]),tblFairTest[],2,TRUE)</f>
        <v>#N/A</v>
      </c>
      <c r="X773" s="1" t="str">
        <f ca="1">VLOOKUP(tblDistributionTests[[#This Row],[Rand]],tblNormalTestVl[],2,TRUE)</f>
        <v>Luke</v>
      </c>
      <c r="Y773" s="11" t="str">
        <f ca="1">INDEX(tblNormalTestIM[],MATCH(tblDistributionTests[[#This Row],[Rand]],tblNormalTestIM[Score],-1),2)</f>
        <v>Riley</v>
      </c>
    </row>
    <row r="774" spans="22:25" x14ac:dyDescent="0.2">
      <c r="V774" s="1">
        <f t="shared" ca="1" si="11"/>
        <v>0.05</v>
      </c>
      <c r="W774" s="1" t="e">
        <f ca="1">VLOOKUP(tblDistributionTests[[#This Row],[Rand]]+MIN(tblFairTest[Score]),tblFairTest[],2,TRUE)</f>
        <v>#N/A</v>
      </c>
      <c r="X774" s="1" t="str">
        <f ca="1">VLOOKUP(tblDistributionTests[[#This Row],[Rand]],tblNormalTestVl[],2,TRUE)</f>
        <v>Bill</v>
      </c>
      <c r="Y774" s="11" t="str">
        <f ca="1">INDEX(tblNormalTestIM[],MATCH(tblDistributionTests[[#This Row],[Rand]],tblNormalTestIM[Score],-1),2)</f>
        <v>Eric</v>
      </c>
    </row>
    <row r="775" spans="22:25" x14ac:dyDescent="0.2">
      <c r="V775" s="1">
        <f t="shared" ca="1" si="11"/>
        <v>0.69</v>
      </c>
      <c r="W775" s="1" t="str">
        <f ca="1">VLOOKUP(tblDistributionTests[[#This Row],[Rand]]+MIN(tblFairTest[Score]),tblFairTest[],2,TRUE)</f>
        <v>Todd</v>
      </c>
      <c r="X775" s="1" t="str">
        <f ca="1">VLOOKUP(tblDistributionTests[[#This Row],[Rand]],tblNormalTestVl[],2,TRUE)</f>
        <v>Riley</v>
      </c>
      <c r="Y775" s="11" t="str">
        <f ca="1">INDEX(tblNormalTestIM[],MATCH(tblDistributionTests[[#This Row],[Rand]],tblNormalTestIM[Score],-1),2)</f>
        <v>Luke</v>
      </c>
    </row>
    <row r="776" spans="22:25" x14ac:dyDescent="0.2">
      <c r="V776" s="1">
        <f t="shared" ref="V776:V839" ca="1" si="12">RANDBETWEEN(1,100)/100</f>
        <v>0.63</v>
      </c>
      <c r="W776" s="1" t="str">
        <f ca="1">VLOOKUP(tblDistributionTests[[#This Row],[Rand]]+MIN(tblFairTest[Score]),tblFairTest[],2,TRUE)</f>
        <v>Todd</v>
      </c>
      <c r="X776" s="1" t="str">
        <f ca="1">VLOOKUP(tblDistributionTests[[#This Row],[Rand]],tblNormalTestVl[],2,TRUE)</f>
        <v>Riley</v>
      </c>
      <c r="Y776" s="11" t="str">
        <f ca="1">INDEX(tblNormalTestIM[],MATCH(tblDistributionTests[[#This Row],[Rand]],tblNormalTestIM[Score],-1),2)</f>
        <v>Luke</v>
      </c>
    </row>
    <row r="777" spans="22:25" x14ac:dyDescent="0.2">
      <c r="V777" s="1">
        <f t="shared" ca="1" si="12"/>
        <v>0.82</v>
      </c>
      <c r="W777" s="1" t="str">
        <f ca="1">VLOOKUP(tblDistributionTests[[#This Row],[Rand]]+MIN(tblFairTest[Score]),tblFairTest[],2,TRUE)</f>
        <v>Todd</v>
      </c>
      <c r="X777" s="1" t="str">
        <f ca="1">VLOOKUP(tblDistributionTests[[#This Row],[Rand]],tblNormalTestVl[],2,TRUE)</f>
        <v>William</v>
      </c>
      <c r="Y777" s="11" t="str">
        <f ca="1">INDEX(tblNormalTestIM[],MATCH(tblDistributionTests[[#This Row],[Rand]],tblNormalTestIM[Score],-1),2)</f>
        <v>Frank</v>
      </c>
    </row>
    <row r="778" spans="22:25" x14ac:dyDescent="0.2">
      <c r="V778" s="1">
        <f t="shared" ca="1" si="12"/>
        <v>0.51</v>
      </c>
      <c r="W778" s="1" t="str">
        <f ca="1">VLOOKUP(tblDistributionTests[[#This Row],[Rand]]+MIN(tblFairTest[Score]),tblFairTest[],2,TRUE)</f>
        <v>Todd</v>
      </c>
      <c r="X778" s="1" t="str">
        <f ca="1">VLOOKUP(tblDistributionTests[[#This Row],[Rand]],tblNormalTestVl[],2,TRUE)</f>
        <v>Riley</v>
      </c>
      <c r="Y778" s="11" t="str">
        <f ca="1">INDEX(tblNormalTestIM[],MATCH(tblDistributionTests[[#This Row],[Rand]],tblNormalTestIM[Score],-1),2)</f>
        <v>Luke</v>
      </c>
    </row>
    <row r="779" spans="22:25" x14ac:dyDescent="0.2">
      <c r="V779" s="1">
        <f t="shared" ca="1" si="12"/>
        <v>0.51</v>
      </c>
      <c r="W779" s="1" t="str">
        <f ca="1">VLOOKUP(tblDistributionTests[[#This Row],[Rand]]+MIN(tblFairTest[Score]),tblFairTest[],2,TRUE)</f>
        <v>Todd</v>
      </c>
      <c r="X779" s="1" t="str">
        <f ca="1">VLOOKUP(tblDistributionTests[[#This Row],[Rand]],tblNormalTestVl[],2,TRUE)</f>
        <v>Riley</v>
      </c>
      <c r="Y779" s="11" t="str">
        <f ca="1">INDEX(tblNormalTestIM[],MATCH(tblDistributionTests[[#This Row],[Rand]],tblNormalTestIM[Score],-1),2)</f>
        <v>Luke</v>
      </c>
    </row>
    <row r="780" spans="22:25" x14ac:dyDescent="0.2">
      <c r="V780" s="1">
        <f t="shared" ca="1" si="12"/>
        <v>0.53</v>
      </c>
      <c r="W780" s="1" t="str">
        <f ca="1">VLOOKUP(tblDistributionTests[[#This Row],[Rand]]+MIN(tblFairTest[Score]),tblFairTest[],2,TRUE)</f>
        <v>Todd</v>
      </c>
      <c r="X780" s="1" t="str">
        <f ca="1">VLOOKUP(tblDistributionTests[[#This Row],[Rand]],tblNormalTestVl[],2,TRUE)</f>
        <v>Riley</v>
      </c>
      <c r="Y780" s="11" t="str">
        <f ca="1">INDEX(tblNormalTestIM[],MATCH(tblDistributionTests[[#This Row],[Rand]],tblNormalTestIM[Score],-1),2)</f>
        <v>Luke</v>
      </c>
    </row>
    <row r="781" spans="22:25" x14ac:dyDescent="0.2">
      <c r="V781" s="1">
        <f t="shared" ca="1" si="12"/>
        <v>0.93</v>
      </c>
      <c r="W781" s="1" t="str">
        <f ca="1">VLOOKUP(tblDistributionTests[[#This Row],[Rand]]+MIN(tblFairTest[Score]),tblFairTest[],2,TRUE)</f>
        <v>Todd</v>
      </c>
      <c r="X781" s="1" t="str">
        <f ca="1">VLOOKUP(tblDistributionTests[[#This Row],[Rand]],tblNormalTestVl[],2,TRUE)</f>
        <v>William</v>
      </c>
      <c r="Y781" s="11" t="str">
        <f ca="1">INDEX(tblNormalTestIM[],MATCH(tblDistributionTests[[#This Row],[Rand]],tblNormalTestIM[Score],-1),2)</f>
        <v>Frank</v>
      </c>
    </row>
    <row r="782" spans="22:25" x14ac:dyDescent="0.2">
      <c r="V782" s="1">
        <f t="shared" ca="1" si="12"/>
        <v>0.73</v>
      </c>
      <c r="W782" s="1" t="str">
        <f ca="1">VLOOKUP(tblDistributionTests[[#This Row],[Rand]]+MIN(tblFairTest[Score]),tblFairTest[],2,TRUE)</f>
        <v>Todd</v>
      </c>
      <c r="X782" s="1" t="str">
        <f ca="1">VLOOKUP(tblDistributionTests[[#This Row],[Rand]],tblNormalTestVl[],2,TRUE)</f>
        <v>Riley</v>
      </c>
      <c r="Y782" s="11" t="str">
        <f ca="1">INDEX(tblNormalTestIM[],MATCH(tblDistributionTests[[#This Row],[Rand]],tblNormalTestIM[Score],-1),2)</f>
        <v>Luke</v>
      </c>
    </row>
    <row r="783" spans="22:25" x14ac:dyDescent="0.2">
      <c r="V783" s="1">
        <f t="shared" ca="1" si="12"/>
        <v>0.79</v>
      </c>
      <c r="W783" s="1" t="str">
        <f ca="1">VLOOKUP(tblDistributionTests[[#This Row],[Rand]]+MIN(tblFairTest[Score]),tblFairTest[],2,TRUE)</f>
        <v>Todd</v>
      </c>
      <c r="X783" s="1" t="str">
        <f ca="1">VLOOKUP(tblDistributionTests[[#This Row],[Rand]],tblNormalTestVl[],2,TRUE)</f>
        <v>William</v>
      </c>
      <c r="Y783" s="11" t="str">
        <f ca="1">INDEX(tblNormalTestIM[],MATCH(tblDistributionTests[[#This Row],[Rand]],tblNormalTestIM[Score],-1),2)</f>
        <v>Frank</v>
      </c>
    </row>
    <row r="784" spans="22:25" x14ac:dyDescent="0.2">
      <c r="V784" s="1">
        <f t="shared" ca="1" si="12"/>
        <v>0.42</v>
      </c>
      <c r="W784" s="1" t="e">
        <f ca="1">VLOOKUP(tblDistributionTests[[#This Row],[Rand]]+MIN(tblFairTest[Score]),tblFairTest[],2,TRUE)</f>
        <v>#N/A</v>
      </c>
      <c r="X784" s="1" t="str">
        <f ca="1">VLOOKUP(tblDistributionTests[[#This Row],[Rand]],tblNormalTestVl[],2,TRUE)</f>
        <v>Luke</v>
      </c>
      <c r="Y784" s="11" t="str">
        <f ca="1">INDEX(tblNormalTestIM[],MATCH(tblDistributionTests[[#This Row],[Rand]],tblNormalTestIM[Score],-1),2)</f>
        <v>Riley</v>
      </c>
    </row>
    <row r="785" spans="22:25" x14ac:dyDescent="0.2">
      <c r="V785" s="1">
        <f t="shared" ca="1" si="12"/>
        <v>0.3</v>
      </c>
      <c r="W785" s="1" t="e">
        <f ca="1">VLOOKUP(tblDistributionTests[[#This Row],[Rand]]+MIN(tblFairTest[Score]),tblFairTest[],2,TRUE)</f>
        <v>#N/A</v>
      </c>
      <c r="X785" s="1" t="str">
        <f ca="1">VLOOKUP(tblDistributionTests[[#This Row],[Rand]],tblNormalTestVl[],2,TRUE)</f>
        <v>Luke</v>
      </c>
      <c r="Y785" s="11" t="str">
        <f ca="1">INDEX(tblNormalTestIM[],MATCH(tblDistributionTests[[#This Row],[Rand]],tblNormalTestIM[Score],-1),2)</f>
        <v>Riley</v>
      </c>
    </row>
    <row r="786" spans="22:25" x14ac:dyDescent="0.2">
      <c r="V786" s="1">
        <f t="shared" ca="1" si="12"/>
        <v>0.44</v>
      </c>
      <c r="W786" s="1" t="e">
        <f ca="1">VLOOKUP(tblDistributionTests[[#This Row],[Rand]]+MIN(tblFairTest[Score]),tblFairTest[],2,TRUE)</f>
        <v>#N/A</v>
      </c>
      <c r="X786" s="1" t="str">
        <f ca="1">VLOOKUP(tblDistributionTests[[#This Row],[Rand]],tblNormalTestVl[],2,TRUE)</f>
        <v>Luke</v>
      </c>
      <c r="Y786" s="11" t="str">
        <f ca="1">INDEX(tblNormalTestIM[],MATCH(tblDistributionTests[[#This Row],[Rand]],tblNormalTestIM[Score],-1),2)</f>
        <v>Riley</v>
      </c>
    </row>
    <row r="787" spans="22:25" x14ac:dyDescent="0.2">
      <c r="V787" s="1">
        <f t="shared" ca="1" si="12"/>
        <v>0.55000000000000004</v>
      </c>
      <c r="W787" s="1" t="str">
        <f ca="1">VLOOKUP(tblDistributionTests[[#This Row],[Rand]]+MIN(tblFairTest[Score]),tblFairTest[],2,TRUE)</f>
        <v>Todd</v>
      </c>
      <c r="X787" s="1" t="str">
        <f ca="1">VLOOKUP(tblDistributionTests[[#This Row],[Rand]],tblNormalTestVl[],2,TRUE)</f>
        <v>Riley</v>
      </c>
      <c r="Y787" s="11" t="str">
        <f ca="1">INDEX(tblNormalTestIM[],MATCH(tblDistributionTests[[#This Row],[Rand]],tblNormalTestIM[Score],-1),2)</f>
        <v>Luke</v>
      </c>
    </row>
    <row r="788" spans="22:25" x14ac:dyDescent="0.2">
      <c r="V788" s="1">
        <f t="shared" ca="1" si="12"/>
        <v>0.45</v>
      </c>
      <c r="W788" s="1" t="e">
        <f ca="1">VLOOKUP(tblDistributionTests[[#This Row],[Rand]]+MIN(tblFairTest[Score]),tblFairTest[],2,TRUE)</f>
        <v>#N/A</v>
      </c>
      <c r="X788" s="1" t="str">
        <f ca="1">VLOOKUP(tblDistributionTests[[#This Row],[Rand]],tblNormalTestVl[],2,TRUE)</f>
        <v>Luke</v>
      </c>
      <c r="Y788" s="11" t="str">
        <f ca="1">INDEX(tblNormalTestIM[],MATCH(tblDistributionTests[[#This Row],[Rand]],tblNormalTestIM[Score],-1),2)</f>
        <v>Riley</v>
      </c>
    </row>
    <row r="789" spans="22:25" x14ac:dyDescent="0.2">
      <c r="V789" s="1">
        <f t="shared" ca="1" si="12"/>
        <v>0.74</v>
      </c>
      <c r="W789" s="1" t="str">
        <f ca="1">VLOOKUP(tblDistributionTests[[#This Row],[Rand]]+MIN(tblFairTest[Score]),tblFairTest[],2,TRUE)</f>
        <v>Todd</v>
      </c>
      <c r="X789" s="1" t="str">
        <f ca="1">VLOOKUP(tblDistributionTests[[#This Row],[Rand]],tblNormalTestVl[],2,TRUE)</f>
        <v>Riley</v>
      </c>
      <c r="Y789" s="11" t="str">
        <f ca="1">INDEX(tblNormalTestIM[],MATCH(tblDistributionTests[[#This Row],[Rand]],tblNormalTestIM[Score],-1),2)</f>
        <v>Luke</v>
      </c>
    </row>
    <row r="790" spans="22:25" x14ac:dyDescent="0.2">
      <c r="V790" s="1">
        <f t="shared" ca="1" si="12"/>
        <v>0.15</v>
      </c>
      <c r="W790" s="1" t="e">
        <f ca="1">VLOOKUP(tblDistributionTests[[#This Row],[Rand]]+MIN(tblFairTest[Score]),tblFairTest[],2,TRUE)</f>
        <v>#N/A</v>
      </c>
      <c r="X790" s="1" t="str">
        <f ca="1">VLOOKUP(tblDistributionTests[[#This Row],[Rand]],tblNormalTestVl[],2,TRUE)</f>
        <v>Frank</v>
      </c>
      <c r="Y790" s="11" t="str">
        <f ca="1">INDEX(tblNormalTestIM[],MATCH(tblDistributionTests[[#This Row],[Rand]],tblNormalTestIM[Score],-1),2)</f>
        <v>William</v>
      </c>
    </row>
    <row r="791" spans="22:25" x14ac:dyDescent="0.2">
      <c r="V791" s="1">
        <f t="shared" ca="1" si="12"/>
        <v>0.02</v>
      </c>
      <c r="W791" s="1" t="e">
        <f ca="1">VLOOKUP(tblDistributionTests[[#This Row],[Rand]]+MIN(tblFairTest[Score]),tblFairTest[],2,TRUE)</f>
        <v>#N/A</v>
      </c>
      <c r="X791" s="1" t="str">
        <f ca="1">VLOOKUP(tblDistributionTests[[#This Row],[Rand]],tblNormalTestVl[],2,TRUE)</f>
        <v>Bill</v>
      </c>
      <c r="Y791" s="11" t="str">
        <f ca="1">INDEX(tblNormalTestIM[],MATCH(tblDistributionTests[[#This Row],[Rand]],tblNormalTestIM[Score],-1),2)</f>
        <v>Eric</v>
      </c>
    </row>
    <row r="792" spans="22:25" x14ac:dyDescent="0.2">
      <c r="V792" s="1">
        <f t="shared" ca="1" si="12"/>
        <v>0.98</v>
      </c>
      <c r="W792" s="1" t="str">
        <f ca="1">VLOOKUP(tblDistributionTests[[#This Row],[Rand]]+MIN(tblFairTest[Score]),tblFairTest[],2,TRUE)</f>
        <v>Todd</v>
      </c>
      <c r="X792" s="1" t="str">
        <f ca="1">VLOOKUP(tblDistributionTests[[#This Row],[Rand]],tblNormalTestVl[],2,TRUE)</f>
        <v>Eric</v>
      </c>
      <c r="Y792" s="11" t="str">
        <f ca="1">INDEX(tblNormalTestIM[],MATCH(tblDistributionTests[[#This Row],[Rand]],tblNormalTestIM[Score],-1),2)</f>
        <v>Bill</v>
      </c>
    </row>
    <row r="793" spans="22:25" x14ac:dyDescent="0.2">
      <c r="V793" s="1">
        <f t="shared" ca="1" si="12"/>
        <v>0.35</v>
      </c>
      <c r="W793" s="1" t="e">
        <f ca="1">VLOOKUP(tblDistributionTests[[#This Row],[Rand]]+MIN(tblFairTest[Score]),tblFairTest[],2,TRUE)</f>
        <v>#N/A</v>
      </c>
      <c r="X793" s="1" t="str">
        <f ca="1">VLOOKUP(tblDistributionTests[[#This Row],[Rand]],tblNormalTestVl[],2,TRUE)</f>
        <v>Luke</v>
      </c>
      <c r="Y793" s="11" t="str">
        <f ca="1">INDEX(tblNormalTestIM[],MATCH(tblDistributionTests[[#This Row],[Rand]],tblNormalTestIM[Score],-1),2)</f>
        <v>Riley</v>
      </c>
    </row>
    <row r="794" spans="22:25" x14ac:dyDescent="0.2">
      <c r="V794" s="1">
        <f t="shared" ca="1" si="12"/>
        <v>0.83</v>
      </c>
      <c r="W794" s="1" t="str">
        <f ca="1">VLOOKUP(tblDistributionTests[[#This Row],[Rand]]+MIN(tblFairTest[Score]),tblFairTest[],2,TRUE)</f>
        <v>Todd</v>
      </c>
      <c r="X794" s="1" t="str">
        <f ca="1">VLOOKUP(tblDistributionTests[[#This Row],[Rand]],tblNormalTestVl[],2,TRUE)</f>
        <v>William</v>
      </c>
      <c r="Y794" s="11" t="str">
        <f ca="1">INDEX(tblNormalTestIM[],MATCH(tblDistributionTests[[#This Row],[Rand]],tblNormalTestIM[Score],-1),2)</f>
        <v>Frank</v>
      </c>
    </row>
    <row r="795" spans="22:25" x14ac:dyDescent="0.2">
      <c r="V795" s="1">
        <f t="shared" ca="1" si="12"/>
        <v>0.16</v>
      </c>
      <c r="W795" s="1" t="e">
        <f ca="1">VLOOKUP(tblDistributionTests[[#This Row],[Rand]]+MIN(tblFairTest[Score]),tblFairTest[],2,TRUE)</f>
        <v>#N/A</v>
      </c>
      <c r="X795" s="1" t="str">
        <f ca="1">VLOOKUP(tblDistributionTests[[#This Row],[Rand]],tblNormalTestVl[],2,TRUE)</f>
        <v>Frank</v>
      </c>
      <c r="Y795" s="11" t="str">
        <f ca="1">INDEX(tblNormalTestIM[],MATCH(tblDistributionTests[[#This Row],[Rand]],tblNormalTestIM[Score],-1),2)</f>
        <v>William</v>
      </c>
    </row>
    <row r="796" spans="22:25" x14ac:dyDescent="0.2">
      <c r="V796" s="1">
        <f t="shared" ca="1" si="12"/>
        <v>0.56000000000000005</v>
      </c>
      <c r="W796" s="1" t="str">
        <f ca="1">VLOOKUP(tblDistributionTests[[#This Row],[Rand]]+MIN(tblFairTest[Score]),tblFairTest[],2,TRUE)</f>
        <v>Todd</v>
      </c>
      <c r="X796" s="1" t="str">
        <f ca="1">VLOOKUP(tblDistributionTests[[#This Row],[Rand]],tblNormalTestVl[],2,TRUE)</f>
        <v>Riley</v>
      </c>
      <c r="Y796" s="11" t="str">
        <f ca="1">INDEX(tblNormalTestIM[],MATCH(tblDistributionTests[[#This Row],[Rand]],tblNormalTestIM[Score],-1),2)</f>
        <v>Luke</v>
      </c>
    </row>
    <row r="797" spans="22:25" x14ac:dyDescent="0.2">
      <c r="V797" s="1">
        <f t="shared" ca="1" si="12"/>
        <v>0.04</v>
      </c>
      <c r="W797" s="1" t="e">
        <f ca="1">VLOOKUP(tblDistributionTests[[#This Row],[Rand]]+MIN(tblFairTest[Score]),tblFairTest[],2,TRUE)</f>
        <v>#N/A</v>
      </c>
      <c r="X797" s="1" t="str">
        <f ca="1">VLOOKUP(tblDistributionTests[[#This Row],[Rand]],tblNormalTestVl[],2,TRUE)</f>
        <v>Bill</v>
      </c>
      <c r="Y797" s="11" t="str">
        <f ca="1">INDEX(tblNormalTestIM[],MATCH(tblDistributionTests[[#This Row],[Rand]],tblNormalTestIM[Score],-1),2)</f>
        <v>Eric</v>
      </c>
    </row>
    <row r="798" spans="22:25" x14ac:dyDescent="0.2">
      <c r="V798" s="1">
        <f t="shared" ca="1" si="12"/>
        <v>0.88</v>
      </c>
      <c r="W798" s="1" t="str">
        <f ca="1">VLOOKUP(tblDistributionTests[[#This Row],[Rand]]+MIN(tblFairTest[Score]),tblFairTest[],2,TRUE)</f>
        <v>Todd</v>
      </c>
      <c r="X798" s="1" t="str">
        <f ca="1">VLOOKUP(tblDistributionTests[[#This Row],[Rand]],tblNormalTestVl[],2,TRUE)</f>
        <v>William</v>
      </c>
      <c r="Y798" s="11" t="str">
        <f ca="1">INDEX(tblNormalTestIM[],MATCH(tblDistributionTests[[#This Row],[Rand]],tblNormalTestIM[Score],-1),2)</f>
        <v>Frank</v>
      </c>
    </row>
    <row r="799" spans="22:25" x14ac:dyDescent="0.2">
      <c r="V799" s="1">
        <f t="shared" ca="1" si="12"/>
        <v>0.37</v>
      </c>
      <c r="W799" s="1" t="e">
        <f ca="1">VLOOKUP(tblDistributionTests[[#This Row],[Rand]]+MIN(tblFairTest[Score]),tblFairTest[],2,TRUE)</f>
        <v>#N/A</v>
      </c>
      <c r="X799" s="1" t="str">
        <f ca="1">VLOOKUP(tblDistributionTests[[#This Row],[Rand]],tblNormalTestVl[],2,TRUE)</f>
        <v>Luke</v>
      </c>
      <c r="Y799" s="11" t="str">
        <f ca="1">INDEX(tblNormalTestIM[],MATCH(tblDistributionTests[[#This Row],[Rand]],tblNormalTestIM[Score],-1),2)</f>
        <v>Riley</v>
      </c>
    </row>
    <row r="800" spans="22:25" x14ac:dyDescent="0.2">
      <c r="V800" s="1">
        <f t="shared" ca="1" si="12"/>
        <v>0.27</v>
      </c>
      <c r="W800" s="1" t="e">
        <f ca="1">VLOOKUP(tblDistributionTests[[#This Row],[Rand]]+MIN(tblFairTest[Score]),tblFairTest[],2,TRUE)</f>
        <v>#N/A</v>
      </c>
      <c r="X800" s="1" t="str">
        <f ca="1">VLOOKUP(tblDistributionTests[[#This Row],[Rand]],tblNormalTestVl[],2,TRUE)</f>
        <v>Luke</v>
      </c>
      <c r="Y800" s="11" t="str">
        <f ca="1">INDEX(tblNormalTestIM[],MATCH(tblDistributionTests[[#This Row],[Rand]],tblNormalTestIM[Score],-1),2)</f>
        <v>Riley</v>
      </c>
    </row>
    <row r="801" spans="22:25" x14ac:dyDescent="0.2">
      <c r="V801" s="1">
        <f t="shared" ca="1" si="12"/>
        <v>0.37</v>
      </c>
      <c r="W801" s="1" t="e">
        <f ca="1">VLOOKUP(tblDistributionTests[[#This Row],[Rand]]+MIN(tblFairTest[Score]),tblFairTest[],2,TRUE)</f>
        <v>#N/A</v>
      </c>
      <c r="X801" s="1" t="str">
        <f ca="1">VLOOKUP(tblDistributionTests[[#This Row],[Rand]],tblNormalTestVl[],2,TRUE)</f>
        <v>Luke</v>
      </c>
      <c r="Y801" s="11" t="str">
        <f ca="1">INDEX(tblNormalTestIM[],MATCH(tblDistributionTests[[#This Row],[Rand]],tblNormalTestIM[Score],-1),2)</f>
        <v>Riley</v>
      </c>
    </row>
    <row r="802" spans="22:25" x14ac:dyDescent="0.2">
      <c r="V802" s="1">
        <f t="shared" ca="1" si="12"/>
        <v>0.62</v>
      </c>
      <c r="W802" s="1" t="str">
        <f ca="1">VLOOKUP(tblDistributionTests[[#This Row],[Rand]]+MIN(tblFairTest[Score]),tblFairTest[],2,TRUE)</f>
        <v>Todd</v>
      </c>
      <c r="X802" s="1" t="str">
        <f ca="1">VLOOKUP(tblDistributionTests[[#This Row],[Rand]],tblNormalTestVl[],2,TRUE)</f>
        <v>Riley</v>
      </c>
      <c r="Y802" s="11" t="str">
        <f ca="1">INDEX(tblNormalTestIM[],MATCH(tblDistributionTests[[#This Row],[Rand]],tblNormalTestIM[Score],-1),2)</f>
        <v>Luke</v>
      </c>
    </row>
    <row r="803" spans="22:25" x14ac:dyDescent="0.2">
      <c r="V803" s="1">
        <f t="shared" ca="1" si="12"/>
        <v>0.74</v>
      </c>
      <c r="W803" s="1" t="str">
        <f ca="1">VLOOKUP(tblDistributionTests[[#This Row],[Rand]]+MIN(tblFairTest[Score]),tblFairTest[],2,TRUE)</f>
        <v>Todd</v>
      </c>
      <c r="X803" s="1" t="str">
        <f ca="1">VLOOKUP(tblDistributionTests[[#This Row],[Rand]],tblNormalTestVl[],2,TRUE)</f>
        <v>Riley</v>
      </c>
      <c r="Y803" s="11" t="str">
        <f ca="1">INDEX(tblNormalTestIM[],MATCH(tblDistributionTests[[#This Row],[Rand]],tblNormalTestIM[Score],-1),2)</f>
        <v>Luke</v>
      </c>
    </row>
    <row r="804" spans="22:25" x14ac:dyDescent="0.2">
      <c r="V804" s="1">
        <f t="shared" ca="1" si="12"/>
        <v>0.4</v>
      </c>
      <c r="W804" s="1" t="e">
        <f ca="1">VLOOKUP(tblDistributionTests[[#This Row],[Rand]]+MIN(tblFairTest[Score]),tblFairTest[],2,TRUE)</f>
        <v>#N/A</v>
      </c>
      <c r="X804" s="1" t="str">
        <f ca="1">VLOOKUP(tblDistributionTests[[#This Row],[Rand]],tblNormalTestVl[],2,TRUE)</f>
        <v>Luke</v>
      </c>
      <c r="Y804" s="11" t="str">
        <f ca="1">INDEX(tblNormalTestIM[],MATCH(tblDistributionTests[[#This Row],[Rand]],tblNormalTestIM[Score],-1),2)</f>
        <v>Riley</v>
      </c>
    </row>
    <row r="805" spans="22:25" x14ac:dyDescent="0.2">
      <c r="V805" s="1">
        <f t="shared" ca="1" si="12"/>
        <v>0.98</v>
      </c>
      <c r="W805" s="1" t="str">
        <f ca="1">VLOOKUP(tblDistributionTests[[#This Row],[Rand]]+MIN(tblFairTest[Score]),tblFairTest[],2,TRUE)</f>
        <v>Todd</v>
      </c>
      <c r="X805" s="1" t="str">
        <f ca="1">VLOOKUP(tblDistributionTests[[#This Row],[Rand]],tblNormalTestVl[],2,TRUE)</f>
        <v>Eric</v>
      </c>
      <c r="Y805" s="11" t="str">
        <f ca="1">INDEX(tblNormalTestIM[],MATCH(tblDistributionTests[[#This Row],[Rand]],tblNormalTestIM[Score],-1),2)</f>
        <v>Bill</v>
      </c>
    </row>
    <row r="806" spans="22:25" x14ac:dyDescent="0.2">
      <c r="V806" s="1">
        <f t="shared" ca="1" si="12"/>
        <v>0.13</v>
      </c>
      <c r="W806" s="1" t="e">
        <f ca="1">VLOOKUP(tblDistributionTests[[#This Row],[Rand]]+MIN(tblFairTest[Score]),tblFairTest[],2,TRUE)</f>
        <v>#N/A</v>
      </c>
      <c r="X806" s="1" t="str">
        <f ca="1">VLOOKUP(tblDistributionTests[[#This Row],[Rand]],tblNormalTestVl[],2,TRUE)</f>
        <v>Frank</v>
      </c>
      <c r="Y806" s="11" t="str">
        <f ca="1">INDEX(tblNormalTestIM[],MATCH(tblDistributionTests[[#This Row],[Rand]],tblNormalTestIM[Score],-1),2)</f>
        <v>William</v>
      </c>
    </row>
    <row r="807" spans="22:25" x14ac:dyDescent="0.2">
      <c r="V807" s="1">
        <f t="shared" ca="1" si="12"/>
        <v>0.83</v>
      </c>
      <c r="W807" s="1" t="str">
        <f ca="1">VLOOKUP(tblDistributionTests[[#This Row],[Rand]]+MIN(tblFairTest[Score]),tblFairTest[],2,TRUE)</f>
        <v>Todd</v>
      </c>
      <c r="X807" s="1" t="str">
        <f ca="1">VLOOKUP(tblDistributionTests[[#This Row],[Rand]],tblNormalTestVl[],2,TRUE)</f>
        <v>William</v>
      </c>
      <c r="Y807" s="11" t="str">
        <f ca="1">INDEX(tblNormalTestIM[],MATCH(tblDistributionTests[[#This Row],[Rand]],tblNormalTestIM[Score],-1),2)</f>
        <v>Frank</v>
      </c>
    </row>
    <row r="808" spans="22:25" x14ac:dyDescent="0.2">
      <c r="V808" s="1">
        <f t="shared" ca="1" si="12"/>
        <v>0.68</v>
      </c>
      <c r="W808" s="1" t="str">
        <f ca="1">VLOOKUP(tblDistributionTests[[#This Row],[Rand]]+MIN(tblFairTest[Score]),tblFairTest[],2,TRUE)</f>
        <v>Todd</v>
      </c>
      <c r="X808" s="1" t="str">
        <f ca="1">VLOOKUP(tblDistributionTests[[#This Row],[Rand]],tblNormalTestVl[],2,TRUE)</f>
        <v>Riley</v>
      </c>
      <c r="Y808" s="11" t="str">
        <f ca="1">INDEX(tblNormalTestIM[],MATCH(tblDistributionTests[[#This Row],[Rand]],tblNormalTestIM[Score],-1),2)</f>
        <v>Luke</v>
      </c>
    </row>
    <row r="809" spans="22:25" x14ac:dyDescent="0.2">
      <c r="V809" s="1">
        <f t="shared" ca="1" si="12"/>
        <v>0.22</v>
      </c>
      <c r="W809" s="1" t="e">
        <f ca="1">VLOOKUP(tblDistributionTests[[#This Row],[Rand]]+MIN(tblFairTest[Score]),tblFairTest[],2,TRUE)</f>
        <v>#N/A</v>
      </c>
      <c r="X809" s="1" t="str">
        <f ca="1">VLOOKUP(tblDistributionTests[[#This Row],[Rand]],tblNormalTestVl[],2,TRUE)</f>
        <v>Frank</v>
      </c>
      <c r="Y809" s="11" t="str">
        <f ca="1">INDEX(tblNormalTestIM[],MATCH(tblDistributionTests[[#This Row],[Rand]],tblNormalTestIM[Score],-1),2)</f>
        <v>William</v>
      </c>
    </row>
    <row r="810" spans="22:25" x14ac:dyDescent="0.2">
      <c r="V810" s="1">
        <f t="shared" ca="1" si="12"/>
        <v>0.31</v>
      </c>
      <c r="W810" s="1" t="e">
        <f ca="1">VLOOKUP(tblDistributionTests[[#This Row],[Rand]]+MIN(tblFairTest[Score]),tblFairTest[],2,TRUE)</f>
        <v>#N/A</v>
      </c>
      <c r="X810" s="1" t="str">
        <f ca="1">VLOOKUP(tblDistributionTests[[#This Row],[Rand]],tblNormalTestVl[],2,TRUE)</f>
        <v>Luke</v>
      </c>
      <c r="Y810" s="11" t="str">
        <f ca="1">INDEX(tblNormalTestIM[],MATCH(tblDistributionTests[[#This Row],[Rand]],tblNormalTestIM[Score],-1),2)</f>
        <v>Riley</v>
      </c>
    </row>
    <row r="811" spans="22:25" x14ac:dyDescent="0.2">
      <c r="V811" s="1">
        <f t="shared" ca="1" si="12"/>
        <v>0.01</v>
      </c>
      <c r="W811" s="1" t="e">
        <f ca="1">VLOOKUP(tblDistributionTests[[#This Row],[Rand]]+MIN(tblFairTest[Score]),tblFairTest[],2,TRUE)</f>
        <v>#N/A</v>
      </c>
      <c r="X811" s="1" t="e">
        <f ca="1">VLOOKUP(tblDistributionTests[[#This Row],[Rand]],tblNormalTestVl[],2,TRUE)</f>
        <v>#N/A</v>
      </c>
      <c r="Y811" s="11" t="str">
        <f ca="1">INDEX(tblNormalTestIM[],MATCH(tblDistributionTests[[#This Row],[Rand]],tblNormalTestIM[Score],-1),2)</f>
        <v>Chuck</v>
      </c>
    </row>
    <row r="812" spans="22:25" x14ac:dyDescent="0.2">
      <c r="V812" s="1">
        <f t="shared" ca="1" si="12"/>
        <v>0.39</v>
      </c>
      <c r="W812" s="1" t="e">
        <f ca="1">VLOOKUP(tblDistributionTests[[#This Row],[Rand]]+MIN(tblFairTest[Score]),tblFairTest[],2,TRUE)</f>
        <v>#N/A</v>
      </c>
      <c r="X812" s="1" t="str">
        <f ca="1">VLOOKUP(tblDistributionTests[[#This Row],[Rand]],tblNormalTestVl[],2,TRUE)</f>
        <v>Luke</v>
      </c>
      <c r="Y812" s="11" t="str">
        <f ca="1">INDEX(tblNormalTestIM[],MATCH(tblDistributionTests[[#This Row],[Rand]],tblNormalTestIM[Score],-1),2)</f>
        <v>Riley</v>
      </c>
    </row>
    <row r="813" spans="22:25" x14ac:dyDescent="0.2">
      <c r="V813" s="1">
        <f t="shared" ca="1" si="12"/>
        <v>0.41</v>
      </c>
      <c r="W813" s="1" t="e">
        <f ca="1">VLOOKUP(tblDistributionTests[[#This Row],[Rand]]+MIN(tblFairTest[Score]),tblFairTest[],2,TRUE)</f>
        <v>#N/A</v>
      </c>
      <c r="X813" s="1" t="str">
        <f ca="1">VLOOKUP(tblDistributionTests[[#This Row],[Rand]],tblNormalTestVl[],2,TRUE)</f>
        <v>Luke</v>
      </c>
      <c r="Y813" s="11" t="str">
        <f ca="1">INDEX(tblNormalTestIM[],MATCH(tblDistributionTests[[#This Row],[Rand]],tblNormalTestIM[Score],-1),2)</f>
        <v>Riley</v>
      </c>
    </row>
    <row r="814" spans="22:25" x14ac:dyDescent="0.2">
      <c r="V814" s="1">
        <f t="shared" ca="1" si="12"/>
        <v>0.51</v>
      </c>
      <c r="W814" s="1" t="str">
        <f ca="1">VLOOKUP(tblDistributionTests[[#This Row],[Rand]]+MIN(tblFairTest[Score]),tblFairTest[],2,TRUE)</f>
        <v>Todd</v>
      </c>
      <c r="X814" s="1" t="str">
        <f ca="1">VLOOKUP(tblDistributionTests[[#This Row],[Rand]],tblNormalTestVl[],2,TRUE)</f>
        <v>Riley</v>
      </c>
      <c r="Y814" s="11" t="str">
        <f ca="1">INDEX(tblNormalTestIM[],MATCH(tblDistributionTests[[#This Row],[Rand]],tblNormalTestIM[Score],-1),2)</f>
        <v>Luke</v>
      </c>
    </row>
    <row r="815" spans="22:25" x14ac:dyDescent="0.2">
      <c r="V815" s="1">
        <f t="shared" ca="1" si="12"/>
        <v>0.82</v>
      </c>
      <c r="W815" s="1" t="str">
        <f ca="1">VLOOKUP(tblDistributionTests[[#This Row],[Rand]]+MIN(tblFairTest[Score]),tblFairTest[],2,TRUE)</f>
        <v>Todd</v>
      </c>
      <c r="X815" s="1" t="str">
        <f ca="1">VLOOKUP(tblDistributionTests[[#This Row],[Rand]],tblNormalTestVl[],2,TRUE)</f>
        <v>William</v>
      </c>
      <c r="Y815" s="11" t="str">
        <f ca="1">INDEX(tblNormalTestIM[],MATCH(tblDistributionTests[[#This Row],[Rand]],tblNormalTestIM[Score],-1),2)</f>
        <v>Frank</v>
      </c>
    </row>
    <row r="816" spans="22:25" x14ac:dyDescent="0.2">
      <c r="V816" s="1">
        <f t="shared" ca="1" si="12"/>
        <v>0.71</v>
      </c>
      <c r="W816" s="1" t="str">
        <f ca="1">VLOOKUP(tblDistributionTests[[#This Row],[Rand]]+MIN(tblFairTest[Score]),tblFairTest[],2,TRUE)</f>
        <v>Todd</v>
      </c>
      <c r="X816" s="1" t="str">
        <f ca="1">VLOOKUP(tblDistributionTests[[#This Row],[Rand]],tblNormalTestVl[],2,TRUE)</f>
        <v>Riley</v>
      </c>
      <c r="Y816" s="11" t="str">
        <f ca="1">INDEX(tblNormalTestIM[],MATCH(tblDistributionTests[[#This Row],[Rand]],tblNormalTestIM[Score],-1),2)</f>
        <v>Luke</v>
      </c>
    </row>
    <row r="817" spans="22:25" x14ac:dyDescent="0.2">
      <c r="V817" s="1">
        <f t="shared" ca="1" si="12"/>
        <v>0.4</v>
      </c>
      <c r="W817" s="1" t="e">
        <f ca="1">VLOOKUP(tblDistributionTests[[#This Row],[Rand]]+MIN(tblFairTest[Score]),tblFairTest[],2,TRUE)</f>
        <v>#N/A</v>
      </c>
      <c r="X817" s="1" t="str">
        <f ca="1">VLOOKUP(tblDistributionTests[[#This Row],[Rand]],tblNormalTestVl[],2,TRUE)</f>
        <v>Luke</v>
      </c>
      <c r="Y817" s="11" t="str">
        <f ca="1">INDEX(tblNormalTestIM[],MATCH(tblDistributionTests[[#This Row],[Rand]],tblNormalTestIM[Score],-1),2)</f>
        <v>Riley</v>
      </c>
    </row>
    <row r="818" spans="22:25" x14ac:dyDescent="0.2">
      <c r="V818" s="1">
        <f t="shared" ca="1" si="12"/>
        <v>0.39</v>
      </c>
      <c r="W818" s="1" t="e">
        <f ca="1">VLOOKUP(tblDistributionTests[[#This Row],[Rand]]+MIN(tblFairTest[Score]),tblFairTest[],2,TRUE)</f>
        <v>#N/A</v>
      </c>
      <c r="X818" s="1" t="str">
        <f ca="1">VLOOKUP(tblDistributionTests[[#This Row],[Rand]],tblNormalTestVl[],2,TRUE)</f>
        <v>Luke</v>
      </c>
      <c r="Y818" s="11" t="str">
        <f ca="1">INDEX(tblNormalTestIM[],MATCH(tblDistributionTests[[#This Row],[Rand]],tblNormalTestIM[Score],-1),2)</f>
        <v>Riley</v>
      </c>
    </row>
    <row r="819" spans="22:25" x14ac:dyDescent="0.2">
      <c r="V819" s="1">
        <f t="shared" ca="1" si="12"/>
        <v>0.72</v>
      </c>
      <c r="W819" s="1" t="str">
        <f ca="1">VLOOKUP(tblDistributionTests[[#This Row],[Rand]]+MIN(tblFairTest[Score]),tblFairTest[],2,TRUE)</f>
        <v>Todd</v>
      </c>
      <c r="X819" s="1" t="str">
        <f ca="1">VLOOKUP(tblDistributionTests[[#This Row],[Rand]],tblNormalTestVl[],2,TRUE)</f>
        <v>Riley</v>
      </c>
      <c r="Y819" s="11" t="str">
        <f ca="1">INDEX(tblNormalTestIM[],MATCH(tblDistributionTests[[#This Row],[Rand]],tblNormalTestIM[Score],-1),2)</f>
        <v>Luke</v>
      </c>
    </row>
    <row r="820" spans="22:25" x14ac:dyDescent="0.2">
      <c r="V820" s="1">
        <f t="shared" ca="1" si="12"/>
        <v>0.99</v>
      </c>
      <c r="W820" s="1" t="str">
        <f ca="1">VLOOKUP(tblDistributionTests[[#This Row],[Rand]]+MIN(tblFairTest[Score]),tblFairTest[],2,TRUE)</f>
        <v>Todd</v>
      </c>
      <c r="X820" s="1" t="str">
        <f ca="1">VLOOKUP(tblDistributionTests[[#This Row],[Rand]],tblNormalTestVl[],2,TRUE)</f>
        <v>Chuck</v>
      </c>
      <c r="Y820" s="11" t="e">
        <f ca="1">INDEX(tblNormalTestIM[],MATCH(tblDistributionTests[[#This Row],[Rand]],tblNormalTestIM[Score],-1),2)</f>
        <v>#N/A</v>
      </c>
    </row>
    <row r="821" spans="22:25" x14ac:dyDescent="0.2">
      <c r="V821" s="1">
        <f t="shared" ca="1" si="12"/>
        <v>0.35</v>
      </c>
      <c r="W821" s="1" t="e">
        <f ca="1">VLOOKUP(tblDistributionTests[[#This Row],[Rand]]+MIN(tblFairTest[Score]),tblFairTest[],2,TRUE)</f>
        <v>#N/A</v>
      </c>
      <c r="X821" s="1" t="str">
        <f ca="1">VLOOKUP(tblDistributionTests[[#This Row],[Rand]],tblNormalTestVl[],2,TRUE)</f>
        <v>Luke</v>
      </c>
      <c r="Y821" s="11" t="str">
        <f ca="1">INDEX(tblNormalTestIM[],MATCH(tblDistributionTests[[#This Row],[Rand]],tblNormalTestIM[Score],-1),2)</f>
        <v>Riley</v>
      </c>
    </row>
    <row r="822" spans="22:25" x14ac:dyDescent="0.2">
      <c r="V822" s="1">
        <f t="shared" ca="1" si="12"/>
        <v>0.55000000000000004</v>
      </c>
      <c r="W822" s="1" t="str">
        <f ca="1">VLOOKUP(tblDistributionTests[[#This Row],[Rand]]+MIN(tblFairTest[Score]),tblFairTest[],2,TRUE)</f>
        <v>Todd</v>
      </c>
      <c r="X822" s="1" t="str">
        <f ca="1">VLOOKUP(tblDistributionTests[[#This Row],[Rand]],tblNormalTestVl[],2,TRUE)</f>
        <v>Riley</v>
      </c>
      <c r="Y822" s="11" t="str">
        <f ca="1">INDEX(tblNormalTestIM[],MATCH(tblDistributionTests[[#This Row],[Rand]],tblNormalTestIM[Score],-1),2)</f>
        <v>Luke</v>
      </c>
    </row>
    <row r="823" spans="22:25" x14ac:dyDescent="0.2">
      <c r="V823" s="1">
        <f t="shared" ca="1" si="12"/>
        <v>0.92</v>
      </c>
      <c r="W823" s="1" t="str">
        <f ca="1">VLOOKUP(tblDistributionTests[[#This Row],[Rand]]+MIN(tblFairTest[Score]),tblFairTest[],2,TRUE)</f>
        <v>Todd</v>
      </c>
      <c r="X823" s="1" t="str">
        <f ca="1">VLOOKUP(tblDistributionTests[[#This Row],[Rand]],tblNormalTestVl[],2,TRUE)</f>
        <v>William</v>
      </c>
      <c r="Y823" s="11" t="str">
        <f ca="1">INDEX(tblNormalTestIM[],MATCH(tblDistributionTests[[#This Row],[Rand]],tblNormalTestIM[Score],-1),2)</f>
        <v>Frank</v>
      </c>
    </row>
    <row r="824" spans="22:25" x14ac:dyDescent="0.2">
      <c r="V824" s="1">
        <f t="shared" ca="1" si="12"/>
        <v>0.12</v>
      </c>
      <c r="W824" s="1" t="e">
        <f ca="1">VLOOKUP(tblDistributionTests[[#This Row],[Rand]]+MIN(tblFairTest[Score]),tblFairTest[],2,TRUE)</f>
        <v>#N/A</v>
      </c>
      <c r="X824" s="1" t="str">
        <f ca="1">VLOOKUP(tblDistributionTests[[#This Row],[Rand]],tblNormalTestVl[],2,TRUE)</f>
        <v>Frank</v>
      </c>
      <c r="Y824" s="11" t="str">
        <f ca="1">INDEX(tblNormalTestIM[],MATCH(tblDistributionTests[[#This Row],[Rand]],tblNormalTestIM[Score],-1),2)</f>
        <v>William</v>
      </c>
    </row>
    <row r="825" spans="22:25" x14ac:dyDescent="0.2">
      <c r="V825" s="1">
        <f t="shared" ca="1" si="12"/>
        <v>0.84</v>
      </c>
      <c r="W825" s="1" t="str">
        <f ca="1">VLOOKUP(tblDistributionTests[[#This Row],[Rand]]+MIN(tblFairTest[Score]),tblFairTest[],2,TRUE)</f>
        <v>Todd</v>
      </c>
      <c r="X825" s="1" t="str">
        <f ca="1">VLOOKUP(tblDistributionTests[[#This Row],[Rand]],tblNormalTestVl[],2,TRUE)</f>
        <v>William</v>
      </c>
      <c r="Y825" s="11" t="str">
        <f ca="1">INDEX(tblNormalTestIM[],MATCH(tblDistributionTests[[#This Row],[Rand]],tblNormalTestIM[Score],-1),2)</f>
        <v>Frank</v>
      </c>
    </row>
    <row r="826" spans="22:25" x14ac:dyDescent="0.2">
      <c r="V826" s="1">
        <f t="shared" ca="1" si="12"/>
        <v>0.76</v>
      </c>
      <c r="W826" s="1" t="str">
        <f ca="1">VLOOKUP(tblDistributionTests[[#This Row],[Rand]]+MIN(tblFairTest[Score]),tblFairTest[],2,TRUE)</f>
        <v>Todd</v>
      </c>
      <c r="X826" s="1" t="str">
        <f ca="1">VLOOKUP(tblDistributionTests[[#This Row],[Rand]],tblNormalTestVl[],2,TRUE)</f>
        <v>Riley</v>
      </c>
      <c r="Y826" s="11" t="str">
        <f ca="1">INDEX(tblNormalTestIM[],MATCH(tblDistributionTests[[#This Row],[Rand]],tblNormalTestIM[Score],-1),2)</f>
        <v>Luke</v>
      </c>
    </row>
    <row r="827" spans="22:25" x14ac:dyDescent="0.2">
      <c r="V827" s="1">
        <f t="shared" ca="1" si="12"/>
        <v>0.68</v>
      </c>
      <c r="W827" s="1" t="str">
        <f ca="1">VLOOKUP(tblDistributionTests[[#This Row],[Rand]]+MIN(tblFairTest[Score]),tblFairTest[],2,TRUE)</f>
        <v>Todd</v>
      </c>
      <c r="X827" s="1" t="str">
        <f ca="1">VLOOKUP(tblDistributionTests[[#This Row],[Rand]],tblNormalTestVl[],2,TRUE)</f>
        <v>Riley</v>
      </c>
      <c r="Y827" s="11" t="str">
        <f ca="1">INDEX(tblNormalTestIM[],MATCH(tblDistributionTests[[#This Row],[Rand]],tblNormalTestIM[Score],-1),2)</f>
        <v>Luke</v>
      </c>
    </row>
    <row r="828" spans="22:25" x14ac:dyDescent="0.2">
      <c r="V828" s="1">
        <f t="shared" ca="1" si="12"/>
        <v>0.66</v>
      </c>
      <c r="W828" s="1" t="str">
        <f ca="1">VLOOKUP(tblDistributionTests[[#This Row],[Rand]]+MIN(tblFairTest[Score]),tblFairTest[],2,TRUE)</f>
        <v>Todd</v>
      </c>
      <c r="X828" s="1" t="str">
        <f ca="1">VLOOKUP(tblDistributionTests[[#This Row],[Rand]],tblNormalTestVl[],2,TRUE)</f>
        <v>Riley</v>
      </c>
      <c r="Y828" s="11" t="str">
        <f ca="1">INDEX(tblNormalTestIM[],MATCH(tblDistributionTests[[#This Row],[Rand]],tblNormalTestIM[Score],-1),2)</f>
        <v>Luke</v>
      </c>
    </row>
    <row r="829" spans="22:25" x14ac:dyDescent="0.2">
      <c r="V829" s="1">
        <f t="shared" ca="1" si="12"/>
        <v>0.47</v>
      </c>
      <c r="W829" s="1" t="e">
        <f ca="1">VLOOKUP(tblDistributionTests[[#This Row],[Rand]]+MIN(tblFairTest[Score]),tblFairTest[],2,TRUE)</f>
        <v>#N/A</v>
      </c>
      <c r="X829" s="1" t="str">
        <f ca="1">VLOOKUP(tblDistributionTests[[#This Row],[Rand]],tblNormalTestVl[],2,TRUE)</f>
        <v>Luke</v>
      </c>
      <c r="Y829" s="11" t="str">
        <f ca="1">INDEX(tblNormalTestIM[],MATCH(tblDistributionTests[[#This Row],[Rand]],tblNormalTestIM[Score],-1),2)</f>
        <v>Riley</v>
      </c>
    </row>
    <row r="830" spans="22:25" x14ac:dyDescent="0.2">
      <c r="V830" s="1">
        <f t="shared" ca="1" si="12"/>
        <v>0.8</v>
      </c>
      <c r="W830" s="1" t="str">
        <f ca="1">VLOOKUP(tblDistributionTests[[#This Row],[Rand]]+MIN(tblFairTest[Score]),tblFairTest[],2,TRUE)</f>
        <v>Todd</v>
      </c>
      <c r="X830" s="1" t="str">
        <f ca="1">VLOOKUP(tblDistributionTests[[#This Row],[Rand]],tblNormalTestVl[],2,TRUE)</f>
        <v>William</v>
      </c>
      <c r="Y830" s="11" t="str">
        <f ca="1">INDEX(tblNormalTestIM[],MATCH(tblDistributionTests[[#This Row],[Rand]],tblNormalTestIM[Score],-1),2)</f>
        <v>Frank</v>
      </c>
    </row>
    <row r="831" spans="22:25" x14ac:dyDescent="0.2">
      <c r="V831" s="1">
        <f t="shared" ca="1" si="12"/>
        <v>0.26</v>
      </c>
      <c r="W831" s="1" t="e">
        <f ca="1">VLOOKUP(tblDistributionTests[[#This Row],[Rand]]+MIN(tblFairTest[Score]),tblFairTest[],2,TRUE)</f>
        <v>#N/A</v>
      </c>
      <c r="X831" s="1" t="str">
        <f ca="1">VLOOKUP(tblDistributionTests[[#This Row],[Rand]],tblNormalTestVl[],2,TRUE)</f>
        <v>Luke</v>
      </c>
      <c r="Y831" s="11" t="str">
        <f ca="1">INDEX(tblNormalTestIM[],MATCH(tblDistributionTests[[#This Row],[Rand]],tblNormalTestIM[Score],-1),2)</f>
        <v>Riley</v>
      </c>
    </row>
    <row r="832" spans="22:25" x14ac:dyDescent="0.2">
      <c r="V832" s="1">
        <f t="shared" ca="1" si="12"/>
        <v>0.55000000000000004</v>
      </c>
      <c r="W832" s="1" t="str">
        <f ca="1">VLOOKUP(tblDistributionTests[[#This Row],[Rand]]+MIN(tblFairTest[Score]),tblFairTest[],2,TRUE)</f>
        <v>Todd</v>
      </c>
      <c r="X832" s="1" t="str">
        <f ca="1">VLOOKUP(tblDistributionTests[[#This Row],[Rand]],tblNormalTestVl[],2,TRUE)</f>
        <v>Riley</v>
      </c>
      <c r="Y832" s="11" t="str">
        <f ca="1">INDEX(tblNormalTestIM[],MATCH(tblDistributionTests[[#This Row],[Rand]],tblNormalTestIM[Score],-1),2)</f>
        <v>Luke</v>
      </c>
    </row>
    <row r="833" spans="22:25" x14ac:dyDescent="0.2">
      <c r="V833" s="1">
        <f t="shared" ca="1" si="12"/>
        <v>1</v>
      </c>
      <c r="W833" s="1" t="str">
        <f ca="1">VLOOKUP(tblDistributionTests[[#This Row],[Rand]]+MIN(tblFairTest[Score]),tblFairTest[],2,TRUE)</f>
        <v>Todd</v>
      </c>
      <c r="X833" s="1" t="str">
        <f ca="1">VLOOKUP(tblDistributionTests[[#This Row],[Rand]],tblNormalTestVl[],2,TRUE)</f>
        <v>Todd</v>
      </c>
      <c r="Y833" s="11" t="e">
        <f ca="1">INDEX(tblNormalTestIM[],MATCH(tblDistributionTests[[#This Row],[Rand]],tblNormalTestIM[Score],-1),2)</f>
        <v>#N/A</v>
      </c>
    </row>
    <row r="834" spans="22:25" x14ac:dyDescent="0.2">
      <c r="V834" s="1">
        <f t="shared" ca="1" si="12"/>
        <v>0.43</v>
      </c>
      <c r="W834" s="1" t="e">
        <f ca="1">VLOOKUP(tblDistributionTests[[#This Row],[Rand]]+MIN(tblFairTest[Score]),tblFairTest[],2,TRUE)</f>
        <v>#N/A</v>
      </c>
      <c r="X834" s="1" t="str">
        <f ca="1">VLOOKUP(tblDistributionTests[[#This Row],[Rand]],tblNormalTestVl[],2,TRUE)</f>
        <v>Luke</v>
      </c>
      <c r="Y834" s="11" t="str">
        <f ca="1">INDEX(tblNormalTestIM[],MATCH(tblDistributionTests[[#This Row],[Rand]],tblNormalTestIM[Score],-1),2)</f>
        <v>Riley</v>
      </c>
    </row>
    <row r="835" spans="22:25" x14ac:dyDescent="0.2">
      <c r="V835" s="1">
        <f t="shared" ca="1" si="12"/>
        <v>0.13</v>
      </c>
      <c r="W835" s="1" t="e">
        <f ca="1">VLOOKUP(tblDistributionTests[[#This Row],[Rand]]+MIN(tblFairTest[Score]),tblFairTest[],2,TRUE)</f>
        <v>#N/A</v>
      </c>
      <c r="X835" s="1" t="str">
        <f ca="1">VLOOKUP(tblDistributionTests[[#This Row],[Rand]],tblNormalTestVl[],2,TRUE)</f>
        <v>Frank</v>
      </c>
      <c r="Y835" s="11" t="str">
        <f ca="1">INDEX(tblNormalTestIM[],MATCH(tblDistributionTests[[#This Row],[Rand]],tblNormalTestIM[Score],-1),2)</f>
        <v>William</v>
      </c>
    </row>
    <row r="836" spans="22:25" x14ac:dyDescent="0.2">
      <c r="V836" s="1">
        <f t="shared" ca="1" si="12"/>
        <v>0.57999999999999996</v>
      </c>
      <c r="W836" s="1" t="str">
        <f ca="1">VLOOKUP(tblDistributionTests[[#This Row],[Rand]]+MIN(tblFairTest[Score]),tblFairTest[],2,TRUE)</f>
        <v>Todd</v>
      </c>
      <c r="X836" s="1" t="str">
        <f ca="1">VLOOKUP(tblDistributionTests[[#This Row],[Rand]],tblNormalTestVl[],2,TRUE)</f>
        <v>Riley</v>
      </c>
      <c r="Y836" s="11" t="str">
        <f ca="1">INDEX(tblNormalTestIM[],MATCH(tblDistributionTests[[#This Row],[Rand]],tblNormalTestIM[Score],-1),2)</f>
        <v>Luke</v>
      </c>
    </row>
    <row r="837" spans="22:25" x14ac:dyDescent="0.2">
      <c r="V837" s="1">
        <f t="shared" ca="1" si="12"/>
        <v>0.77</v>
      </c>
      <c r="W837" s="1" t="str">
        <f ca="1">VLOOKUP(tblDistributionTests[[#This Row],[Rand]]+MIN(tblFairTest[Score]),tblFairTest[],2,TRUE)</f>
        <v>Todd</v>
      </c>
      <c r="X837" s="1" t="str">
        <f ca="1">VLOOKUP(tblDistributionTests[[#This Row],[Rand]],tblNormalTestVl[],2,TRUE)</f>
        <v>Riley</v>
      </c>
      <c r="Y837" s="11" t="str">
        <f ca="1">INDEX(tblNormalTestIM[],MATCH(tblDistributionTests[[#This Row],[Rand]],tblNormalTestIM[Score],-1),2)</f>
        <v>Luke</v>
      </c>
    </row>
    <row r="838" spans="22:25" x14ac:dyDescent="0.2">
      <c r="V838" s="1">
        <f t="shared" ca="1" si="12"/>
        <v>0.17</v>
      </c>
      <c r="W838" s="1" t="e">
        <f ca="1">VLOOKUP(tblDistributionTests[[#This Row],[Rand]]+MIN(tblFairTest[Score]),tblFairTest[],2,TRUE)</f>
        <v>#N/A</v>
      </c>
      <c r="X838" s="1" t="str">
        <f ca="1">VLOOKUP(tblDistributionTests[[#This Row],[Rand]],tblNormalTestVl[],2,TRUE)</f>
        <v>Frank</v>
      </c>
      <c r="Y838" s="11" t="str">
        <f ca="1">INDEX(tblNormalTestIM[],MATCH(tblDistributionTests[[#This Row],[Rand]],tblNormalTestIM[Score],-1),2)</f>
        <v>William</v>
      </c>
    </row>
    <row r="839" spans="22:25" x14ac:dyDescent="0.2">
      <c r="V839" s="1">
        <f t="shared" ca="1" si="12"/>
        <v>0.3</v>
      </c>
      <c r="W839" s="1" t="e">
        <f ca="1">VLOOKUP(tblDistributionTests[[#This Row],[Rand]]+MIN(tblFairTest[Score]),tblFairTest[],2,TRUE)</f>
        <v>#N/A</v>
      </c>
      <c r="X839" s="1" t="str">
        <f ca="1">VLOOKUP(tblDistributionTests[[#This Row],[Rand]],tblNormalTestVl[],2,TRUE)</f>
        <v>Luke</v>
      </c>
      <c r="Y839" s="11" t="str">
        <f ca="1">INDEX(tblNormalTestIM[],MATCH(tblDistributionTests[[#This Row],[Rand]],tblNormalTestIM[Score],-1),2)</f>
        <v>Riley</v>
      </c>
    </row>
    <row r="840" spans="22:25" x14ac:dyDescent="0.2">
      <c r="V840" s="1">
        <f t="shared" ref="V840:V903" ca="1" si="13">RANDBETWEEN(1,100)/100</f>
        <v>0.14000000000000001</v>
      </c>
      <c r="W840" s="1" t="e">
        <f ca="1">VLOOKUP(tblDistributionTests[[#This Row],[Rand]]+MIN(tblFairTest[Score]),tblFairTest[],2,TRUE)</f>
        <v>#N/A</v>
      </c>
      <c r="X840" s="1" t="str">
        <f ca="1">VLOOKUP(tblDistributionTests[[#This Row],[Rand]],tblNormalTestVl[],2,TRUE)</f>
        <v>Frank</v>
      </c>
      <c r="Y840" s="11" t="str">
        <f ca="1">INDEX(tblNormalTestIM[],MATCH(tblDistributionTests[[#This Row],[Rand]],tblNormalTestIM[Score],-1),2)</f>
        <v>William</v>
      </c>
    </row>
    <row r="841" spans="22:25" x14ac:dyDescent="0.2">
      <c r="V841" s="1">
        <f t="shared" ca="1" si="13"/>
        <v>0.63</v>
      </c>
      <c r="W841" s="1" t="str">
        <f ca="1">VLOOKUP(tblDistributionTests[[#This Row],[Rand]]+MIN(tblFairTest[Score]),tblFairTest[],2,TRUE)</f>
        <v>Todd</v>
      </c>
      <c r="X841" s="1" t="str">
        <f ca="1">VLOOKUP(tblDistributionTests[[#This Row],[Rand]],tblNormalTestVl[],2,TRUE)</f>
        <v>Riley</v>
      </c>
      <c r="Y841" s="11" t="str">
        <f ca="1">INDEX(tblNormalTestIM[],MATCH(tblDistributionTests[[#This Row],[Rand]],tblNormalTestIM[Score],-1),2)</f>
        <v>Luke</v>
      </c>
    </row>
    <row r="842" spans="22:25" x14ac:dyDescent="0.2">
      <c r="V842" s="1">
        <f t="shared" ca="1" si="13"/>
        <v>0.22</v>
      </c>
      <c r="W842" s="1" t="e">
        <f ca="1">VLOOKUP(tblDistributionTests[[#This Row],[Rand]]+MIN(tblFairTest[Score]),tblFairTest[],2,TRUE)</f>
        <v>#N/A</v>
      </c>
      <c r="X842" s="1" t="str">
        <f ca="1">VLOOKUP(tblDistributionTests[[#This Row],[Rand]],tblNormalTestVl[],2,TRUE)</f>
        <v>Frank</v>
      </c>
      <c r="Y842" s="11" t="str">
        <f ca="1">INDEX(tblNormalTestIM[],MATCH(tblDistributionTests[[#This Row],[Rand]],tblNormalTestIM[Score],-1),2)</f>
        <v>William</v>
      </c>
    </row>
    <row r="843" spans="22:25" x14ac:dyDescent="0.2">
      <c r="V843" s="1">
        <f t="shared" ca="1" si="13"/>
        <v>0.96</v>
      </c>
      <c r="W843" s="1" t="str">
        <f ca="1">VLOOKUP(tblDistributionTests[[#This Row],[Rand]]+MIN(tblFairTest[Score]),tblFairTest[],2,TRUE)</f>
        <v>Todd</v>
      </c>
      <c r="X843" s="1" t="str">
        <f ca="1">VLOOKUP(tblDistributionTests[[#This Row],[Rand]],tblNormalTestVl[],2,TRUE)</f>
        <v>Eric</v>
      </c>
      <c r="Y843" s="11" t="str">
        <f ca="1">INDEX(tblNormalTestIM[],MATCH(tblDistributionTests[[#This Row],[Rand]],tblNormalTestIM[Score],-1),2)</f>
        <v>Bill</v>
      </c>
    </row>
    <row r="844" spans="22:25" x14ac:dyDescent="0.2">
      <c r="V844" s="1">
        <f t="shared" ca="1" si="13"/>
        <v>0.98</v>
      </c>
      <c r="W844" s="1" t="str">
        <f ca="1">VLOOKUP(tblDistributionTests[[#This Row],[Rand]]+MIN(tblFairTest[Score]),tblFairTest[],2,TRUE)</f>
        <v>Todd</v>
      </c>
      <c r="X844" s="1" t="str">
        <f ca="1">VLOOKUP(tblDistributionTests[[#This Row],[Rand]],tblNormalTestVl[],2,TRUE)</f>
        <v>Eric</v>
      </c>
      <c r="Y844" s="11" t="str">
        <f ca="1">INDEX(tblNormalTestIM[],MATCH(tblDistributionTests[[#This Row],[Rand]],tblNormalTestIM[Score],-1),2)</f>
        <v>Bill</v>
      </c>
    </row>
    <row r="845" spans="22:25" x14ac:dyDescent="0.2">
      <c r="V845" s="1">
        <f t="shared" ca="1" si="13"/>
        <v>0.01</v>
      </c>
      <c r="W845" s="1" t="e">
        <f ca="1">VLOOKUP(tblDistributionTests[[#This Row],[Rand]]+MIN(tblFairTest[Score]),tblFairTest[],2,TRUE)</f>
        <v>#N/A</v>
      </c>
      <c r="X845" s="1" t="e">
        <f ca="1">VLOOKUP(tblDistributionTests[[#This Row],[Rand]],tblNormalTestVl[],2,TRUE)</f>
        <v>#N/A</v>
      </c>
      <c r="Y845" s="11" t="str">
        <f ca="1">INDEX(tblNormalTestIM[],MATCH(tblDistributionTests[[#This Row],[Rand]],tblNormalTestIM[Score],-1),2)</f>
        <v>Chuck</v>
      </c>
    </row>
    <row r="846" spans="22:25" x14ac:dyDescent="0.2">
      <c r="V846" s="1">
        <f t="shared" ca="1" si="13"/>
        <v>0.93</v>
      </c>
      <c r="W846" s="1" t="str">
        <f ca="1">VLOOKUP(tblDistributionTests[[#This Row],[Rand]]+MIN(tblFairTest[Score]),tblFairTest[],2,TRUE)</f>
        <v>Todd</v>
      </c>
      <c r="X846" s="1" t="str">
        <f ca="1">VLOOKUP(tblDistributionTests[[#This Row],[Rand]],tblNormalTestVl[],2,TRUE)</f>
        <v>William</v>
      </c>
      <c r="Y846" s="11" t="str">
        <f ca="1">INDEX(tblNormalTestIM[],MATCH(tblDistributionTests[[#This Row],[Rand]],tblNormalTestIM[Score],-1),2)</f>
        <v>Frank</v>
      </c>
    </row>
    <row r="847" spans="22:25" x14ac:dyDescent="0.2">
      <c r="V847" s="1">
        <f t="shared" ca="1" si="13"/>
        <v>0.96</v>
      </c>
      <c r="W847" s="1" t="str">
        <f ca="1">VLOOKUP(tblDistributionTests[[#This Row],[Rand]]+MIN(tblFairTest[Score]),tblFairTest[],2,TRUE)</f>
        <v>Todd</v>
      </c>
      <c r="X847" s="1" t="str">
        <f ca="1">VLOOKUP(tblDistributionTests[[#This Row],[Rand]],tblNormalTestVl[],2,TRUE)</f>
        <v>Eric</v>
      </c>
      <c r="Y847" s="11" t="str">
        <f ca="1">INDEX(tblNormalTestIM[],MATCH(tblDistributionTests[[#This Row],[Rand]],tblNormalTestIM[Score],-1),2)</f>
        <v>Bill</v>
      </c>
    </row>
    <row r="848" spans="22:25" x14ac:dyDescent="0.2">
      <c r="V848" s="1">
        <f t="shared" ca="1" si="13"/>
        <v>0.3</v>
      </c>
      <c r="W848" s="1" t="e">
        <f ca="1">VLOOKUP(tblDistributionTests[[#This Row],[Rand]]+MIN(tblFairTest[Score]),tblFairTest[],2,TRUE)</f>
        <v>#N/A</v>
      </c>
      <c r="X848" s="1" t="str">
        <f ca="1">VLOOKUP(tblDistributionTests[[#This Row],[Rand]],tblNormalTestVl[],2,TRUE)</f>
        <v>Luke</v>
      </c>
      <c r="Y848" s="11" t="str">
        <f ca="1">INDEX(tblNormalTestIM[],MATCH(tblDistributionTests[[#This Row],[Rand]],tblNormalTestIM[Score],-1),2)</f>
        <v>Riley</v>
      </c>
    </row>
    <row r="849" spans="22:25" x14ac:dyDescent="0.2">
      <c r="V849" s="1">
        <f t="shared" ca="1" si="13"/>
        <v>0.36</v>
      </c>
      <c r="W849" s="1" t="e">
        <f ca="1">VLOOKUP(tblDistributionTests[[#This Row],[Rand]]+MIN(tblFairTest[Score]),tblFairTest[],2,TRUE)</f>
        <v>#N/A</v>
      </c>
      <c r="X849" s="1" t="str">
        <f ca="1">VLOOKUP(tblDistributionTests[[#This Row],[Rand]],tblNormalTestVl[],2,TRUE)</f>
        <v>Luke</v>
      </c>
      <c r="Y849" s="11" t="str">
        <f ca="1">INDEX(tblNormalTestIM[],MATCH(tblDistributionTests[[#This Row],[Rand]],tblNormalTestIM[Score],-1),2)</f>
        <v>Riley</v>
      </c>
    </row>
    <row r="850" spans="22:25" x14ac:dyDescent="0.2">
      <c r="V850" s="1">
        <f t="shared" ca="1" si="13"/>
        <v>0.98</v>
      </c>
      <c r="W850" s="1" t="str">
        <f ca="1">VLOOKUP(tblDistributionTests[[#This Row],[Rand]]+MIN(tblFairTest[Score]),tblFairTest[],2,TRUE)</f>
        <v>Todd</v>
      </c>
      <c r="X850" s="1" t="str">
        <f ca="1">VLOOKUP(tblDistributionTests[[#This Row],[Rand]],tblNormalTestVl[],2,TRUE)</f>
        <v>Eric</v>
      </c>
      <c r="Y850" s="11" t="str">
        <f ca="1">INDEX(tblNormalTestIM[],MATCH(tblDistributionTests[[#This Row],[Rand]],tblNormalTestIM[Score],-1),2)</f>
        <v>Bill</v>
      </c>
    </row>
    <row r="851" spans="22:25" x14ac:dyDescent="0.2">
      <c r="V851" s="1">
        <f t="shared" ca="1" si="13"/>
        <v>0.27</v>
      </c>
      <c r="W851" s="1" t="e">
        <f ca="1">VLOOKUP(tblDistributionTests[[#This Row],[Rand]]+MIN(tblFairTest[Score]),tblFairTest[],2,TRUE)</f>
        <v>#N/A</v>
      </c>
      <c r="X851" s="1" t="str">
        <f ca="1">VLOOKUP(tblDistributionTests[[#This Row],[Rand]],tblNormalTestVl[],2,TRUE)</f>
        <v>Luke</v>
      </c>
      <c r="Y851" s="11" t="str">
        <f ca="1">INDEX(tblNormalTestIM[],MATCH(tblDistributionTests[[#This Row],[Rand]],tblNormalTestIM[Score],-1),2)</f>
        <v>Riley</v>
      </c>
    </row>
    <row r="852" spans="22:25" x14ac:dyDescent="0.2">
      <c r="V852" s="1">
        <f t="shared" ca="1" si="13"/>
        <v>0.96</v>
      </c>
      <c r="W852" s="1" t="str">
        <f ca="1">VLOOKUP(tblDistributionTests[[#This Row],[Rand]]+MIN(tblFairTest[Score]),tblFairTest[],2,TRUE)</f>
        <v>Todd</v>
      </c>
      <c r="X852" s="1" t="str">
        <f ca="1">VLOOKUP(tblDistributionTests[[#This Row],[Rand]],tblNormalTestVl[],2,TRUE)</f>
        <v>Eric</v>
      </c>
      <c r="Y852" s="11" t="str">
        <f ca="1">INDEX(tblNormalTestIM[],MATCH(tblDistributionTests[[#This Row],[Rand]],tblNormalTestIM[Score],-1),2)</f>
        <v>Bill</v>
      </c>
    </row>
    <row r="853" spans="22:25" x14ac:dyDescent="0.2">
      <c r="V853" s="1">
        <f t="shared" ca="1" si="13"/>
        <v>0.47</v>
      </c>
      <c r="W853" s="1" t="e">
        <f ca="1">VLOOKUP(tblDistributionTests[[#This Row],[Rand]]+MIN(tblFairTest[Score]),tblFairTest[],2,TRUE)</f>
        <v>#N/A</v>
      </c>
      <c r="X853" s="1" t="str">
        <f ca="1">VLOOKUP(tblDistributionTests[[#This Row],[Rand]],tblNormalTestVl[],2,TRUE)</f>
        <v>Luke</v>
      </c>
      <c r="Y853" s="11" t="str">
        <f ca="1">INDEX(tblNormalTestIM[],MATCH(tblDistributionTests[[#This Row],[Rand]],tblNormalTestIM[Score],-1),2)</f>
        <v>Riley</v>
      </c>
    </row>
    <row r="854" spans="22:25" x14ac:dyDescent="0.2">
      <c r="V854" s="1">
        <f t="shared" ca="1" si="13"/>
        <v>0.49</v>
      </c>
      <c r="W854" s="1" t="e">
        <f ca="1">VLOOKUP(tblDistributionTests[[#This Row],[Rand]]+MIN(tblFairTest[Score]),tblFairTest[],2,TRUE)</f>
        <v>#N/A</v>
      </c>
      <c r="X854" s="1" t="str">
        <f ca="1">VLOOKUP(tblDistributionTests[[#This Row],[Rand]],tblNormalTestVl[],2,TRUE)</f>
        <v>Luke</v>
      </c>
      <c r="Y854" s="11" t="str">
        <f ca="1">INDEX(tblNormalTestIM[],MATCH(tblDistributionTests[[#This Row],[Rand]],tblNormalTestIM[Score],-1),2)</f>
        <v>Riley</v>
      </c>
    </row>
    <row r="855" spans="22:25" x14ac:dyDescent="0.2">
      <c r="V855" s="1">
        <f t="shared" ca="1" si="13"/>
        <v>0.62</v>
      </c>
      <c r="W855" s="1" t="str">
        <f ca="1">VLOOKUP(tblDistributionTests[[#This Row],[Rand]]+MIN(tblFairTest[Score]),tblFairTest[],2,TRUE)</f>
        <v>Todd</v>
      </c>
      <c r="X855" s="1" t="str">
        <f ca="1">VLOOKUP(tblDistributionTests[[#This Row],[Rand]],tblNormalTestVl[],2,TRUE)</f>
        <v>Riley</v>
      </c>
      <c r="Y855" s="11" t="str">
        <f ca="1">INDEX(tblNormalTestIM[],MATCH(tblDistributionTests[[#This Row],[Rand]],tblNormalTestIM[Score],-1),2)</f>
        <v>Luke</v>
      </c>
    </row>
    <row r="856" spans="22:25" x14ac:dyDescent="0.2">
      <c r="V856" s="1">
        <f t="shared" ca="1" si="13"/>
        <v>0.51</v>
      </c>
      <c r="W856" s="1" t="str">
        <f ca="1">VLOOKUP(tblDistributionTests[[#This Row],[Rand]]+MIN(tblFairTest[Score]),tblFairTest[],2,TRUE)</f>
        <v>Todd</v>
      </c>
      <c r="X856" s="1" t="str">
        <f ca="1">VLOOKUP(tblDistributionTests[[#This Row],[Rand]],tblNormalTestVl[],2,TRUE)</f>
        <v>Riley</v>
      </c>
      <c r="Y856" s="11" t="str">
        <f ca="1">INDEX(tblNormalTestIM[],MATCH(tblDistributionTests[[#This Row],[Rand]],tblNormalTestIM[Score],-1),2)</f>
        <v>Luke</v>
      </c>
    </row>
    <row r="857" spans="22:25" x14ac:dyDescent="0.2">
      <c r="V857" s="1">
        <f t="shared" ca="1" si="13"/>
        <v>0.65</v>
      </c>
      <c r="W857" s="1" t="str">
        <f ca="1">VLOOKUP(tblDistributionTests[[#This Row],[Rand]]+MIN(tblFairTest[Score]),tblFairTest[],2,TRUE)</f>
        <v>Todd</v>
      </c>
      <c r="X857" s="1" t="str">
        <f ca="1">VLOOKUP(tblDistributionTests[[#This Row],[Rand]],tblNormalTestVl[],2,TRUE)</f>
        <v>Riley</v>
      </c>
      <c r="Y857" s="11" t="str">
        <f ca="1">INDEX(tblNormalTestIM[],MATCH(tblDistributionTests[[#This Row],[Rand]],tblNormalTestIM[Score],-1),2)</f>
        <v>Luke</v>
      </c>
    </row>
    <row r="858" spans="22:25" x14ac:dyDescent="0.2">
      <c r="V858" s="1">
        <f t="shared" ca="1" si="13"/>
        <v>0.71</v>
      </c>
      <c r="W858" s="1" t="str">
        <f ca="1">VLOOKUP(tblDistributionTests[[#This Row],[Rand]]+MIN(tblFairTest[Score]),tblFairTest[],2,TRUE)</f>
        <v>Todd</v>
      </c>
      <c r="X858" s="1" t="str">
        <f ca="1">VLOOKUP(tblDistributionTests[[#This Row],[Rand]],tblNormalTestVl[],2,TRUE)</f>
        <v>Riley</v>
      </c>
      <c r="Y858" s="11" t="str">
        <f ca="1">INDEX(tblNormalTestIM[],MATCH(tblDistributionTests[[#This Row],[Rand]],tblNormalTestIM[Score],-1),2)</f>
        <v>Luke</v>
      </c>
    </row>
    <row r="859" spans="22:25" x14ac:dyDescent="0.2">
      <c r="V859" s="1">
        <f t="shared" ca="1" si="13"/>
        <v>0.38</v>
      </c>
      <c r="W859" s="1" t="e">
        <f ca="1">VLOOKUP(tblDistributionTests[[#This Row],[Rand]]+MIN(tblFairTest[Score]),tblFairTest[],2,TRUE)</f>
        <v>#N/A</v>
      </c>
      <c r="X859" s="1" t="str">
        <f ca="1">VLOOKUP(tblDistributionTests[[#This Row],[Rand]],tblNormalTestVl[],2,TRUE)</f>
        <v>Luke</v>
      </c>
      <c r="Y859" s="11" t="str">
        <f ca="1">INDEX(tblNormalTestIM[],MATCH(tblDistributionTests[[#This Row],[Rand]],tblNormalTestIM[Score],-1),2)</f>
        <v>Riley</v>
      </c>
    </row>
    <row r="860" spans="22:25" x14ac:dyDescent="0.2">
      <c r="V860" s="1">
        <f t="shared" ca="1" si="13"/>
        <v>0.75</v>
      </c>
      <c r="W860" s="1" t="str">
        <f ca="1">VLOOKUP(tblDistributionTests[[#This Row],[Rand]]+MIN(tblFairTest[Score]),tblFairTest[],2,TRUE)</f>
        <v>Todd</v>
      </c>
      <c r="X860" s="1" t="str">
        <f ca="1">VLOOKUP(tblDistributionTests[[#This Row],[Rand]],tblNormalTestVl[],2,TRUE)</f>
        <v>Riley</v>
      </c>
      <c r="Y860" s="11" t="str">
        <f ca="1">INDEX(tblNormalTestIM[],MATCH(tblDistributionTests[[#This Row],[Rand]],tblNormalTestIM[Score],-1),2)</f>
        <v>Luke</v>
      </c>
    </row>
    <row r="861" spans="22:25" x14ac:dyDescent="0.2">
      <c r="V861" s="1">
        <f t="shared" ca="1" si="13"/>
        <v>0.4</v>
      </c>
      <c r="W861" s="1" t="e">
        <f ca="1">VLOOKUP(tblDistributionTests[[#This Row],[Rand]]+MIN(tblFairTest[Score]),tblFairTest[],2,TRUE)</f>
        <v>#N/A</v>
      </c>
      <c r="X861" s="1" t="str">
        <f ca="1">VLOOKUP(tblDistributionTests[[#This Row],[Rand]],tblNormalTestVl[],2,TRUE)</f>
        <v>Luke</v>
      </c>
      <c r="Y861" s="11" t="str">
        <f ca="1">INDEX(tblNormalTestIM[],MATCH(tblDistributionTests[[#This Row],[Rand]],tblNormalTestIM[Score],-1),2)</f>
        <v>Riley</v>
      </c>
    </row>
    <row r="862" spans="22:25" x14ac:dyDescent="0.2">
      <c r="V862" s="1">
        <f t="shared" ca="1" si="13"/>
        <v>0.4</v>
      </c>
      <c r="W862" s="1" t="e">
        <f ca="1">VLOOKUP(tblDistributionTests[[#This Row],[Rand]]+MIN(tblFairTest[Score]),tblFairTest[],2,TRUE)</f>
        <v>#N/A</v>
      </c>
      <c r="X862" s="1" t="str">
        <f ca="1">VLOOKUP(tblDistributionTests[[#This Row],[Rand]],tblNormalTestVl[],2,TRUE)</f>
        <v>Luke</v>
      </c>
      <c r="Y862" s="11" t="str">
        <f ca="1">INDEX(tblNormalTestIM[],MATCH(tblDistributionTests[[#This Row],[Rand]],tblNormalTestIM[Score],-1),2)</f>
        <v>Riley</v>
      </c>
    </row>
    <row r="863" spans="22:25" x14ac:dyDescent="0.2">
      <c r="V863" s="1">
        <f t="shared" ca="1" si="13"/>
        <v>0.04</v>
      </c>
      <c r="W863" s="1" t="e">
        <f ca="1">VLOOKUP(tblDistributionTests[[#This Row],[Rand]]+MIN(tblFairTest[Score]),tblFairTest[],2,TRUE)</f>
        <v>#N/A</v>
      </c>
      <c r="X863" s="1" t="str">
        <f ca="1">VLOOKUP(tblDistributionTests[[#This Row],[Rand]],tblNormalTestVl[],2,TRUE)</f>
        <v>Bill</v>
      </c>
      <c r="Y863" s="11" t="str">
        <f ca="1">INDEX(tblNormalTestIM[],MATCH(tblDistributionTests[[#This Row],[Rand]],tblNormalTestIM[Score],-1),2)</f>
        <v>Eric</v>
      </c>
    </row>
    <row r="864" spans="22:25" x14ac:dyDescent="0.2">
      <c r="V864" s="1">
        <f t="shared" ca="1" si="13"/>
        <v>0.46</v>
      </c>
      <c r="W864" s="1" t="e">
        <f ca="1">VLOOKUP(tblDistributionTests[[#This Row],[Rand]]+MIN(tblFairTest[Score]),tblFairTest[],2,TRUE)</f>
        <v>#N/A</v>
      </c>
      <c r="X864" s="1" t="str">
        <f ca="1">VLOOKUP(tblDistributionTests[[#This Row],[Rand]],tblNormalTestVl[],2,TRUE)</f>
        <v>Luke</v>
      </c>
      <c r="Y864" s="11" t="str">
        <f ca="1">INDEX(tblNormalTestIM[],MATCH(tblDistributionTests[[#This Row],[Rand]],tblNormalTestIM[Score],-1),2)</f>
        <v>Riley</v>
      </c>
    </row>
    <row r="865" spans="22:25" x14ac:dyDescent="0.2">
      <c r="V865" s="1">
        <f t="shared" ca="1" si="13"/>
        <v>0.28999999999999998</v>
      </c>
      <c r="W865" s="1" t="e">
        <f ca="1">VLOOKUP(tblDistributionTests[[#This Row],[Rand]]+MIN(tblFairTest[Score]),tblFairTest[],2,TRUE)</f>
        <v>#N/A</v>
      </c>
      <c r="X865" s="1" t="str">
        <f ca="1">VLOOKUP(tblDistributionTests[[#This Row],[Rand]],tblNormalTestVl[],2,TRUE)</f>
        <v>Luke</v>
      </c>
      <c r="Y865" s="11" t="str">
        <f ca="1">INDEX(tblNormalTestIM[],MATCH(tblDistributionTests[[#This Row],[Rand]],tblNormalTestIM[Score],-1),2)</f>
        <v>Riley</v>
      </c>
    </row>
    <row r="866" spans="22:25" x14ac:dyDescent="0.2">
      <c r="V866" s="1">
        <f t="shared" ca="1" si="13"/>
        <v>0.98</v>
      </c>
      <c r="W866" s="1" t="str">
        <f ca="1">VLOOKUP(tblDistributionTests[[#This Row],[Rand]]+MIN(tblFairTest[Score]),tblFairTest[],2,TRUE)</f>
        <v>Todd</v>
      </c>
      <c r="X866" s="1" t="str">
        <f ca="1">VLOOKUP(tblDistributionTests[[#This Row],[Rand]],tblNormalTestVl[],2,TRUE)</f>
        <v>Eric</v>
      </c>
      <c r="Y866" s="11" t="str">
        <f ca="1">INDEX(tblNormalTestIM[],MATCH(tblDistributionTests[[#This Row],[Rand]],tblNormalTestIM[Score],-1),2)</f>
        <v>Bill</v>
      </c>
    </row>
    <row r="867" spans="22:25" x14ac:dyDescent="0.2">
      <c r="V867" s="1">
        <f t="shared" ca="1" si="13"/>
        <v>0.86</v>
      </c>
      <c r="W867" s="1" t="str">
        <f ca="1">VLOOKUP(tblDistributionTests[[#This Row],[Rand]]+MIN(tblFairTest[Score]),tblFairTest[],2,TRUE)</f>
        <v>Todd</v>
      </c>
      <c r="X867" s="1" t="str">
        <f ca="1">VLOOKUP(tblDistributionTests[[#This Row],[Rand]],tblNormalTestVl[],2,TRUE)</f>
        <v>William</v>
      </c>
      <c r="Y867" s="11" t="str">
        <f ca="1">INDEX(tblNormalTestIM[],MATCH(tblDistributionTests[[#This Row],[Rand]],tblNormalTestIM[Score],-1),2)</f>
        <v>Frank</v>
      </c>
    </row>
    <row r="868" spans="22:25" x14ac:dyDescent="0.2">
      <c r="V868" s="1">
        <f t="shared" ca="1" si="13"/>
        <v>1</v>
      </c>
      <c r="W868" s="1" t="str">
        <f ca="1">VLOOKUP(tblDistributionTests[[#This Row],[Rand]]+MIN(tblFairTest[Score]),tblFairTest[],2,TRUE)</f>
        <v>Todd</v>
      </c>
      <c r="X868" s="1" t="str">
        <f ca="1">VLOOKUP(tblDistributionTests[[#This Row],[Rand]],tblNormalTestVl[],2,TRUE)</f>
        <v>Todd</v>
      </c>
      <c r="Y868" s="11" t="e">
        <f ca="1">INDEX(tblNormalTestIM[],MATCH(tblDistributionTests[[#This Row],[Rand]],tblNormalTestIM[Score],-1),2)</f>
        <v>#N/A</v>
      </c>
    </row>
    <row r="869" spans="22:25" x14ac:dyDescent="0.2">
      <c r="V869" s="1">
        <f t="shared" ca="1" si="13"/>
        <v>0.42</v>
      </c>
      <c r="W869" s="1" t="e">
        <f ca="1">VLOOKUP(tblDistributionTests[[#This Row],[Rand]]+MIN(tblFairTest[Score]),tblFairTest[],2,TRUE)</f>
        <v>#N/A</v>
      </c>
      <c r="X869" s="1" t="str">
        <f ca="1">VLOOKUP(tblDistributionTests[[#This Row],[Rand]],tblNormalTestVl[],2,TRUE)</f>
        <v>Luke</v>
      </c>
      <c r="Y869" s="11" t="str">
        <f ca="1">INDEX(tblNormalTestIM[],MATCH(tblDistributionTests[[#This Row],[Rand]],tblNormalTestIM[Score],-1),2)</f>
        <v>Riley</v>
      </c>
    </row>
    <row r="870" spans="22:25" x14ac:dyDescent="0.2">
      <c r="V870" s="1">
        <f t="shared" ca="1" si="13"/>
        <v>0.88</v>
      </c>
      <c r="W870" s="1" t="str">
        <f ca="1">VLOOKUP(tblDistributionTests[[#This Row],[Rand]]+MIN(tblFairTest[Score]),tblFairTest[],2,TRUE)</f>
        <v>Todd</v>
      </c>
      <c r="X870" s="1" t="str">
        <f ca="1">VLOOKUP(tblDistributionTests[[#This Row],[Rand]],tblNormalTestVl[],2,TRUE)</f>
        <v>William</v>
      </c>
      <c r="Y870" s="11" t="str">
        <f ca="1">INDEX(tblNormalTestIM[],MATCH(tblDistributionTests[[#This Row],[Rand]],tblNormalTestIM[Score],-1),2)</f>
        <v>Frank</v>
      </c>
    </row>
    <row r="871" spans="22:25" x14ac:dyDescent="0.2">
      <c r="V871" s="1">
        <f t="shared" ca="1" si="13"/>
        <v>0.19</v>
      </c>
      <c r="W871" s="1" t="e">
        <f ca="1">VLOOKUP(tblDistributionTests[[#This Row],[Rand]]+MIN(tblFairTest[Score]),tblFairTest[],2,TRUE)</f>
        <v>#N/A</v>
      </c>
      <c r="X871" s="1" t="str">
        <f ca="1">VLOOKUP(tblDistributionTests[[#This Row],[Rand]],tblNormalTestVl[],2,TRUE)</f>
        <v>Frank</v>
      </c>
      <c r="Y871" s="11" t="str">
        <f ca="1">INDEX(tblNormalTestIM[],MATCH(tblDistributionTests[[#This Row],[Rand]],tblNormalTestIM[Score],-1),2)</f>
        <v>William</v>
      </c>
    </row>
    <row r="872" spans="22:25" x14ac:dyDescent="0.2">
      <c r="V872" s="1">
        <f t="shared" ca="1" si="13"/>
        <v>0.5</v>
      </c>
      <c r="W872" s="1" t="str">
        <f ca="1">VLOOKUP(tblDistributionTests[[#This Row],[Rand]]+MIN(tblFairTest[Score]),tblFairTest[],2,TRUE)</f>
        <v>Riley</v>
      </c>
      <c r="X872" s="1" t="str">
        <f ca="1">VLOOKUP(tblDistributionTests[[#This Row],[Rand]],tblNormalTestVl[],2,TRUE)</f>
        <v>Riley</v>
      </c>
      <c r="Y872" s="11" t="str">
        <f ca="1">INDEX(tblNormalTestIM[],MATCH(tblDistributionTests[[#This Row],[Rand]],tblNormalTestIM[Score],-1),2)</f>
        <v>Riley</v>
      </c>
    </row>
    <row r="873" spans="22:25" x14ac:dyDescent="0.2">
      <c r="V873" s="1">
        <f t="shared" ca="1" si="13"/>
        <v>0.62</v>
      </c>
      <c r="W873" s="1" t="str">
        <f ca="1">VLOOKUP(tblDistributionTests[[#This Row],[Rand]]+MIN(tblFairTest[Score]),tblFairTest[],2,TRUE)</f>
        <v>Todd</v>
      </c>
      <c r="X873" s="1" t="str">
        <f ca="1">VLOOKUP(tblDistributionTests[[#This Row],[Rand]],tblNormalTestVl[],2,TRUE)</f>
        <v>Riley</v>
      </c>
      <c r="Y873" s="11" t="str">
        <f ca="1">INDEX(tblNormalTestIM[],MATCH(tblDistributionTests[[#This Row],[Rand]],tblNormalTestIM[Score],-1),2)</f>
        <v>Luke</v>
      </c>
    </row>
    <row r="874" spans="22:25" x14ac:dyDescent="0.2">
      <c r="V874" s="1">
        <f t="shared" ca="1" si="13"/>
        <v>0.98</v>
      </c>
      <c r="W874" s="1" t="str">
        <f ca="1">VLOOKUP(tblDistributionTests[[#This Row],[Rand]]+MIN(tblFairTest[Score]),tblFairTest[],2,TRUE)</f>
        <v>Todd</v>
      </c>
      <c r="X874" s="1" t="str">
        <f ca="1">VLOOKUP(tblDistributionTests[[#This Row],[Rand]],tblNormalTestVl[],2,TRUE)</f>
        <v>Eric</v>
      </c>
      <c r="Y874" s="11" t="str">
        <f ca="1">INDEX(tblNormalTestIM[],MATCH(tblDistributionTests[[#This Row],[Rand]],tblNormalTestIM[Score],-1),2)</f>
        <v>Bill</v>
      </c>
    </row>
    <row r="875" spans="22:25" x14ac:dyDescent="0.2">
      <c r="V875" s="1">
        <f t="shared" ca="1" si="13"/>
        <v>0.26</v>
      </c>
      <c r="W875" s="1" t="e">
        <f ca="1">VLOOKUP(tblDistributionTests[[#This Row],[Rand]]+MIN(tblFairTest[Score]),tblFairTest[],2,TRUE)</f>
        <v>#N/A</v>
      </c>
      <c r="X875" s="1" t="str">
        <f ca="1">VLOOKUP(tblDistributionTests[[#This Row],[Rand]],tblNormalTestVl[],2,TRUE)</f>
        <v>Luke</v>
      </c>
      <c r="Y875" s="11" t="str">
        <f ca="1">INDEX(tblNormalTestIM[],MATCH(tblDistributionTests[[#This Row],[Rand]],tblNormalTestIM[Score],-1),2)</f>
        <v>Riley</v>
      </c>
    </row>
    <row r="876" spans="22:25" x14ac:dyDescent="0.2">
      <c r="V876" s="1">
        <f t="shared" ca="1" si="13"/>
        <v>0.1</v>
      </c>
      <c r="W876" s="1" t="e">
        <f ca="1">VLOOKUP(tblDistributionTests[[#This Row],[Rand]]+MIN(tblFairTest[Score]),tblFairTest[],2,TRUE)</f>
        <v>#N/A</v>
      </c>
      <c r="X876" s="1" t="str">
        <f ca="1">VLOOKUP(tblDistributionTests[[#This Row],[Rand]],tblNormalTestVl[],2,TRUE)</f>
        <v>Frank</v>
      </c>
      <c r="Y876" s="11" t="str">
        <f ca="1">INDEX(tblNormalTestIM[],MATCH(tblDistributionTests[[#This Row],[Rand]],tblNormalTestIM[Score],-1),2)</f>
        <v>William</v>
      </c>
    </row>
    <row r="877" spans="22:25" x14ac:dyDescent="0.2">
      <c r="V877" s="1">
        <f t="shared" ca="1" si="13"/>
        <v>0.45</v>
      </c>
      <c r="W877" s="1" t="e">
        <f ca="1">VLOOKUP(tblDistributionTests[[#This Row],[Rand]]+MIN(tblFairTest[Score]),tblFairTest[],2,TRUE)</f>
        <v>#N/A</v>
      </c>
      <c r="X877" s="1" t="str">
        <f ca="1">VLOOKUP(tblDistributionTests[[#This Row],[Rand]],tblNormalTestVl[],2,TRUE)</f>
        <v>Luke</v>
      </c>
      <c r="Y877" s="11" t="str">
        <f ca="1">INDEX(tblNormalTestIM[],MATCH(tblDistributionTests[[#This Row],[Rand]],tblNormalTestIM[Score],-1),2)</f>
        <v>Riley</v>
      </c>
    </row>
    <row r="878" spans="22:25" x14ac:dyDescent="0.2">
      <c r="V878" s="1">
        <f t="shared" ca="1" si="13"/>
        <v>0.78</v>
      </c>
      <c r="W878" s="1" t="str">
        <f ca="1">VLOOKUP(tblDistributionTests[[#This Row],[Rand]]+MIN(tblFairTest[Score]),tblFairTest[],2,TRUE)</f>
        <v>Todd</v>
      </c>
      <c r="X878" s="1" t="str">
        <f ca="1">VLOOKUP(tblDistributionTests[[#This Row],[Rand]],tblNormalTestVl[],2,TRUE)</f>
        <v>William</v>
      </c>
      <c r="Y878" s="11" t="str">
        <f ca="1">INDEX(tblNormalTestIM[],MATCH(tblDistributionTests[[#This Row],[Rand]],tblNormalTestIM[Score],-1),2)</f>
        <v>Frank</v>
      </c>
    </row>
    <row r="879" spans="22:25" x14ac:dyDescent="0.2">
      <c r="V879" s="1">
        <f t="shared" ca="1" si="13"/>
        <v>0.81</v>
      </c>
      <c r="W879" s="1" t="str">
        <f ca="1">VLOOKUP(tblDistributionTests[[#This Row],[Rand]]+MIN(tblFairTest[Score]),tblFairTest[],2,TRUE)</f>
        <v>Todd</v>
      </c>
      <c r="X879" s="1" t="str">
        <f ca="1">VLOOKUP(tblDistributionTests[[#This Row],[Rand]],tblNormalTestVl[],2,TRUE)</f>
        <v>William</v>
      </c>
      <c r="Y879" s="11" t="str">
        <f ca="1">INDEX(tblNormalTestIM[],MATCH(tblDistributionTests[[#This Row],[Rand]],tblNormalTestIM[Score],-1),2)</f>
        <v>Frank</v>
      </c>
    </row>
    <row r="880" spans="22:25" x14ac:dyDescent="0.2">
      <c r="V880" s="1">
        <f t="shared" ca="1" si="13"/>
        <v>0.9</v>
      </c>
      <c r="W880" s="1" t="str">
        <f ca="1">VLOOKUP(tblDistributionTests[[#This Row],[Rand]]+MIN(tblFairTest[Score]),tblFairTest[],2,TRUE)</f>
        <v>Todd</v>
      </c>
      <c r="X880" s="1" t="str">
        <f ca="1">VLOOKUP(tblDistributionTests[[#This Row],[Rand]],tblNormalTestVl[],2,TRUE)</f>
        <v>William</v>
      </c>
      <c r="Y880" s="11" t="str">
        <f ca="1">INDEX(tblNormalTestIM[],MATCH(tblDistributionTests[[#This Row],[Rand]],tblNormalTestIM[Score],-1),2)</f>
        <v>Frank</v>
      </c>
    </row>
    <row r="881" spans="22:25" x14ac:dyDescent="0.2">
      <c r="V881" s="1">
        <f t="shared" ca="1" si="13"/>
        <v>0.3</v>
      </c>
      <c r="W881" s="1" t="e">
        <f ca="1">VLOOKUP(tblDistributionTests[[#This Row],[Rand]]+MIN(tblFairTest[Score]),tblFairTest[],2,TRUE)</f>
        <v>#N/A</v>
      </c>
      <c r="X881" s="1" t="str">
        <f ca="1">VLOOKUP(tblDistributionTests[[#This Row],[Rand]],tblNormalTestVl[],2,TRUE)</f>
        <v>Luke</v>
      </c>
      <c r="Y881" s="11" t="str">
        <f ca="1">INDEX(tblNormalTestIM[],MATCH(tblDistributionTests[[#This Row],[Rand]],tblNormalTestIM[Score],-1),2)</f>
        <v>Riley</v>
      </c>
    </row>
    <row r="882" spans="22:25" x14ac:dyDescent="0.2">
      <c r="V882" s="1">
        <f t="shared" ca="1" si="13"/>
        <v>0.08</v>
      </c>
      <c r="W882" s="1" t="e">
        <f ca="1">VLOOKUP(tblDistributionTests[[#This Row],[Rand]]+MIN(tblFairTest[Score]),tblFairTest[],2,TRUE)</f>
        <v>#N/A</v>
      </c>
      <c r="X882" s="1" t="str">
        <f ca="1">VLOOKUP(tblDistributionTests[[#This Row],[Rand]],tblNormalTestVl[],2,TRUE)</f>
        <v>Frank</v>
      </c>
      <c r="Y882" s="11" t="str">
        <f ca="1">INDEX(tblNormalTestIM[],MATCH(tblDistributionTests[[#This Row],[Rand]],tblNormalTestIM[Score],-1),2)</f>
        <v>William</v>
      </c>
    </row>
    <row r="883" spans="22:25" x14ac:dyDescent="0.2">
      <c r="V883" s="1">
        <f t="shared" ca="1" si="13"/>
        <v>0.59</v>
      </c>
      <c r="W883" s="1" t="str">
        <f ca="1">VLOOKUP(tblDistributionTests[[#This Row],[Rand]]+MIN(tblFairTest[Score]),tblFairTest[],2,TRUE)</f>
        <v>Todd</v>
      </c>
      <c r="X883" s="1" t="str">
        <f ca="1">VLOOKUP(tblDistributionTests[[#This Row],[Rand]],tblNormalTestVl[],2,TRUE)</f>
        <v>Riley</v>
      </c>
      <c r="Y883" s="11" t="str">
        <f ca="1">INDEX(tblNormalTestIM[],MATCH(tblDistributionTests[[#This Row],[Rand]],tblNormalTestIM[Score],-1),2)</f>
        <v>Luke</v>
      </c>
    </row>
    <row r="884" spans="22:25" x14ac:dyDescent="0.2">
      <c r="V884" s="1">
        <f t="shared" ca="1" si="13"/>
        <v>0.2</v>
      </c>
      <c r="W884" s="1" t="e">
        <f ca="1">VLOOKUP(tblDistributionTests[[#This Row],[Rand]]+MIN(tblFairTest[Score]),tblFairTest[],2,TRUE)</f>
        <v>#N/A</v>
      </c>
      <c r="X884" s="1" t="str">
        <f ca="1">VLOOKUP(tblDistributionTests[[#This Row],[Rand]],tblNormalTestVl[],2,TRUE)</f>
        <v>Frank</v>
      </c>
      <c r="Y884" s="11" t="str">
        <f ca="1">INDEX(tblNormalTestIM[],MATCH(tblDistributionTests[[#This Row],[Rand]],tblNormalTestIM[Score],-1),2)</f>
        <v>William</v>
      </c>
    </row>
    <row r="885" spans="22:25" x14ac:dyDescent="0.2">
      <c r="V885" s="1">
        <f t="shared" ca="1" si="13"/>
        <v>0.2</v>
      </c>
      <c r="W885" s="1" t="e">
        <f ca="1">VLOOKUP(tblDistributionTests[[#This Row],[Rand]]+MIN(tblFairTest[Score]),tblFairTest[],2,TRUE)</f>
        <v>#N/A</v>
      </c>
      <c r="X885" s="1" t="str">
        <f ca="1">VLOOKUP(tblDistributionTests[[#This Row],[Rand]],tblNormalTestVl[],2,TRUE)</f>
        <v>Frank</v>
      </c>
      <c r="Y885" s="11" t="str">
        <f ca="1">INDEX(tblNormalTestIM[],MATCH(tblDistributionTests[[#This Row],[Rand]],tblNormalTestIM[Score],-1),2)</f>
        <v>William</v>
      </c>
    </row>
    <row r="886" spans="22:25" x14ac:dyDescent="0.2">
      <c r="V886" s="1">
        <f t="shared" ca="1" si="13"/>
        <v>0.35</v>
      </c>
      <c r="W886" s="1" t="e">
        <f ca="1">VLOOKUP(tblDistributionTests[[#This Row],[Rand]]+MIN(tblFairTest[Score]),tblFairTest[],2,TRUE)</f>
        <v>#N/A</v>
      </c>
      <c r="X886" s="1" t="str">
        <f ca="1">VLOOKUP(tblDistributionTests[[#This Row],[Rand]],tblNormalTestVl[],2,TRUE)</f>
        <v>Luke</v>
      </c>
      <c r="Y886" s="11" t="str">
        <f ca="1">INDEX(tblNormalTestIM[],MATCH(tblDistributionTests[[#This Row],[Rand]],tblNormalTestIM[Score],-1),2)</f>
        <v>Riley</v>
      </c>
    </row>
    <row r="887" spans="22:25" x14ac:dyDescent="0.2">
      <c r="V887" s="1">
        <f t="shared" ca="1" si="13"/>
        <v>0.52</v>
      </c>
      <c r="W887" s="1" t="str">
        <f ca="1">VLOOKUP(tblDistributionTests[[#This Row],[Rand]]+MIN(tblFairTest[Score]),tblFairTest[],2,TRUE)</f>
        <v>Todd</v>
      </c>
      <c r="X887" s="1" t="str">
        <f ca="1">VLOOKUP(tblDistributionTests[[#This Row],[Rand]],tblNormalTestVl[],2,TRUE)</f>
        <v>Riley</v>
      </c>
      <c r="Y887" s="11" t="str">
        <f ca="1">INDEX(tblNormalTestIM[],MATCH(tblDistributionTests[[#This Row],[Rand]],tblNormalTestIM[Score],-1),2)</f>
        <v>Luke</v>
      </c>
    </row>
    <row r="888" spans="22:25" x14ac:dyDescent="0.2">
      <c r="V888" s="1">
        <f t="shared" ca="1" si="13"/>
        <v>0.09</v>
      </c>
      <c r="W888" s="1" t="e">
        <f ca="1">VLOOKUP(tblDistributionTests[[#This Row],[Rand]]+MIN(tblFairTest[Score]),tblFairTest[],2,TRUE)</f>
        <v>#N/A</v>
      </c>
      <c r="X888" s="1" t="str">
        <f ca="1">VLOOKUP(tblDistributionTests[[#This Row],[Rand]],tblNormalTestVl[],2,TRUE)</f>
        <v>Frank</v>
      </c>
      <c r="Y888" s="11" t="str">
        <f ca="1">INDEX(tblNormalTestIM[],MATCH(tblDistributionTests[[#This Row],[Rand]],tblNormalTestIM[Score],-1),2)</f>
        <v>William</v>
      </c>
    </row>
    <row r="889" spans="22:25" x14ac:dyDescent="0.2">
      <c r="V889" s="1">
        <f t="shared" ca="1" si="13"/>
        <v>0.24</v>
      </c>
      <c r="W889" s="1" t="e">
        <f ca="1">VLOOKUP(tblDistributionTests[[#This Row],[Rand]]+MIN(tblFairTest[Score]),tblFairTest[],2,TRUE)</f>
        <v>#N/A</v>
      </c>
      <c r="X889" s="1" t="str">
        <f ca="1">VLOOKUP(tblDistributionTests[[#This Row],[Rand]],tblNormalTestVl[],2,TRUE)</f>
        <v>Luke</v>
      </c>
      <c r="Y889" s="11" t="str">
        <f ca="1">INDEX(tblNormalTestIM[],MATCH(tblDistributionTests[[#This Row],[Rand]],tblNormalTestIM[Score],-1),2)</f>
        <v>Riley</v>
      </c>
    </row>
    <row r="890" spans="22:25" x14ac:dyDescent="0.2">
      <c r="V890" s="1">
        <f t="shared" ca="1" si="13"/>
        <v>0.21</v>
      </c>
      <c r="W890" s="1" t="e">
        <f ca="1">VLOOKUP(tblDistributionTests[[#This Row],[Rand]]+MIN(tblFairTest[Score]),tblFairTest[],2,TRUE)</f>
        <v>#N/A</v>
      </c>
      <c r="X890" s="1" t="str">
        <f ca="1">VLOOKUP(tblDistributionTests[[#This Row],[Rand]],tblNormalTestVl[],2,TRUE)</f>
        <v>Frank</v>
      </c>
      <c r="Y890" s="11" t="str">
        <f ca="1">INDEX(tblNormalTestIM[],MATCH(tblDistributionTests[[#This Row],[Rand]],tblNormalTestIM[Score],-1),2)</f>
        <v>William</v>
      </c>
    </row>
    <row r="891" spans="22:25" x14ac:dyDescent="0.2">
      <c r="V891" s="1">
        <f t="shared" ca="1" si="13"/>
        <v>0.76</v>
      </c>
      <c r="W891" s="1" t="str">
        <f ca="1">VLOOKUP(tblDistributionTests[[#This Row],[Rand]]+MIN(tblFairTest[Score]),tblFairTest[],2,TRUE)</f>
        <v>Todd</v>
      </c>
      <c r="X891" s="1" t="str">
        <f ca="1">VLOOKUP(tblDistributionTests[[#This Row],[Rand]],tblNormalTestVl[],2,TRUE)</f>
        <v>Riley</v>
      </c>
      <c r="Y891" s="11" t="str">
        <f ca="1">INDEX(tblNormalTestIM[],MATCH(tblDistributionTests[[#This Row],[Rand]],tblNormalTestIM[Score],-1),2)</f>
        <v>Luke</v>
      </c>
    </row>
    <row r="892" spans="22:25" x14ac:dyDescent="0.2">
      <c r="V892" s="1">
        <f t="shared" ca="1" si="13"/>
        <v>0.91</v>
      </c>
      <c r="W892" s="1" t="str">
        <f ca="1">VLOOKUP(tblDistributionTests[[#This Row],[Rand]]+MIN(tblFairTest[Score]),tblFairTest[],2,TRUE)</f>
        <v>Todd</v>
      </c>
      <c r="X892" s="1" t="str">
        <f ca="1">VLOOKUP(tblDistributionTests[[#This Row],[Rand]],tblNormalTestVl[],2,TRUE)</f>
        <v>William</v>
      </c>
      <c r="Y892" s="11" t="str">
        <f ca="1">INDEX(tblNormalTestIM[],MATCH(tblDistributionTests[[#This Row],[Rand]],tblNormalTestIM[Score],-1),2)</f>
        <v>Frank</v>
      </c>
    </row>
    <row r="893" spans="22:25" x14ac:dyDescent="0.2">
      <c r="V893" s="1">
        <f t="shared" ca="1" si="13"/>
        <v>0.69</v>
      </c>
      <c r="W893" s="1" t="str">
        <f ca="1">VLOOKUP(tblDistributionTests[[#This Row],[Rand]]+MIN(tblFairTest[Score]),tblFairTest[],2,TRUE)</f>
        <v>Todd</v>
      </c>
      <c r="X893" s="1" t="str">
        <f ca="1">VLOOKUP(tblDistributionTests[[#This Row],[Rand]],tblNormalTestVl[],2,TRUE)</f>
        <v>Riley</v>
      </c>
      <c r="Y893" s="11" t="str">
        <f ca="1">INDEX(tblNormalTestIM[],MATCH(tblDistributionTests[[#This Row],[Rand]],tblNormalTestIM[Score],-1),2)</f>
        <v>Luke</v>
      </c>
    </row>
    <row r="894" spans="22:25" x14ac:dyDescent="0.2">
      <c r="V894" s="1">
        <f t="shared" ca="1" si="13"/>
        <v>0.52</v>
      </c>
      <c r="W894" s="1" t="str">
        <f ca="1">VLOOKUP(tblDistributionTests[[#This Row],[Rand]]+MIN(tblFairTest[Score]),tblFairTest[],2,TRUE)</f>
        <v>Todd</v>
      </c>
      <c r="X894" s="1" t="str">
        <f ca="1">VLOOKUP(tblDistributionTests[[#This Row],[Rand]],tblNormalTestVl[],2,TRUE)</f>
        <v>Riley</v>
      </c>
      <c r="Y894" s="11" t="str">
        <f ca="1">INDEX(tblNormalTestIM[],MATCH(tblDistributionTests[[#This Row],[Rand]],tblNormalTestIM[Score],-1),2)</f>
        <v>Luke</v>
      </c>
    </row>
    <row r="895" spans="22:25" x14ac:dyDescent="0.2">
      <c r="V895" s="1">
        <f t="shared" ca="1" si="13"/>
        <v>0.44</v>
      </c>
      <c r="W895" s="1" t="e">
        <f ca="1">VLOOKUP(tblDistributionTests[[#This Row],[Rand]]+MIN(tblFairTest[Score]),tblFairTest[],2,TRUE)</f>
        <v>#N/A</v>
      </c>
      <c r="X895" s="1" t="str">
        <f ca="1">VLOOKUP(tblDistributionTests[[#This Row],[Rand]],tblNormalTestVl[],2,TRUE)</f>
        <v>Luke</v>
      </c>
      <c r="Y895" s="11" t="str">
        <f ca="1">INDEX(tblNormalTestIM[],MATCH(tblDistributionTests[[#This Row],[Rand]],tblNormalTestIM[Score],-1),2)</f>
        <v>Riley</v>
      </c>
    </row>
    <row r="896" spans="22:25" x14ac:dyDescent="0.2">
      <c r="V896" s="1">
        <f t="shared" ca="1" si="13"/>
        <v>0.17</v>
      </c>
      <c r="W896" s="1" t="e">
        <f ca="1">VLOOKUP(tblDistributionTests[[#This Row],[Rand]]+MIN(tblFairTest[Score]),tblFairTest[],2,TRUE)</f>
        <v>#N/A</v>
      </c>
      <c r="X896" s="1" t="str">
        <f ca="1">VLOOKUP(tblDistributionTests[[#This Row],[Rand]],tblNormalTestVl[],2,TRUE)</f>
        <v>Frank</v>
      </c>
      <c r="Y896" s="11" t="str">
        <f ca="1">INDEX(tblNormalTestIM[],MATCH(tblDistributionTests[[#This Row],[Rand]],tblNormalTestIM[Score],-1),2)</f>
        <v>William</v>
      </c>
    </row>
    <row r="897" spans="22:25" x14ac:dyDescent="0.2">
      <c r="V897" s="1">
        <f t="shared" ca="1" si="13"/>
        <v>0.28000000000000003</v>
      </c>
      <c r="W897" s="1" t="e">
        <f ca="1">VLOOKUP(tblDistributionTests[[#This Row],[Rand]]+MIN(tblFairTest[Score]),tblFairTest[],2,TRUE)</f>
        <v>#N/A</v>
      </c>
      <c r="X897" s="1" t="str">
        <f ca="1">VLOOKUP(tblDistributionTests[[#This Row],[Rand]],tblNormalTestVl[],2,TRUE)</f>
        <v>Luke</v>
      </c>
      <c r="Y897" s="11" t="str">
        <f ca="1">INDEX(tblNormalTestIM[],MATCH(tblDistributionTests[[#This Row],[Rand]],tblNormalTestIM[Score],-1),2)</f>
        <v>Riley</v>
      </c>
    </row>
    <row r="898" spans="22:25" x14ac:dyDescent="0.2">
      <c r="V898" s="1">
        <f t="shared" ca="1" si="13"/>
        <v>0.68</v>
      </c>
      <c r="W898" s="1" t="str">
        <f ca="1">VLOOKUP(tblDistributionTests[[#This Row],[Rand]]+MIN(tblFairTest[Score]),tblFairTest[],2,TRUE)</f>
        <v>Todd</v>
      </c>
      <c r="X898" s="1" t="str">
        <f ca="1">VLOOKUP(tblDistributionTests[[#This Row],[Rand]],tblNormalTestVl[],2,TRUE)</f>
        <v>Riley</v>
      </c>
      <c r="Y898" s="11" t="str">
        <f ca="1">INDEX(tblNormalTestIM[],MATCH(tblDistributionTests[[#This Row],[Rand]],tblNormalTestIM[Score],-1),2)</f>
        <v>Luke</v>
      </c>
    </row>
    <row r="899" spans="22:25" x14ac:dyDescent="0.2">
      <c r="V899" s="1">
        <f t="shared" ca="1" si="13"/>
        <v>0.16</v>
      </c>
      <c r="W899" s="1" t="e">
        <f ca="1">VLOOKUP(tblDistributionTests[[#This Row],[Rand]]+MIN(tblFairTest[Score]),tblFairTest[],2,TRUE)</f>
        <v>#N/A</v>
      </c>
      <c r="X899" s="1" t="str">
        <f ca="1">VLOOKUP(tblDistributionTests[[#This Row],[Rand]],tblNormalTestVl[],2,TRUE)</f>
        <v>Frank</v>
      </c>
      <c r="Y899" s="11" t="str">
        <f ca="1">INDEX(tblNormalTestIM[],MATCH(tblDistributionTests[[#This Row],[Rand]],tblNormalTestIM[Score],-1),2)</f>
        <v>William</v>
      </c>
    </row>
    <row r="900" spans="22:25" x14ac:dyDescent="0.2">
      <c r="V900" s="1">
        <f t="shared" ca="1" si="13"/>
        <v>0.27</v>
      </c>
      <c r="W900" s="1" t="e">
        <f ca="1">VLOOKUP(tblDistributionTests[[#This Row],[Rand]]+MIN(tblFairTest[Score]),tblFairTest[],2,TRUE)</f>
        <v>#N/A</v>
      </c>
      <c r="X900" s="1" t="str">
        <f ca="1">VLOOKUP(tblDistributionTests[[#This Row],[Rand]],tblNormalTestVl[],2,TRUE)</f>
        <v>Luke</v>
      </c>
      <c r="Y900" s="11" t="str">
        <f ca="1">INDEX(tblNormalTestIM[],MATCH(tblDistributionTests[[#This Row],[Rand]],tblNormalTestIM[Score],-1),2)</f>
        <v>Riley</v>
      </c>
    </row>
    <row r="901" spans="22:25" x14ac:dyDescent="0.2">
      <c r="V901" s="1">
        <f t="shared" ca="1" si="13"/>
        <v>0.95</v>
      </c>
      <c r="W901" s="1" t="str">
        <f ca="1">VLOOKUP(tblDistributionTests[[#This Row],[Rand]]+MIN(tblFairTest[Score]),tblFairTest[],2,TRUE)</f>
        <v>Todd</v>
      </c>
      <c r="X901" s="1" t="str">
        <f ca="1">VLOOKUP(tblDistributionTests[[#This Row],[Rand]],tblNormalTestVl[],2,TRUE)</f>
        <v>Eric</v>
      </c>
      <c r="Y901" s="11" t="str">
        <f ca="1">INDEX(tblNormalTestIM[],MATCH(tblDistributionTests[[#This Row],[Rand]],tblNormalTestIM[Score],-1),2)</f>
        <v>Bill</v>
      </c>
    </row>
    <row r="902" spans="22:25" x14ac:dyDescent="0.2">
      <c r="V902" s="1">
        <f t="shared" ca="1" si="13"/>
        <v>0.89</v>
      </c>
      <c r="W902" s="1" t="str">
        <f ca="1">VLOOKUP(tblDistributionTests[[#This Row],[Rand]]+MIN(tblFairTest[Score]),tblFairTest[],2,TRUE)</f>
        <v>Todd</v>
      </c>
      <c r="X902" s="1" t="str">
        <f ca="1">VLOOKUP(tblDistributionTests[[#This Row],[Rand]],tblNormalTestVl[],2,TRUE)</f>
        <v>William</v>
      </c>
      <c r="Y902" s="11" t="str">
        <f ca="1">INDEX(tblNormalTestIM[],MATCH(tblDistributionTests[[#This Row],[Rand]],tblNormalTestIM[Score],-1),2)</f>
        <v>Frank</v>
      </c>
    </row>
    <row r="903" spans="22:25" x14ac:dyDescent="0.2">
      <c r="V903" s="1">
        <f t="shared" ca="1" si="13"/>
        <v>0.36</v>
      </c>
      <c r="W903" s="1" t="e">
        <f ca="1">VLOOKUP(tblDistributionTests[[#This Row],[Rand]]+MIN(tblFairTest[Score]),tblFairTest[],2,TRUE)</f>
        <v>#N/A</v>
      </c>
      <c r="X903" s="1" t="str">
        <f ca="1">VLOOKUP(tblDistributionTests[[#This Row],[Rand]],tblNormalTestVl[],2,TRUE)</f>
        <v>Luke</v>
      </c>
      <c r="Y903" s="11" t="str">
        <f ca="1">INDEX(tblNormalTestIM[],MATCH(tblDistributionTests[[#This Row],[Rand]],tblNormalTestIM[Score],-1),2)</f>
        <v>Riley</v>
      </c>
    </row>
    <row r="904" spans="22:25" x14ac:dyDescent="0.2">
      <c r="V904" s="1">
        <f t="shared" ref="V904:V967" ca="1" si="14">RANDBETWEEN(1,100)/100</f>
        <v>0.43</v>
      </c>
      <c r="W904" s="1" t="e">
        <f ca="1">VLOOKUP(tblDistributionTests[[#This Row],[Rand]]+MIN(tblFairTest[Score]),tblFairTest[],2,TRUE)</f>
        <v>#N/A</v>
      </c>
      <c r="X904" s="1" t="str">
        <f ca="1">VLOOKUP(tblDistributionTests[[#This Row],[Rand]],tblNormalTestVl[],2,TRUE)</f>
        <v>Luke</v>
      </c>
      <c r="Y904" s="11" t="str">
        <f ca="1">INDEX(tblNormalTestIM[],MATCH(tblDistributionTests[[#This Row],[Rand]],tblNormalTestIM[Score],-1),2)</f>
        <v>Riley</v>
      </c>
    </row>
    <row r="905" spans="22:25" x14ac:dyDescent="0.2">
      <c r="V905" s="1">
        <f t="shared" ca="1" si="14"/>
        <v>0.99</v>
      </c>
      <c r="W905" s="1" t="str">
        <f ca="1">VLOOKUP(tblDistributionTests[[#This Row],[Rand]]+MIN(tblFairTest[Score]),tblFairTest[],2,TRUE)</f>
        <v>Todd</v>
      </c>
      <c r="X905" s="1" t="str">
        <f ca="1">VLOOKUP(tblDistributionTests[[#This Row],[Rand]],tblNormalTestVl[],2,TRUE)</f>
        <v>Chuck</v>
      </c>
      <c r="Y905" s="11" t="e">
        <f ca="1">INDEX(tblNormalTestIM[],MATCH(tblDistributionTests[[#This Row],[Rand]],tblNormalTestIM[Score],-1),2)</f>
        <v>#N/A</v>
      </c>
    </row>
    <row r="906" spans="22:25" x14ac:dyDescent="0.2">
      <c r="V906" s="1">
        <f t="shared" ca="1" si="14"/>
        <v>0.42</v>
      </c>
      <c r="W906" s="1" t="e">
        <f ca="1">VLOOKUP(tblDistributionTests[[#This Row],[Rand]]+MIN(tblFairTest[Score]),tblFairTest[],2,TRUE)</f>
        <v>#N/A</v>
      </c>
      <c r="X906" s="1" t="str">
        <f ca="1">VLOOKUP(tblDistributionTests[[#This Row],[Rand]],tblNormalTestVl[],2,TRUE)</f>
        <v>Luke</v>
      </c>
      <c r="Y906" s="11" t="str">
        <f ca="1">INDEX(tblNormalTestIM[],MATCH(tblDistributionTests[[#This Row],[Rand]],tblNormalTestIM[Score],-1),2)</f>
        <v>Riley</v>
      </c>
    </row>
    <row r="907" spans="22:25" x14ac:dyDescent="0.2">
      <c r="V907" s="1">
        <f t="shared" ca="1" si="14"/>
        <v>0.63</v>
      </c>
      <c r="W907" s="1" t="str">
        <f ca="1">VLOOKUP(tblDistributionTests[[#This Row],[Rand]]+MIN(tblFairTest[Score]),tblFairTest[],2,TRUE)</f>
        <v>Todd</v>
      </c>
      <c r="X907" s="1" t="str">
        <f ca="1">VLOOKUP(tblDistributionTests[[#This Row],[Rand]],tblNormalTestVl[],2,TRUE)</f>
        <v>Riley</v>
      </c>
      <c r="Y907" s="11" t="str">
        <f ca="1">INDEX(tblNormalTestIM[],MATCH(tblDistributionTests[[#This Row],[Rand]],tblNormalTestIM[Score],-1),2)</f>
        <v>Luke</v>
      </c>
    </row>
    <row r="908" spans="22:25" x14ac:dyDescent="0.2">
      <c r="V908" s="1">
        <f t="shared" ca="1" si="14"/>
        <v>0.06</v>
      </c>
      <c r="W908" s="1" t="e">
        <f ca="1">VLOOKUP(tblDistributionTests[[#This Row],[Rand]]+MIN(tblFairTest[Score]),tblFairTest[],2,TRUE)</f>
        <v>#N/A</v>
      </c>
      <c r="X908" s="1" t="str">
        <f ca="1">VLOOKUP(tblDistributionTests[[#This Row],[Rand]],tblNormalTestVl[],2,TRUE)</f>
        <v>Bill</v>
      </c>
      <c r="Y908" s="11" t="str">
        <f ca="1">INDEX(tblNormalTestIM[],MATCH(tblDistributionTests[[#This Row],[Rand]],tblNormalTestIM[Score],-1),2)</f>
        <v>Eric</v>
      </c>
    </row>
    <row r="909" spans="22:25" x14ac:dyDescent="0.2">
      <c r="V909" s="1">
        <f t="shared" ca="1" si="14"/>
        <v>0.9</v>
      </c>
      <c r="W909" s="1" t="str">
        <f ca="1">VLOOKUP(tblDistributionTests[[#This Row],[Rand]]+MIN(tblFairTest[Score]),tblFairTest[],2,TRUE)</f>
        <v>Todd</v>
      </c>
      <c r="X909" s="1" t="str">
        <f ca="1">VLOOKUP(tblDistributionTests[[#This Row],[Rand]],tblNormalTestVl[],2,TRUE)</f>
        <v>William</v>
      </c>
      <c r="Y909" s="11" t="str">
        <f ca="1">INDEX(tblNormalTestIM[],MATCH(tblDistributionTests[[#This Row],[Rand]],tblNormalTestIM[Score],-1),2)</f>
        <v>Frank</v>
      </c>
    </row>
    <row r="910" spans="22:25" x14ac:dyDescent="0.2">
      <c r="V910" s="1">
        <f t="shared" ca="1" si="14"/>
        <v>0.44</v>
      </c>
      <c r="W910" s="1" t="e">
        <f ca="1">VLOOKUP(tblDistributionTests[[#This Row],[Rand]]+MIN(tblFairTest[Score]),tblFairTest[],2,TRUE)</f>
        <v>#N/A</v>
      </c>
      <c r="X910" s="1" t="str">
        <f ca="1">VLOOKUP(tblDistributionTests[[#This Row],[Rand]],tblNormalTestVl[],2,TRUE)</f>
        <v>Luke</v>
      </c>
      <c r="Y910" s="11" t="str">
        <f ca="1">INDEX(tblNormalTestIM[],MATCH(tblDistributionTests[[#This Row],[Rand]],tblNormalTestIM[Score],-1),2)</f>
        <v>Riley</v>
      </c>
    </row>
    <row r="911" spans="22:25" x14ac:dyDescent="0.2">
      <c r="V911" s="1">
        <f t="shared" ca="1" si="14"/>
        <v>0.85</v>
      </c>
      <c r="W911" s="1" t="str">
        <f ca="1">VLOOKUP(tblDistributionTests[[#This Row],[Rand]]+MIN(tblFairTest[Score]),tblFairTest[],2,TRUE)</f>
        <v>Todd</v>
      </c>
      <c r="X911" s="1" t="str">
        <f ca="1">VLOOKUP(tblDistributionTests[[#This Row],[Rand]],tblNormalTestVl[],2,TRUE)</f>
        <v>William</v>
      </c>
      <c r="Y911" s="11" t="str">
        <f ca="1">INDEX(tblNormalTestIM[],MATCH(tblDistributionTests[[#This Row],[Rand]],tblNormalTestIM[Score],-1),2)</f>
        <v>Frank</v>
      </c>
    </row>
    <row r="912" spans="22:25" x14ac:dyDescent="0.2">
      <c r="V912" s="1">
        <f t="shared" ca="1" si="14"/>
        <v>0.84</v>
      </c>
      <c r="W912" s="1" t="str">
        <f ca="1">VLOOKUP(tblDistributionTests[[#This Row],[Rand]]+MIN(tblFairTest[Score]),tblFairTest[],2,TRUE)</f>
        <v>Todd</v>
      </c>
      <c r="X912" s="1" t="str">
        <f ca="1">VLOOKUP(tblDistributionTests[[#This Row],[Rand]],tblNormalTestVl[],2,TRUE)</f>
        <v>William</v>
      </c>
      <c r="Y912" s="11" t="str">
        <f ca="1">INDEX(tblNormalTestIM[],MATCH(tblDistributionTests[[#This Row],[Rand]],tblNormalTestIM[Score],-1),2)</f>
        <v>Frank</v>
      </c>
    </row>
    <row r="913" spans="22:25" x14ac:dyDescent="0.2">
      <c r="V913" s="1">
        <f t="shared" ca="1" si="14"/>
        <v>0.12</v>
      </c>
      <c r="W913" s="1" t="e">
        <f ca="1">VLOOKUP(tblDistributionTests[[#This Row],[Rand]]+MIN(tblFairTest[Score]),tblFairTest[],2,TRUE)</f>
        <v>#N/A</v>
      </c>
      <c r="X913" s="1" t="str">
        <f ca="1">VLOOKUP(tblDistributionTests[[#This Row],[Rand]],tblNormalTestVl[],2,TRUE)</f>
        <v>Frank</v>
      </c>
      <c r="Y913" s="11" t="str">
        <f ca="1">INDEX(tblNormalTestIM[],MATCH(tblDistributionTests[[#This Row],[Rand]],tblNormalTestIM[Score],-1),2)</f>
        <v>William</v>
      </c>
    </row>
    <row r="914" spans="22:25" x14ac:dyDescent="0.2">
      <c r="V914" s="1">
        <f t="shared" ca="1" si="14"/>
        <v>0.99</v>
      </c>
      <c r="W914" s="1" t="str">
        <f ca="1">VLOOKUP(tblDistributionTests[[#This Row],[Rand]]+MIN(tblFairTest[Score]),tblFairTest[],2,TRUE)</f>
        <v>Todd</v>
      </c>
      <c r="X914" s="1" t="str">
        <f ca="1">VLOOKUP(tblDistributionTests[[#This Row],[Rand]],tblNormalTestVl[],2,TRUE)</f>
        <v>Chuck</v>
      </c>
      <c r="Y914" s="11" t="e">
        <f ca="1">INDEX(tblNormalTestIM[],MATCH(tblDistributionTests[[#This Row],[Rand]],tblNormalTestIM[Score],-1),2)</f>
        <v>#N/A</v>
      </c>
    </row>
    <row r="915" spans="22:25" x14ac:dyDescent="0.2">
      <c r="V915" s="1">
        <f t="shared" ca="1" si="14"/>
        <v>0.98</v>
      </c>
      <c r="W915" s="1" t="str">
        <f ca="1">VLOOKUP(tblDistributionTests[[#This Row],[Rand]]+MIN(tblFairTest[Score]),tblFairTest[],2,TRUE)</f>
        <v>Todd</v>
      </c>
      <c r="X915" s="1" t="str">
        <f ca="1">VLOOKUP(tblDistributionTests[[#This Row],[Rand]],tblNormalTestVl[],2,TRUE)</f>
        <v>Eric</v>
      </c>
      <c r="Y915" s="11" t="str">
        <f ca="1">INDEX(tblNormalTestIM[],MATCH(tblDistributionTests[[#This Row],[Rand]],tblNormalTestIM[Score],-1),2)</f>
        <v>Bill</v>
      </c>
    </row>
    <row r="916" spans="22:25" x14ac:dyDescent="0.2">
      <c r="V916" s="1">
        <f t="shared" ca="1" si="14"/>
        <v>0.39</v>
      </c>
      <c r="W916" s="1" t="e">
        <f ca="1">VLOOKUP(tblDistributionTests[[#This Row],[Rand]]+MIN(tblFairTest[Score]),tblFairTest[],2,TRUE)</f>
        <v>#N/A</v>
      </c>
      <c r="X916" s="1" t="str">
        <f ca="1">VLOOKUP(tblDistributionTests[[#This Row],[Rand]],tblNormalTestVl[],2,TRUE)</f>
        <v>Luke</v>
      </c>
      <c r="Y916" s="11" t="str">
        <f ca="1">INDEX(tblNormalTestIM[],MATCH(tblDistributionTests[[#This Row],[Rand]],tblNormalTestIM[Score],-1),2)</f>
        <v>Riley</v>
      </c>
    </row>
    <row r="917" spans="22:25" x14ac:dyDescent="0.2">
      <c r="V917" s="1">
        <f t="shared" ca="1" si="14"/>
        <v>0.79</v>
      </c>
      <c r="W917" s="1" t="str">
        <f ca="1">VLOOKUP(tblDistributionTests[[#This Row],[Rand]]+MIN(tblFairTest[Score]),tblFairTest[],2,TRUE)</f>
        <v>Todd</v>
      </c>
      <c r="X917" s="1" t="str">
        <f ca="1">VLOOKUP(tblDistributionTests[[#This Row],[Rand]],tblNormalTestVl[],2,TRUE)</f>
        <v>William</v>
      </c>
      <c r="Y917" s="11" t="str">
        <f ca="1">INDEX(tblNormalTestIM[],MATCH(tblDistributionTests[[#This Row],[Rand]],tblNormalTestIM[Score],-1),2)</f>
        <v>Frank</v>
      </c>
    </row>
    <row r="918" spans="22:25" x14ac:dyDescent="0.2">
      <c r="V918" s="1">
        <f t="shared" ca="1" si="14"/>
        <v>0.93</v>
      </c>
      <c r="W918" s="1" t="str">
        <f ca="1">VLOOKUP(tblDistributionTests[[#This Row],[Rand]]+MIN(tblFairTest[Score]),tblFairTest[],2,TRUE)</f>
        <v>Todd</v>
      </c>
      <c r="X918" s="1" t="str">
        <f ca="1">VLOOKUP(tblDistributionTests[[#This Row],[Rand]],tblNormalTestVl[],2,TRUE)</f>
        <v>William</v>
      </c>
      <c r="Y918" s="11" t="str">
        <f ca="1">INDEX(tblNormalTestIM[],MATCH(tblDistributionTests[[#This Row],[Rand]],tblNormalTestIM[Score],-1),2)</f>
        <v>Frank</v>
      </c>
    </row>
    <row r="919" spans="22:25" x14ac:dyDescent="0.2">
      <c r="V919" s="1">
        <f t="shared" ca="1" si="14"/>
        <v>0.01</v>
      </c>
      <c r="W919" s="1" t="e">
        <f ca="1">VLOOKUP(tblDistributionTests[[#This Row],[Rand]]+MIN(tblFairTest[Score]),tblFairTest[],2,TRUE)</f>
        <v>#N/A</v>
      </c>
      <c r="X919" s="1" t="e">
        <f ca="1">VLOOKUP(tblDistributionTests[[#This Row],[Rand]],tblNormalTestVl[],2,TRUE)</f>
        <v>#N/A</v>
      </c>
      <c r="Y919" s="11" t="str">
        <f ca="1">INDEX(tblNormalTestIM[],MATCH(tblDistributionTests[[#This Row],[Rand]],tblNormalTestIM[Score],-1),2)</f>
        <v>Chuck</v>
      </c>
    </row>
    <row r="920" spans="22:25" x14ac:dyDescent="0.2">
      <c r="V920" s="1">
        <f t="shared" ca="1" si="14"/>
        <v>0.35</v>
      </c>
      <c r="W920" s="1" t="e">
        <f ca="1">VLOOKUP(tblDistributionTests[[#This Row],[Rand]]+MIN(tblFairTest[Score]),tblFairTest[],2,TRUE)</f>
        <v>#N/A</v>
      </c>
      <c r="X920" s="1" t="str">
        <f ca="1">VLOOKUP(tblDistributionTests[[#This Row],[Rand]],tblNormalTestVl[],2,TRUE)</f>
        <v>Luke</v>
      </c>
      <c r="Y920" s="11" t="str">
        <f ca="1">INDEX(tblNormalTestIM[],MATCH(tblDistributionTests[[#This Row],[Rand]],tblNormalTestIM[Score],-1),2)</f>
        <v>Riley</v>
      </c>
    </row>
    <row r="921" spans="22:25" x14ac:dyDescent="0.2">
      <c r="V921" s="1">
        <f t="shared" ca="1" si="14"/>
        <v>0.36</v>
      </c>
      <c r="W921" s="1" t="e">
        <f ca="1">VLOOKUP(tblDistributionTests[[#This Row],[Rand]]+MIN(tblFairTest[Score]),tblFairTest[],2,TRUE)</f>
        <v>#N/A</v>
      </c>
      <c r="X921" s="1" t="str">
        <f ca="1">VLOOKUP(tblDistributionTests[[#This Row],[Rand]],tblNormalTestVl[],2,TRUE)</f>
        <v>Luke</v>
      </c>
      <c r="Y921" s="11" t="str">
        <f ca="1">INDEX(tblNormalTestIM[],MATCH(tblDistributionTests[[#This Row],[Rand]],tblNormalTestIM[Score],-1),2)</f>
        <v>Riley</v>
      </c>
    </row>
    <row r="922" spans="22:25" x14ac:dyDescent="0.2">
      <c r="V922" s="1">
        <f t="shared" ca="1" si="14"/>
        <v>0.13</v>
      </c>
      <c r="W922" s="1" t="e">
        <f ca="1">VLOOKUP(tblDistributionTests[[#This Row],[Rand]]+MIN(tblFairTest[Score]),tblFairTest[],2,TRUE)</f>
        <v>#N/A</v>
      </c>
      <c r="X922" s="1" t="str">
        <f ca="1">VLOOKUP(tblDistributionTests[[#This Row],[Rand]],tblNormalTestVl[],2,TRUE)</f>
        <v>Frank</v>
      </c>
      <c r="Y922" s="11" t="str">
        <f ca="1">INDEX(tblNormalTestIM[],MATCH(tblDistributionTests[[#This Row],[Rand]],tblNormalTestIM[Score],-1),2)</f>
        <v>William</v>
      </c>
    </row>
    <row r="923" spans="22:25" x14ac:dyDescent="0.2">
      <c r="V923" s="1">
        <f t="shared" ca="1" si="14"/>
        <v>0.48</v>
      </c>
      <c r="W923" s="1" t="e">
        <f ca="1">VLOOKUP(tblDistributionTests[[#This Row],[Rand]]+MIN(tblFairTest[Score]),tblFairTest[],2,TRUE)</f>
        <v>#N/A</v>
      </c>
      <c r="X923" s="1" t="str">
        <f ca="1">VLOOKUP(tblDistributionTests[[#This Row],[Rand]],tblNormalTestVl[],2,TRUE)</f>
        <v>Luke</v>
      </c>
      <c r="Y923" s="11" t="str">
        <f ca="1">INDEX(tblNormalTestIM[],MATCH(tblDistributionTests[[#This Row],[Rand]],tblNormalTestIM[Score],-1),2)</f>
        <v>Riley</v>
      </c>
    </row>
    <row r="924" spans="22:25" x14ac:dyDescent="0.2">
      <c r="V924" s="1">
        <f t="shared" ca="1" si="14"/>
        <v>0.43</v>
      </c>
      <c r="W924" s="1" t="e">
        <f ca="1">VLOOKUP(tblDistributionTests[[#This Row],[Rand]]+MIN(tblFairTest[Score]),tblFairTest[],2,TRUE)</f>
        <v>#N/A</v>
      </c>
      <c r="X924" s="1" t="str">
        <f ca="1">VLOOKUP(tblDistributionTests[[#This Row],[Rand]],tblNormalTestVl[],2,TRUE)</f>
        <v>Luke</v>
      </c>
      <c r="Y924" s="11" t="str">
        <f ca="1">INDEX(tblNormalTestIM[],MATCH(tblDistributionTests[[#This Row],[Rand]],tblNormalTestIM[Score],-1),2)</f>
        <v>Riley</v>
      </c>
    </row>
    <row r="925" spans="22:25" x14ac:dyDescent="0.2">
      <c r="V925" s="1">
        <f t="shared" ca="1" si="14"/>
        <v>0.41</v>
      </c>
      <c r="W925" s="1" t="e">
        <f ca="1">VLOOKUP(tblDistributionTests[[#This Row],[Rand]]+MIN(tblFairTest[Score]),tblFairTest[],2,TRUE)</f>
        <v>#N/A</v>
      </c>
      <c r="X925" s="1" t="str">
        <f ca="1">VLOOKUP(tblDistributionTests[[#This Row],[Rand]],tblNormalTestVl[],2,TRUE)</f>
        <v>Luke</v>
      </c>
      <c r="Y925" s="11" t="str">
        <f ca="1">INDEX(tblNormalTestIM[],MATCH(tblDistributionTests[[#This Row],[Rand]],tblNormalTestIM[Score],-1),2)</f>
        <v>Riley</v>
      </c>
    </row>
    <row r="926" spans="22:25" x14ac:dyDescent="0.2">
      <c r="V926" s="1">
        <f t="shared" ca="1" si="14"/>
        <v>0.15</v>
      </c>
      <c r="W926" s="1" t="e">
        <f ca="1">VLOOKUP(tblDistributionTests[[#This Row],[Rand]]+MIN(tblFairTest[Score]),tblFairTest[],2,TRUE)</f>
        <v>#N/A</v>
      </c>
      <c r="X926" s="1" t="str">
        <f ca="1">VLOOKUP(tblDistributionTests[[#This Row],[Rand]],tblNormalTestVl[],2,TRUE)</f>
        <v>Frank</v>
      </c>
      <c r="Y926" s="11" t="str">
        <f ca="1">INDEX(tblNormalTestIM[],MATCH(tblDistributionTests[[#This Row],[Rand]],tblNormalTestIM[Score],-1),2)</f>
        <v>William</v>
      </c>
    </row>
    <row r="927" spans="22:25" x14ac:dyDescent="0.2">
      <c r="V927" s="1">
        <f t="shared" ca="1" si="14"/>
        <v>0.22</v>
      </c>
      <c r="W927" s="1" t="e">
        <f ca="1">VLOOKUP(tblDistributionTests[[#This Row],[Rand]]+MIN(tblFairTest[Score]),tblFairTest[],2,TRUE)</f>
        <v>#N/A</v>
      </c>
      <c r="X927" s="1" t="str">
        <f ca="1">VLOOKUP(tblDistributionTests[[#This Row],[Rand]],tblNormalTestVl[],2,TRUE)</f>
        <v>Frank</v>
      </c>
      <c r="Y927" s="11" t="str">
        <f ca="1">INDEX(tblNormalTestIM[],MATCH(tblDistributionTests[[#This Row],[Rand]],tblNormalTestIM[Score],-1),2)</f>
        <v>William</v>
      </c>
    </row>
    <row r="928" spans="22:25" x14ac:dyDescent="0.2">
      <c r="V928" s="1">
        <f t="shared" ca="1" si="14"/>
        <v>0.35</v>
      </c>
      <c r="W928" s="1" t="e">
        <f ca="1">VLOOKUP(tblDistributionTests[[#This Row],[Rand]]+MIN(tblFairTest[Score]),tblFairTest[],2,TRUE)</f>
        <v>#N/A</v>
      </c>
      <c r="X928" s="1" t="str">
        <f ca="1">VLOOKUP(tblDistributionTests[[#This Row],[Rand]],tblNormalTestVl[],2,TRUE)</f>
        <v>Luke</v>
      </c>
      <c r="Y928" s="11" t="str">
        <f ca="1">INDEX(tblNormalTestIM[],MATCH(tblDistributionTests[[#This Row],[Rand]],tblNormalTestIM[Score],-1),2)</f>
        <v>Riley</v>
      </c>
    </row>
    <row r="929" spans="22:25" x14ac:dyDescent="0.2">
      <c r="V929" s="1">
        <f t="shared" ca="1" si="14"/>
        <v>0.16</v>
      </c>
      <c r="W929" s="1" t="e">
        <f ca="1">VLOOKUP(tblDistributionTests[[#This Row],[Rand]]+MIN(tblFairTest[Score]),tblFairTest[],2,TRUE)</f>
        <v>#N/A</v>
      </c>
      <c r="X929" s="1" t="str">
        <f ca="1">VLOOKUP(tblDistributionTests[[#This Row],[Rand]],tblNormalTestVl[],2,TRUE)</f>
        <v>Frank</v>
      </c>
      <c r="Y929" s="11" t="str">
        <f ca="1">INDEX(tblNormalTestIM[],MATCH(tblDistributionTests[[#This Row],[Rand]],tblNormalTestIM[Score],-1),2)</f>
        <v>William</v>
      </c>
    </row>
    <row r="930" spans="22:25" x14ac:dyDescent="0.2">
      <c r="V930" s="1">
        <f t="shared" ca="1" si="14"/>
        <v>0.76</v>
      </c>
      <c r="W930" s="1" t="str">
        <f ca="1">VLOOKUP(tblDistributionTests[[#This Row],[Rand]]+MIN(tblFairTest[Score]),tblFairTest[],2,TRUE)</f>
        <v>Todd</v>
      </c>
      <c r="X930" s="1" t="str">
        <f ca="1">VLOOKUP(tblDistributionTests[[#This Row],[Rand]],tblNormalTestVl[],2,TRUE)</f>
        <v>Riley</v>
      </c>
      <c r="Y930" s="11" t="str">
        <f ca="1">INDEX(tblNormalTestIM[],MATCH(tblDistributionTests[[#This Row],[Rand]],tblNormalTestIM[Score],-1),2)</f>
        <v>Luke</v>
      </c>
    </row>
    <row r="931" spans="22:25" x14ac:dyDescent="0.2">
      <c r="V931" s="1">
        <f t="shared" ca="1" si="14"/>
        <v>0.73</v>
      </c>
      <c r="W931" s="1" t="str">
        <f ca="1">VLOOKUP(tblDistributionTests[[#This Row],[Rand]]+MIN(tblFairTest[Score]),tblFairTest[],2,TRUE)</f>
        <v>Todd</v>
      </c>
      <c r="X931" s="1" t="str">
        <f ca="1">VLOOKUP(tblDistributionTests[[#This Row],[Rand]],tblNormalTestVl[],2,TRUE)</f>
        <v>Riley</v>
      </c>
      <c r="Y931" s="11" t="str">
        <f ca="1">INDEX(tblNormalTestIM[],MATCH(tblDistributionTests[[#This Row],[Rand]],tblNormalTestIM[Score],-1),2)</f>
        <v>Luke</v>
      </c>
    </row>
    <row r="932" spans="22:25" x14ac:dyDescent="0.2">
      <c r="V932" s="1">
        <f t="shared" ca="1" si="14"/>
        <v>0.01</v>
      </c>
      <c r="W932" s="1" t="e">
        <f ca="1">VLOOKUP(tblDistributionTests[[#This Row],[Rand]]+MIN(tblFairTest[Score]),tblFairTest[],2,TRUE)</f>
        <v>#N/A</v>
      </c>
      <c r="X932" s="1" t="e">
        <f ca="1">VLOOKUP(tblDistributionTests[[#This Row],[Rand]],tblNormalTestVl[],2,TRUE)</f>
        <v>#N/A</v>
      </c>
      <c r="Y932" s="11" t="str">
        <f ca="1">INDEX(tblNormalTestIM[],MATCH(tblDistributionTests[[#This Row],[Rand]],tblNormalTestIM[Score],-1),2)</f>
        <v>Chuck</v>
      </c>
    </row>
    <row r="933" spans="22:25" x14ac:dyDescent="0.2">
      <c r="V933" s="1">
        <f t="shared" ca="1" si="14"/>
        <v>0.51</v>
      </c>
      <c r="W933" s="1" t="str">
        <f ca="1">VLOOKUP(tblDistributionTests[[#This Row],[Rand]]+MIN(tblFairTest[Score]),tblFairTest[],2,TRUE)</f>
        <v>Todd</v>
      </c>
      <c r="X933" s="1" t="str">
        <f ca="1">VLOOKUP(tblDistributionTests[[#This Row],[Rand]],tblNormalTestVl[],2,TRUE)</f>
        <v>Riley</v>
      </c>
      <c r="Y933" s="11" t="str">
        <f ca="1">INDEX(tblNormalTestIM[],MATCH(tblDistributionTests[[#This Row],[Rand]],tblNormalTestIM[Score],-1),2)</f>
        <v>Luke</v>
      </c>
    </row>
    <row r="934" spans="22:25" x14ac:dyDescent="0.2">
      <c r="V934" s="1">
        <f t="shared" ca="1" si="14"/>
        <v>0.15</v>
      </c>
      <c r="W934" s="1" t="e">
        <f ca="1">VLOOKUP(tblDistributionTests[[#This Row],[Rand]]+MIN(tblFairTest[Score]),tblFairTest[],2,TRUE)</f>
        <v>#N/A</v>
      </c>
      <c r="X934" s="1" t="str">
        <f ca="1">VLOOKUP(tblDistributionTests[[#This Row],[Rand]],tblNormalTestVl[],2,TRUE)</f>
        <v>Frank</v>
      </c>
      <c r="Y934" s="11" t="str">
        <f ca="1">INDEX(tblNormalTestIM[],MATCH(tblDistributionTests[[#This Row],[Rand]],tblNormalTestIM[Score],-1),2)</f>
        <v>William</v>
      </c>
    </row>
    <row r="935" spans="22:25" x14ac:dyDescent="0.2">
      <c r="V935" s="1">
        <f t="shared" ca="1" si="14"/>
        <v>0.86</v>
      </c>
      <c r="W935" s="1" t="str">
        <f ca="1">VLOOKUP(tblDistributionTests[[#This Row],[Rand]]+MIN(tblFairTest[Score]),tblFairTest[],2,TRUE)</f>
        <v>Todd</v>
      </c>
      <c r="X935" s="1" t="str">
        <f ca="1">VLOOKUP(tblDistributionTests[[#This Row],[Rand]],tblNormalTestVl[],2,TRUE)</f>
        <v>William</v>
      </c>
      <c r="Y935" s="11" t="str">
        <f ca="1">INDEX(tblNormalTestIM[],MATCH(tblDistributionTests[[#This Row],[Rand]],tblNormalTestIM[Score],-1),2)</f>
        <v>Frank</v>
      </c>
    </row>
    <row r="936" spans="22:25" x14ac:dyDescent="0.2">
      <c r="V936" s="1">
        <f t="shared" ca="1" si="14"/>
        <v>0.9</v>
      </c>
      <c r="W936" s="1" t="str">
        <f ca="1">VLOOKUP(tblDistributionTests[[#This Row],[Rand]]+MIN(tblFairTest[Score]),tblFairTest[],2,TRUE)</f>
        <v>Todd</v>
      </c>
      <c r="X936" s="1" t="str">
        <f ca="1">VLOOKUP(tblDistributionTests[[#This Row],[Rand]],tblNormalTestVl[],2,TRUE)</f>
        <v>William</v>
      </c>
      <c r="Y936" s="11" t="str">
        <f ca="1">INDEX(tblNormalTestIM[],MATCH(tblDistributionTests[[#This Row],[Rand]],tblNormalTestIM[Score],-1),2)</f>
        <v>Frank</v>
      </c>
    </row>
    <row r="937" spans="22:25" x14ac:dyDescent="0.2">
      <c r="V937" s="1">
        <f t="shared" ca="1" si="14"/>
        <v>0.59</v>
      </c>
      <c r="W937" s="1" t="str">
        <f ca="1">VLOOKUP(tblDistributionTests[[#This Row],[Rand]]+MIN(tblFairTest[Score]),tblFairTest[],2,TRUE)</f>
        <v>Todd</v>
      </c>
      <c r="X937" s="1" t="str">
        <f ca="1">VLOOKUP(tblDistributionTests[[#This Row],[Rand]],tblNormalTestVl[],2,TRUE)</f>
        <v>Riley</v>
      </c>
      <c r="Y937" s="11" t="str">
        <f ca="1">INDEX(tblNormalTestIM[],MATCH(tblDistributionTests[[#This Row],[Rand]],tblNormalTestIM[Score],-1),2)</f>
        <v>Luke</v>
      </c>
    </row>
    <row r="938" spans="22:25" x14ac:dyDescent="0.2">
      <c r="V938" s="1">
        <f t="shared" ca="1" si="14"/>
        <v>0.56999999999999995</v>
      </c>
      <c r="W938" s="1" t="str">
        <f ca="1">VLOOKUP(tblDistributionTests[[#This Row],[Rand]]+MIN(tblFairTest[Score]),tblFairTest[],2,TRUE)</f>
        <v>Todd</v>
      </c>
      <c r="X938" s="1" t="str">
        <f ca="1">VLOOKUP(tblDistributionTests[[#This Row],[Rand]],tblNormalTestVl[],2,TRUE)</f>
        <v>Riley</v>
      </c>
      <c r="Y938" s="11" t="str">
        <f ca="1">INDEX(tblNormalTestIM[],MATCH(tblDistributionTests[[#This Row],[Rand]],tblNormalTestIM[Score],-1),2)</f>
        <v>Luke</v>
      </c>
    </row>
    <row r="939" spans="22:25" x14ac:dyDescent="0.2">
      <c r="V939" s="1">
        <f t="shared" ca="1" si="14"/>
        <v>0.05</v>
      </c>
      <c r="W939" s="1" t="e">
        <f ca="1">VLOOKUP(tblDistributionTests[[#This Row],[Rand]]+MIN(tblFairTest[Score]),tblFairTest[],2,TRUE)</f>
        <v>#N/A</v>
      </c>
      <c r="X939" s="1" t="str">
        <f ca="1">VLOOKUP(tblDistributionTests[[#This Row],[Rand]],tblNormalTestVl[],2,TRUE)</f>
        <v>Bill</v>
      </c>
      <c r="Y939" s="11" t="str">
        <f ca="1">INDEX(tblNormalTestIM[],MATCH(tblDistributionTests[[#This Row],[Rand]],tblNormalTestIM[Score],-1),2)</f>
        <v>Eric</v>
      </c>
    </row>
    <row r="940" spans="22:25" x14ac:dyDescent="0.2">
      <c r="V940" s="1">
        <f t="shared" ca="1" si="14"/>
        <v>0.28000000000000003</v>
      </c>
      <c r="W940" s="1" t="e">
        <f ca="1">VLOOKUP(tblDistributionTests[[#This Row],[Rand]]+MIN(tblFairTest[Score]),tblFairTest[],2,TRUE)</f>
        <v>#N/A</v>
      </c>
      <c r="X940" s="1" t="str">
        <f ca="1">VLOOKUP(tblDistributionTests[[#This Row],[Rand]],tblNormalTestVl[],2,TRUE)</f>
        <v>Luke</v>
      </c>
      <c r="Y940" s="11" t="str">
        <f ca="1">INDEX(tblNormalTestIM[],MATCH(tblDistributionTests[[#This Row],[Rand]],tblNormalTestIM[Score],-1),2)</f>
        <v>Riley</v>
      </c>
    </row>
    <row r="941" spans="22:25" x14ac:dyDescent="0.2">
      <c r="V941" s="1">
        <f t="shared" ca="1" si="14"/>
        <v>0.76</v>
      </c>
      <c r="W941" s="1" t="str">
        <f ca="1">VLOOKUP(tblDistributionTests[[#This Row],[Rand]]+MIN(tblFairTest[Score]),tblFairTest[],2,TRUE)</f>
        <v>Todd</v>
      </c>
      <c r="X941" s="1" t="str">
        <f ca="1">VLOOKUP(tblDistributionTests[[#This Row],[Rand]],tblNormalTestVl[],2,TRUE)</f>
        <v>Riley</v>
      </c>
      <c r="Y941" s="11" t="str">
        <f ca="1">INDEX(tblNormalTestIM[],MATCH(tblDistributionTests[[#This Row],[Rand]],tblNormalTestIM[Score],-1),2)</f>
        <v>Luke</v>
      </c>
    </row>
    <row r="942" spans="22:25" x14ac:dyDescent="0.2">
      <c r="V942" s="1">
        <f t="shared" ca="1" si="14"/>
        <v>0.21</v>
      </c>
      <c r="W942" s="1" t="e">
        <f ca="1">VLOOKUP(tblDistributionTests[[#This Row],[Rand]]+MIN(tblFairTest[Score]),tblFairTest[],2,TRUE)</f>
        <v>#N/A</v>
      </c>
      <c r="X942" s="1" t="str">
        <f ca="1">VLOOKUP(tblDistributionTests[[#This Row],[Rand]],tblNormalTestVl[],2,TRUE)</f>
        <v>Frank</v>
      </c>
      <c r="Y942" s="11" t="str">
        <f ca="1">INDEX(tblNormalTestIM[],MATCH(tblDistributionTests[[#This Row],[Rand]],tblNormalTestIM[Score],-1),2)</f>
        <v>William</v>
      </c>
    </row>
    <row r="943" spans="22:25" x14ac:dyDescent="0.2">
      <c r="V943" s="1">
        <f t="shared" ca="1" si="14"/>
        <v>0.08</v>
      </c>
      <c r="W943" s="1" t="e">
        <f ca="1">VLOOKUP(tblDistributionTests[[#This Row],[Rand]]+MIN(tblFairTest[Score]),tblFairTest[],2,TRUE)</f>
        <v>#N/A</v>
      </c>
      <c r="X943" s="1" t="str">
        <f ca="1">VLOOKUP(tblDistributionTests[[#This Row],[Rand]],tblNormalTestVl[],2,TRUE)</f>
        <v>Frank</v>
      </c>
      <c r="Y943" s="11" t="str">
        <f ca="1">INDEX(tblNormalTestIM[],MATCH(tblDistributionTests[[#This Row],[Rand]],tblNormalTestIM[Score],-1),2)</f>
        <v>William</v>
      </c>
    </row>
    <row r="944" spans="22:25" x14ac:dyDescent="0.2">
      <c r="V944" s="1">
        <f t="shared" ca="1" si="14"/>
        <v>0.41</v>
      </c>
      <c r="W944" s="1" t="e">
        <f ca="1">VLOOKUP(tblDistributionTests[[#This Row],[Rand]]+MIN(tblFairTest[Score]),tblFairTest[],2,TRUE)</f>
        <v>#N/A</v>
      </c>
      <c r="X944" s="1" t="str">
        <f ca="1">VLOOKUP(tblDistributionTests[[#This Row],[Rand]],tblNormalTestVl[],2,TRUE)</f>
        <v>Luke</v>
      </c>
      <c r="Y944" s="11" t="str">
        <f ca="1">INDEX(tblNormalTestIM[],MATCH(tblDistributionTests[[#This Row],[Rand]],tblNormalTestIM[Score],-1),2)</f>
        <v>Riley</v>
      </c>
    </row>
    <row r="945" spans="22:25" x14ac:dyDescent="0.2">
      <c r="V945" s="1">
        <f t="shared" ca="1" si="14"/>
        <v>0.87</v>
      </c>
      <c r="W945" s="1" t="str">
        <f ca="1">VLOOKUP(tblDistributionTests[[#This Row],[Rand]]+MIN(tblFairTest[Score]),tblFairTest[],2,TRUE)</f>
        <v>Todd</v>
      </c>
      <c r="X945" s="1" t="str">
        <f ca="1">VLOOKUP(tblDistributionTests[[#This Row],[Rand]],tblNormalTestVl[],2,TRUE)</f>
        <v>William</v>
      </c>
      <c r="Y945" s="11" t="str">
        <f ca="1">INDEX(tblNormalTestIM[],MATCH(tblDistributionTests[[#This Row],[Rand]],tblNormalTestIM[Score],-1),2)</f>
        <v>Frank</v>
      </c>
    </row>
    <row r="946" spans="22:25" x14ac:dyDescent="0.2">
      <c r="V946" s="1">
        <f t="shared" ca="1" si="14"/>
        <v>0.08</v>
      </c>
      <c r="W946" s="1" t="e">
        <f ca="1">VLOOKUP(tblDistributionTests[[#This Row],[Rand]]+MIN(tblFairTest[Score]),tblFairTest[],2,TRUE)</f>
        <v>#N/A</v>
      </c>
      <c r="X946" s="1" t="str">
        <f ca="1">VLOOKUP(tblDistributionTests[[#This Row],[Rand]],tblNormalTestVl[],2,TRUE)</f>
        <v>Frank</v>
      </c>
      <c r="Y946" s="11" t="str">
        <f ca="1">INDEX(tblNormalTestIM[],MATCH(tblDistributionTests[[#This Row],[Rand]],tblNormalTestIM[Score],-1),2)</f>
        <v>William</v>
      </c>
    </row>
    <row r="947" spans="22:25" x14ac:dyDescent="0.2">
      <c r="V947" s="1">
        <f t="shared" ca="1" si="14"/>
        <v>0.05</v>
      </c>
      <c r="W947" s="1" t="e">
        <f ca="1">VLOOKUP(tblDistributionTests[[#This Row],[Rand]]+MIN(tblFairTest[Score]),tblFairTest[],2,TRUE)</f>
        <v>#N/A</v>
      </c>
      <c r="X947" s="1" t="str">
        <f ca="1">VLOOKUP(tblDistributionTests[[#This Row],[Rand]],tblNormalTestVl[],2,TRUE)</f>
        <v>Bill</v>
      </c>
      <c r="Y947" s="11" t="str">
        <f ca="1">INDEX(tblNormalTestIM[],MATCH(tblDistributionTests[[#This Row],[Rand]],tblNormalTestIM[Score],-1),2)</f>
        <v>Eric</v>
      </c>
    </row>
    <row r="948" spans="22:25" x14ac:dyDescent="0.2">
      <c r="V948" s="1">
        <f t="shared" ca="1" si="14"/>
        <v>0.94</v>
      </c>
      <c r="W948" s="1" t="str">
        <f ca="1">VLOOKUP(tblDistributionTests[[#This Row],[Rand]]+MIN(tblFairTest[Score]),tblFairTest[],2,TRUE)</f>
        <v>Todd</v>
      </c>
      <c r="X948" s="1" t="str">
        <f ca="1">VLOOKUP(tblDistributionTests[[#This Row],[Rand]],tblNormalTestVl[],2,TRUE)</f>
        <v>Eric</v>
      </c>
      <c r="Y948" s="11" t="str">
        <f ca="1">INDEX(tblNormalTestIM[],MATCH(tblDistributionTests[[#This Row],[Rand]],tblNormalTestIM[Score],-1),2)</f>
        <v>Bill</v>
      </c>
    </row>
    <row r="949" spans="22:25" x14ac:dyDescent="0.2">
      <c r="V949" s="1">
        <f t="shared" ca="1" si="14"/>
        <v>0.68</v>
      </c>
      <c r="W949" s="1" t="str">
        <f ca="1">VLOOKUP(tblDistributionTests[[#This Row],[Rand]]+MIN(tblFairTest[Score]),tblFairTest[],2,TRUE)</f>
        <v>Todd</v>
      </c>
      <c r="X949" s="1" t="str">
        <f ca="1">VLOOKUP(tblDistributionTests[[#This Row],[Rand]],tblNormalTestVl[],2,TRUE)</f>
        <v>Riley</v>
      </c>
      <c r="Y949" s="11" t="str">
        <f ca="1">INDEX(tblNormalTestIM[],MATCH(tblDistributionTests[[#This Row],[Rand]],tblNormalTestIM[Score],-1),2)</f>
        <v>Luke</v>
      </c>
    </row>
    <row r="950" spans="22:25" x14ac:dyDescent="0.2">
      <c r="V950" s="1">
        <f t="shared" ca="1" si="14"/>
        <v>0.57999999999999996</v>
      </c>
      <c r="W950" s="1" t="str">
        <f ca="1">VLOOKUP(tblDistributionTests[[#This Row],[Rand]]+MIN(tblFairTest[Score]),tblFairTest[],2,TRUE)</f>
        <v>Todd</v>
      </c>
      <c r="X950" s="1" t="str">
        <f ca="1">VLOOKUP(tblDistributionTests[[#This Row],[Rand]],tblNormalTestVl[],2,TRUE)</f>
        <v>Riley</v>
      </c>
      <c r="Y950" s="11" t="str">
        <f ca="1">INDEX(tblNormalTestIM[],MATCH(tblDistributionTests[[#This Row],[Rand]],tblNormalTestIM[Score],-1),2)</f>
        <v>Luke</v>
      </c>
    </row>
    <row r="951" spans="22:25" x14ac:dyDescent="0.2">
      <c r="V951" s="1">
        <f t="shared" ca="1" si="14"/>
        <v>0.76</v>
      </c>
      <c r="W951" s="1" t="str">
        <f ca="1">VLOOKUP(tblDistributionTests[[#This Row],[Rand]]+MIN(tblFairTest[Score]),tblFairTest[],2,TRUE)</f>
        <v>Todd</v>
      </c>
      <c r="X951" s="1" t="str">
        <f ca="1">VLOOKUP(tblDistributionTests[[#This Row],[Rand]],tblNormalTestVl[],2,TRUE)</f>
        <v>Riley</v>
      </c>
      <c r="Y951" s="11" t="str">
        <f ca="1">INDEX(tblNormalTestIM[],MATCH(tblDistributionTests[[#This Row],[Rand]],tblNormalTestIM[Score],-1),2)</f>
        <v>Luke</v>
      </c>
    </row>
    <row r="952" spans="22:25" x14ac:dyDescent="0.2">
      <c r="V952" s="1">
        <f t="shared" ca="1" si="14"/>
        <v>1</v>
      </c>
      <c r="W952" s="1" t="str">
        <f ca="1">VLOOKUP(tblDistributionTests[[#This Row],[Rand]]+MIN(tblFairTest[Score]),tblFairTest[],2,TRUE)</f>
        <v>Todd</v>
      </c>
      <c r="X952" s="1" t="str">
        <f ca="1">VLOOKUP(tblDistributionTests[[#This Row],[Rand]],tblNormalTestVl[],2,TRUE)</f>
        <v>Todd</v>
      </c>
      <c r="Y952" s="11" t="e">
        <f ca="1">INDEX(tblNormalTestIM[],MATCH(tblDistributionTests[[#This Row],[Rand]],tblNormalTestIM[Score],-1),2)</f>
        <v>#N/A</v>
      </c>
    </row>
    <row r="953" spans="22:25" x14ac:dyDescent="0.2">
      <c r="V953" s="1">
        <f t="shared" ca="1" si="14"/>
        <v>0.47</v>
      </c>
      <c r="W953" s="1" t="e">
        <f ca="1">VLOOKUP(tblDistributionTests[[#This Row],[Rand]]+MIN(tblFairTest[Score]),tblFairTest[],2,TRUE)</f>
        <v>#N/A</v>
      </c>
      <c r="X953" s="1" t="str">
        <f ca="1">VLOOKUP(tblDistributionTests[[#This Row],[Rand]],tblNormalTestVl[],2,TRUE)</f>
        <v>Luke</v>
      </c>
      <c r="Y953" s="11" t="str">
        <f ca="1">INDEX(tblNormalTestIM[],MATCH(tblDistributionTests[[#This Row],[Rand]],tblNormalTestIM[Score],-1),2)</f>
        <v>Riley</v>
      </c>
    </row>
    <row r="954" spans="22:25" x14ac:dyDescent="0.2">
      <c r="V954" s="1">
        <f t="shared" ca="1" si="14"/>
        <v>0.5</v>
      </c>
      <c r="W954" s="1" t="str">
        <f ca="1">VLOOKUP(tblDistributionTests[[#This Row],[Rand]]+MIN(tblFairTest[Score]),tblFairTest[],2,TRUE)</f>
        <v>Riley</v>
      </c>
      <c r="X954" s="1" t="str">
        <f ca="1">VLOOKUP(tblDistributionTests[[#This Row],[Rand]],tblNormalTestVl[],2,TRUE)</f>
        <v>Riley</v>
      </c>
      <c r="Y954" s="11" t="str">
        <f ca="1">INDEX(tblNormalTestIM[],MATCH(tblDistributionTests[[#This Row],[Rand]],tblNormalTestIM[Score],-1),2)</f>
        <v>Riley</v>
      </c>
    </row>
    <row r="955" spans="22:25" x14ac:dyDescent="0.2">
      <c r="V955" s="1">
        <f t="shared" ca="1" si="14"/>
        <v>0.56999999999999995</v>
      </c>
      <c r="W955" s="1" t="str">
        <f ca="1">VLOOKUP(tblDistributionTests[[#This Row],[Rand]]+MIN(tblFairTest[Score]),tblFairTest[],2,TRUE)</f>
        <v>Todd</v>
      </c>
      <c r="X955" s="1" t="str">
        <f ca="1">VLOOKUP(tblDistributionTests[[#This Row],[Rand]],tblNormalTestVl[],2,TRUE)</f>
        <v>Riley</v>
      </c>
      <c r="Y955" s="11" t="str">
        <f ca="1">INDEX(tblNormalTestIM[],MATCH(tblDistributionTests[[#This Row],[Rand]],tblNormalTestIM[Score],-1),2)</f>
        <v>Luke</v>
      </c>
    </row>
    <row r="956" spans="22:25" x14ac:dyDescent="0.2">
      <c r="V956" s="1">
        <f t="shared" ca="1" si="14"/>
        <v>0.8</v>
      </c>
      <c r="W956" s="1" t="str">
        <f ca="1">VLOOKUP(tblDistributionTests[[#This Row],[Rand]]+MIN(tblFairTest[Score]),tblFairTest[],2,TRUE)</f>
        <v>Todd</v>
      </c>
      <c r="X956" s="1" t="str">
        <f ca="1">VLOOKUP(tblDistributionTests[[#This Row],[Rand]],tblNormalTestVl[],2,TRUE)</f>
        <v>William</v>
      </c>
      <c r="Y956" s="11" t="str">
        <f ca="1">INDEX(tblNormalTestIM[],MATCH(tblDistributionTests[[#This Row],[Rand]],tblNormalTestIM[Score],-1),2)</f>
        <v>Frank</v>
      </c>
    </row>
    <row r="957" spans="22:25" x14ac:dyDescent="0.2">
      <c r="V957" s="1">
        <f t="shared" ca="1" si="14"/>
        <v>0.5</v>
      </c>
      <c r="W957" s="1" t="str">
        <f ca="1">VLOOKUP(tblDistributionTests[[#This Row],[Rand]]+MIN(tblFairTest[Score]),tblFairTest[],2,TRUE)</f>
        <v>Riley</v>
      </c>
      <c r="X957" s="1" t="str">
        <f ca="1">VLOOKUP(tblDistributionTests[[#This Row],[Rand]],tblNormalTestVl[],2,TRUE)</f>
        <v>Riley</v>
      </c>
      <c r="Y957" s="11" t="str">
        <f ca="1">INDEX(tblNormalTestIM[],MATCH(tblDistributionTests[[#This Row],[Rand]],tblNormalTestIM[Score],-1),2)</f>
        <v>Riley</v>
      </c>
    </row>
    <row r="958" spans="22:25" x14ac:dyDescent="0.2">
      <c r="V958" s="1">
        <f t="shared" ca="1" si="14"/>
        <v>0.97</v>
      </c>
      <c r="W958" s="1" t="str">
        <f ca="1">VLOOKUP(tblDistributionTests[[#This Row],[Rand]]+MIN(tblFairTest[Score]),tblFairTest[],2,TRUE)</f>
        <v>Todd</v>
      </c>
      <c r="X958" s="1" t="str">
        <f ca="1">VLOOKUP(tblDistributionTests[[#This Row],[Rand]],tblNormalTestVl[],2,TRUE)</f>
        <v>Eric</v>
      </c>
      <c r="Y958" s="11" t="str">
        <f ca="1">INDEX(tblNormalTestIM[],MATCH(tblDistributionTests[[#This Row],[Rand]],tblNormalTestIM[Score],-1),2)</f>
        <v>Bill</v>
      </c>
    </row>
    <row r="959" spans="22:25" x14ac:dyDescent="0.2">
      <c r="V959" s="1">
        <f t="shared" ca="1" si="14"/>
        <v>0.89</v>
      </c>
      <c r="W959" s="1" t="str">
        <f ca="1">VLOOKUP(tblDistributionTests[[#This Row],[Rand]]+MIN(tblFairTest[Score]),tblFairTest[],2,TRUE)</f>
        <v>Todd</v>
      </c>
      <c r="X959" s="1" t="str">
        <f ca="1">VLOOKUP(tblDistributionTests[[#This Row],[Rand]],tblNormalTestVl[],2,TRUE)</f>
        <v>William</v>
      </c>
      <c r="Y959" s="11" t="str">
        <f ca="1">INDEX(tblNormalTestIM[],MATCH(tblDistributionTests[[#This Row],[Rand]],tblNormalTestIM[Score],-1),2)</f>
        <v>Frank</v>
      </c>
    </row>
    <row r="960" spans="22:25" x14ac:dyDescent="0.2">
      <c r="V960" s="1">
        <f t="shared" ca="1" si="14"/>
        <v>0.33</v>
      </c>
      <c r="W960" s="1" t="e">
        <f ca="1">VLOOKUP(tblDistributionTests[[#This Row],[Rand]]+MIN(tblFairTest[Score]),tblFairTest[],2,TRUE)</f>
        <v>#N/A</v>
      </c>
      <c r="X960" s="1" t="str">
        <f ca="1">VLOOKUP(tblDistributionTests[[#This Row],[Rand]],tblNormalTestVl[],2,TRUE)</f>
        <v>Luke</v>
      </c>
      <c r="Y960" s="11" t="str">
        <f ca="1">INDEX(tblNormalTestIM[],MATCH(tblDistributionTests[[#This Row],[Rand]],tblNormalTestIM[Score],-1),2)</f>
        <v>Riley</v>
      </c>
    </row>
    <row r="961" spans="22:25" x14ac:dyDescent="0.2">
      <c r="V961" s="1">
        <f t="shared" ca="1" si="14"/>
        <v>0.41</v>
      </c>
      <c r="W961" s="1" t="e">
        <f ca="1">VLOOKUP(tblDistributionTests[[#This Row],[Rand]]+MIN(tblFairTest[Score]),tblFairTest[],2,TRUE)</f>
        <v>#N/A</v>
      </c>
      <c r="X961" s="1" t="str">
        <f ca="1">VLOOKUP(tblDistributionTests[[#This Row],[Rand]],tblNormalTestVl[],2,TRUE)</f>
        <v>Luke</v>
      </c>
      <c r="Y961" s="11" t="str">
        <f ca="1">INDEX(tblNormalTestIM[],MATCH(tblDistributionTests[[#This Row],[Rand]],tblNormalTestIM[Score],-1),2)</f>
        <v>Riley</v>
      </c>
    </row>
    <row r="962" spans="22:25" x14ac:dyDescent="0.2">
      <c r="V962" s="1">
        <f t="shared" ca="1" si="14"/>
        <v>0.82</v>
      </c>
      <c r="W962" s="1" t="str">
        <f ca="1">VLOOKUP(tblDistributionTests[[#This Row],[Rand]]+MIN(tblFairTest[Score]),tblFairTest[],2,TRUE)</f>
        <v>Todd</v>
      </c>
      <c r="X962" s="1" t="str">
        <f ca="1">VLOOKUP(tblDistributionTests[[#This Row],[Rand]],tblNormalTestVl[],2,TRUE)</f>
        <v>William</v>
      </c>
      <c r="Y962" s="11" t="str">
        <f ca="1">INDEX(tblNormalTestIM[],MATCH(tblDistributionTests[[#This Row],[Rand]],tblNormalTestIM[Score],-1),2)</f>
        <v>Frank</v>
      </c>
    </row>
    <row r="963" spans="22:25" x14ac:dyDescent="0.2">
      <c r="V963" s="1">
        <f t="shared" ca="1" si="14"/>
        <v>0.43</v>
      </c>
      <c r="W963" s="1" t="e">
        <f ca="1">VLOOKUP(tblDistributionTests[[#This Row],[Rand]]+MIN(tblFairTest[Score]),tblFairTest[],2,TRUE)</f>
        <v>#N/A</v>
      </c>
      <c r="X963" s="1" t="str">
        <f ca="1">VLOOKUP(tblDistributionTests[[#This Row],[Rand]],tblNormalTestVl[],2,TRUE)</f>
        <v>Luke</v>
      </c>
      <c r="Y963" s="11" t="str">
        <f ca="1">INDEX(tblNormalTestIM[],MATCH(tblDistributionTests[[#This Row],[Rand]],tblNormalTestIM[Score],-1),2)</f>
        <v>Riley</v>
      </c>
    </row>
    <row r="964" spans="22:25" x14ac:dyDescent="0.2">
      <c r="V964" s="1">
        <f t="shared" ca="1" si="14"/>
        <v>0.66</v>
      </c>
      <c r="W964" s="1" t="str">
        <f ca="1">VLOOKUP(tblDistributionTests[[#This Row],[Rand]]+MIN(tblFairTest[Score]),tblFairTest[],2,TRUE)</f>
        <v>Todd</v>
      </c>
      <c r="X964" s="1" t="str">
        <f ca="1">VLOOKUP(tblDistributionTests[[#This Row],[Rand]],tblNormalTestVl[],2,TRUE)</f>
        <v>Riley</v>
      </c>
      <c r="Y964" s="11" t="str">
        <f ca="1">INDEX(tblNormalTestIM[],MATCH(tblDistributionTests[[#This Row],[Rand]],tblNormalTestIM[Score],-1),2)</f>
        <v>Luke</v>
      </c>
    </row>
    <row r="965" spans="22:25" x14ac:dyDescent="0.2">
      <c r="V965" s="1">
        <f t="shared" ca="1" si="14"/>
        <v>0.12</v>
      </c>
      <c r="W965" s="1" t="e">
        <f ca="1">VLOOKUP(tblDistributionTests[[#This Row],[Rand]]+MIN(tblFairTest[Score]),tblFairTest[],2,TRUE)</f>
        <v>#N/A</v>
      </c>
      <c r="X965" s="1" t="str">
        <f ca="1">VLOOKUP(tblDistributionTests[[#This Row],[Rand]],tblNormalTestVl[],2,TRUE)</f>
        <v>Frank</v>
      </c>
      <c r="Y965" s="11" t="str">
        <f ca="1">INDEX(tblNormalTestIM[],MATCH(tblDistributionTests[[#This Row],[Rand]],tblNormalTestIM[Score],-1),2)</f>
        <v>William</v>
      </c>
    </row>
    <row r="966" spans="22:25" x14ac:dyDescent="0.2">
      <c r="V966" s="1">
        <f t="shared" ca="1" si="14"/>
        <v>0.84</v>
      </c>
      <c r="W966" s="1" t="str">
        <f ca="1">VLOOKUP(tblDistributionTests[[#This Row],[Rand]]+MIN(tblFairTest[Score]),tblFairTest[],2,TRUE)</f>
        <v>Todd</v>
      </c>
      <c r="X966" s="1" t="str">
        <f ca="1">VLOOKUP(tblDistributionTests[[#This Row],[Rand]],tblNormalTestVl[],2,TRUE)</f>
        <v>William</v>
      </c>
      <c r="Y966" s="11" t="str">
        <f ca="1">INDEX(tblNormalTestIM[],MATCH(tblDistributionTests[[#This Row],[Rand]],tblNormalTestIM[Score],-1),2)</f>
        <v>Frank</v>
      </c>
    </row>
    <row r="967" spans="22:25" x14ac:dyDescent="0.2">
      <c r="V967" s="1">
        <f t="shared" ca="1" si="14"/>
        <v>0.85</v>
      </c>
      <c r="W967" s="1" t="str">
        <f ca="1">VLOOKUP(tblDistributionTests[[#This Row],[Rand]]+MIN(tblFairTest[Score]),tblFairTest[],2,TRUE)</f>
        <v>Todd</v>
      </c>
      <c r="X967" s="1" t="str">
        <f ca="1">VLOOKUP(tblDistributionTests[[#This Row],[Rand]],tblNormalTestVl[],2,TRUE)</f>
        <v>William</v>
      </c>
      <c r="Y967" s="11" t="str">
        <f ca="1">INDEX(tblNormalTestIM[],MATCH(tblDistributionTests[[#This Row],[Rand]],tblNormalTestIM[Score],-1),2)</f>
        <v>Frank</v>
      </c>
    </row>
    <row r="968" spans="22:25" x14ac:dyDescent="0.2">
      <c r="V968" s="1">
        <f t="shared" ref="V968:V1031" ca="1" si="15">RANDBETWEEN(1,100)/100</f>
        <v>0.82</v>
      </c>
      <c r="W968" s="1" t="str">
        <f ca="1">VLOOKUP(tblDistributionTests[[#This Row],[Rand]]+MIN(tblFairTest[Score]),tblFairTest[],2,TRUE)</f>
        <v>Todd</v>
      </c>
      <c r="X968" s="1" t="str">
        <f ca="1">VLOOKUP(tblDistributionTests[[#This Row],[Rand]],tblNormalTestVl[],2,TRUE)</f>
        <v>William</v>
      </c>
      <c r="Y968" s="11" t="str">
        <f ca="1">INDEX(tblNormalTestIM[],MATCH(tblDistributionTests[[#This Row],[Rand]],tblNormalTestIM[Score],-1),2)</f>
        <v>Frank</v>
      </c>
    </row>
    <row r="969" spans="22:25" x14ac:dyDescent="0.2">
      <c r="V969" s="1">
        <f t="shared" ca="1" si="15"/>
        <v>0.02</v>
      </c>
      <c r="W969" s="1" t="e">
        <f ca="1">VLOOKUP(tblDistributionTests[[#This Row],[Rand]]+MIN(tblFairTest[Score]),tblFairTest[],2,TRUE)</f>
        <v>#N/A</v>
      </c>
      <c r="X969" s="1" t="str">
        <f ca="1">VLOOKUP(tblDistributionTests[[#This Row],[Rand]],tblNormalTestVl[],2,TRUE)</f>
        <v>Bill</v>
      </c>
      <c r="Y969" s="11" t="str">
        <f ca="1">INDEX(tblNormalTestIM[],MATCH(tblDistributionTests[[#This Row],[Rand]],tblNormalTestIM[Score],-1),2)</f>
        <v>Eric</v>
      </c>
    </row>
    <row r="970" spans="22:25" x14ac:dyDescent="0.2">
      <c r="V970" s="1">
        <f t="shared" ca="1" si="15"/>
        <v>0.19</v>
      </c>
      <c r="W970" s="1" t="e">
        <f ca="1">VLOOKUP(tblDistributionTests[[#This Row],[Rand]]+MIN(tblFairTest[Score]),tblFairTest[],2,TRUE)</f>
        <v>#N/A</v>
      </c>
      <c r="X970" s="1" t="str">
        <f ca="1">VLOOKUP(tblDistributionTests[[#This Row],[Rand]],tblNormalTestVl[],2,TRUE)</f>
        <v>Frank</v>
      </c>
      <c r="Y970" s="11" t="str">
        <f ca="1">INDEX(tblNormalTestIM[],MATCH(tblDistributionTests[[#This Row],[Rand]],tblNormalTestIM[Score],-1),2)</f>
        <v>William</v>
      </c>
    </row>
    <row r="971" spans="22:25" x14ac:dyDescent="0.2">
      <c r="V971" s="1">
        <f t="shared" ca="1" si="15"/>
        <v>0.7</v>
      </c>
      <c r="W971" s="1" t="str">
        <f ca="1">VLOOKUP(tblDistributionTests[[#This Row],[Rand]]+MIN(tblFairTest[Score]),tblFairTest[],2,TRUE)</f>
        <v>Todd</v>
      </c>
      <c r="X971" s="1" t="str">
        <f ca="1">VLOOKUP(tblDistributionTests[[#This Row],[Rand]],tblNormalTestVl[],2,TRUE)</f>
        <v>Riley</v>
      </c>
      <c r="Y971" s="11" t="str">
        <f ca="1">INDEX(tblNormalTestIM[],MATCH(tblDistributionTests[[#This Row],[Rand]],tblNormalTestIM[Score],-1),2)</f>
        <v>Luke</v>
      </c>
    </row>
    <row r="972" spans="22:25" x14ac:dyDescent="0.2">
      <c r="V972" s="1">
        <f t="shared" ca="1" si="15"/>
        <v>0.37</v>
      </c>
      <c r="W972" s="1" t="e">
        <f ca="1">VLOOKUP(tblDistributionTests[[#This Row],[Rand]]+MIN(tblFairTest[Score]),tblFairTest[],2,TRUE)</f>
        <v>#N/A</v>
      </c>
      <c r="X972" s="1" t="str">
        <f ca="1">VLOOKUP(tblDistributionTests[[#This Row],[Rand]],tblNormalTestVl[],2,TRUE)</f>
        <v>Luke</v>
      </c>
      <c r="Y972" s="11" t="str">
        <f ca="1">INDEX(tblNormalTestIM[],MATCH(tblDistributionTests[[#This Row],[Rand]],tblNormalTestIM[Score],-1),2)</f>
        <v>Riley</v>
      </c>
    </row>
    <row r="973" spans="22:25" x14ac:dyDescent="0.2">
      <c r="V973" s="1">
        <f t="shared" ca="1" si="15"/>
        <v>0.71</v>
      </c>
      <c r="W973" s="1" t="str">
        <f ca="1">VLOOKUP(tblDistributionTests[[#This Row],[Rand]]+MIN(tblFairTest[Score]),tblFairTest[],2,TRUE)</f>
        <v>Todd</v>
      </c>
      <c r="X973" s="1" t="str">
        <f ca="1">VLOOKUP(tblDistributionTests[[#This Row],[Rand]],tblNormalTestVl[],2,TRUE)</f>
        <v>Riley</v>
      </c>
      <c r="Y973" s="11" t="str">
        <f ca="1">INDEX(tblNormalTestIM[],MATCH(tblDistributionTests[[#This Row],[Rand]],tblNormalTestIM[Score],-1),2)</f>
        <v>Luke</v>
      </c>
    </row>
    <row r="974" spans="22:25" x14ac:dyDescent="0.2">
      <c r="V974" s="1">
        <f t="shared" ca="1" si="15"/>
        <v>0.34</v>
      </c>
      <c r="W974" s="1" t="e">
        <f ca="1">VLOOKUP(tblDistributionTests[[#This Row],[Rand]]+MIN(tblFairTest[Score]),tblFairTest[],2,TRUE)</f>
        <v>#N/A</v>
      </c>
      <c r="X974" s="1" t="str">
        <f ca="1">VLOOKUP(tblDistributionTests[[#This Row],[Rand]],tblNormalTestVl[],2,TRUE)</f>
        <v>Luke</v>
      </c>
      <c r="Y974" s="11" t="str">
        <f ca="1">INDEX(tblNormalTestIM[],MATCH(tblDistributionTests[[#This Row],[Rand]],tblNormalTestIM[Score],-1),2)</f>
        <v>Riley</v>
      </c>
    </row>
    <row r="975" spans="22:25" x14ac:dyDescent="0.2">
      <c r="V975" s="1">
        <f t="shared" ca="1" si="15"/>
        <v>0.52</v>
      </c>
      <c r="W975" s="1" t="str">
        <f ca="1">VLOOKUP(tblDistributionTests[[#This Row],[Rand]]+MIN(tblFairTest[Score]),tblFairTest[],2,TRUE)</f>
        <v>Todd</v>
      </c>
      <c r="X975" s="1" t="str">
        <f ca="1">VLOOKUP(tblDistributionTests[[#This Row],[Rand]],tblNormalTestVl[],2,TRUE)</f>
        <v>Riley</v>
      </c>
      <c r="Y975" s="11" t="str">
        <f ca="1">INDEX(tblNormalTestIM[],MATCH(tblDistributionTests[[#This Row],[Rand]],tblNormalTestIM[Score],-1),2)</f>
        <v>Luke</v>
      </c>
    </row>
    <row r="976" spans="22:25" x14ac:dyDescent="0.2">
      <c r="V976" s="1">
        <f t="shared" ca="1" si="15"/>
        <v>0.05</v>
      </c>
      <c r="W976" s="1" t="e">
        <f ca="1">VLOOKUP(tblDistributionTests[[#This Row],[Rand]]+MIN(tblFairTest[Score]),tblFairTest[],2,TRUE)</f>
        <v>#N/A</v>
      </c>
      <c r="X976" s="1" t="str">
        <f ca="1">VLOOKUP(tblDistributionTests[[#This Row],[Rand]],tblNormalTestVl[],2,TRUE)</f>
        <v>Bill</v>
      </c>
      <c r="Y976" s="11" t="str">
        <f ca="1">INDEX(tblNormalTestIM[],MATCH(tblDistributionTests[[#This Row],[Rand]],tblNormalTestIM[Score],-1),2)</f>
        <v>Eric</v>
      </c>
    </row>
    <row r="977" spans="22:25" x14ac:dyDescent="0.2">
      <c r="V977" s="1">
        <f t="shared" ca="1" si="15"/>
        <v>0.9</v>
      </c>
      <c r="W977" s="1" t="str">
        <f ca="1">VLOOKUP(tblDistributionTests[[#This Row],[Rand]]+MIN(tblFairTest[Score]),tblFairTest[],2,TRUE)</f>
        <v>Todd</v>
      </c>
      <c r="X977" s="1" t="str">
        <f ca="1">VLOOKUP(tblDistributionTests[[#This Row],[Rand]],tblNormalTestVl[],2,TRUE)</f>
        <v>William</v>
      </c>
      <c r="Y977" s="11" t="str">
        <f ca="1">INDEX(tblNormalTestIM[],MATCH(tblDistributionTests[[#This Row],[Rand]],tblNormalTestIM[Score],-1),2)</f>
        <v>Frank</v>
      </c>
    </row>
    <row r="978" spans="22:25" x14ac:dyDescent="0.2">
      <c r="V978" s="1">
        <f t="shared" ca="1" si="15"/>
        <v>0.02</v>
      </c>
      <c r="W978" s="1" t="e">
        <f ca="1">VLOOKUP(tblDistributionTests[[#This Row],[Rand]]+MIN(tblFairTest[Score]),tblFairTest[],2,TRUE)</f>
        <v>#N/A</v>
      </c>
      <c r="X978" s="1" t="str">
        <f ca="1">VLOOKUP(tblDistributionTests[[#This Row],[Rand]],tblNormalTestVl[],2,TRUE)</f>
        <v>Bill</v>
      </c>
      <c r="Y978" s="11" t="str">
        <f ca="1">INDEX(tblNormalTestIM[],MATCH(tblDistributionTests[[#This Row],[Rand]],tblNormalTestIM[Score],-1),2)</f>
        <v>Eric</v>
      </c>
    </row>
    <row r="979" spans="22:25" x14ac:dyDescent="0.2">
      <c r="V979" s="1">
        <f t="shared" ca="1" si="15"/>
        <v>0.1</v>
      </c>
      <c r="W979" s="1" t="e">
        <f ca="1">VLOOKUP(tblDistributionTests[[#This Row],[Rand]]+MIN(tblFairTest[Score]),tblFairTest[],2,TRUE)</f>
        <v>#N/A</v>
      </c>
      <c r="X979" s="1" t="str">
        <f ca="1">VLOOKUP(tblDistributionTests[[#This Row],[Rand]],tblNormalTestVl[],2,TRUE)</f>
        <v>Frank</v>
      </c>
      <c r="Y979" s="11" t="str">
        <f ca="1">INDEX(tblNormalTestIM[],MATCH(tblDistributionTests[[#This Row],[Rand]],tblNormalTestIM[Score],-1),2)</f>
        <v>William</v>
      </c>
    </row>
    <row r="980" spans="22:25" x14ac:dyDescent="0.2">
      <c r="V980" s="1">
        <f t="shared" ca="1" si="15"/>
        <v>0.56000000000000005</v>
      </c>
      <c r="W980" s="1" t="str">
        <f ca="1">VLOOKUP(tblDistributionTests[[#This Row],[Rand]]+MIN(tblFairTest[Score]),tblFairTest[],2,TRUE)</f>
        <v>Todd</v>
      </c>
      <c r="X980" s="1" t="str">
        <f ca="1">VLOOKUP(tblDistributionTests[[#This Row],[Rand]],tblNormalTestVl[],2,TRUE)</f>
        <v>Riley</v>
      </c>
      <c r="Y980" s="11" t="str">
        <f ca="1">INDEX(tblNormalTestIM[],MATCH(tblDistributionTests[[#This Row],[Rand]],tblNormalTestIM[Score],-1),2)</f>
        <v>Luke</v>
      </c>
    </row>
    <row r="981" spans="22:25" x14ac:dyDescent="0.2">
      <c r="V981" s="1">
        <f t="shared" ca="1" si="15"/>
        <v>0.42</v>
      </c>
      <c r="W981" s="1" t="e">
        <f ca="1">VLOOKUP(tblDistributionTests[[#This Row],[Rand]]+MIN(tblFairTest[Score]),tblFairTest[],2,TRUE)</f>
        <v>#N/A</v>
      </c>
      <c r="X981" s="1" t="str">
        <f ca="1">VLOOKUP(tblDistributionTests[[#This Row],[Rand]],tblNormalTestVl[],2,TRUE)</f>
        <v>Luke</v>
      </c>
      <c r="Y981" s="11" t="str">
        <f ca="1">INDEX(tblNormalTestIM[],MATCH(tblDistributionTests[[#This Row],[Rand]],tblNormalTestIM[Score],-1),2)</f>
        <v>Riley</v>
      </c>
    </row>
    <row r="982" spans="22:25" x14ac:dyDescent="0.2">
      <c r="V982" s="1">
        <f t="shared" ca="1" si="15"/>
        <v>0.37</v>
      </c>
      <c r="W982" s="1" t="e">
        <f ca="1">VLOOKUP(tblDistributionTests[[#This Row],[Rand]]+MIN(tblFairTest[Score]),tblFairTest[],2,TRUE)</f>
        <v>#N/A</v>
      </c>
      <c r="X982" s="1" t="str">
        <f ca="1">VLOOKUP(tblDistributionTests[[#This Row],[Rand]],tblNormalTestVl[],2,TRUE)</f>
        <v>Luke</v>
      </c>
      <c r="Y982" s="11" t="str">
        <f ca="1">INDEX(tblNormalTestIM[],MATCH(tblDistributionTests[[#This Row],[Rand]],tblNormalTestIM[Score],-1),2)</f>
        <v>Riley</v>
      </c>
    </row>
    <row r="983" spans="22:25" x14ac:dyDescent="0.2">
      <c r="V983" s="1">
        <f t="shared" ca="1" si="15"/>
        <v>7.0000000000000007E-2</v>
      </c>
      <c r="W983" s="1" t="e">
        <f ca="1">VLOOKUP(tblDistributionTests[[#This Row],[Rand]]+MIN(tblFairTest[Score]),tblFairTest[],2,TRUE)</f>
        <v>#N/A</v>
      </c>
      <c r="X983" s="1" t="str">
        <f ca="1">VLOOKUP(tblDistributionTests[[#This Row],[Rand]],tblNormalTestVl[],2,TRUE)</f>
        <v>Frank</v>
      </c>
      <c r="Y983" s="11" t="str">
        <f ca="1">INDEX(tblNormalTestIM[],MATCH(tblDistributionTests[[#This Row],[Rand]],tblNormalTestIM[Score],-1),2)</f>
        <v>William</v>
      </c>
    </row>
    <row r="984" spans="22:25" x14ac:dyDescent="0.2">
      <c r="V984" s="1">
        <f t="shared" ca="1" si="15"/>
        <v>0.81</v>
      </c>
      <c r="W984" s="1" t="str">
        <f ca="1">VLOOKUP(tblDistributionTests[[#This Row],[Rand]]+MIN(tblFairTest[Score]),tblFairTest[],2,TRUE)</f>
        <v>Todd</v>
      </c>
      <c r="X984" s="1" t="str">
        <f ca="1">VLOOKUP(tblDistributionTests[[#This Row],[Rand]],tblNormalTestVl[],2,TRUE)</f>
        <v>William</v>
      </c>
      <c r="Y984" s="11" t="str">
        <f ca="1">INDEX(tblNormalTestIM[],MATCH(tblDistributionTests[[#This Row],[Rand]],tblNormalTestIM[Score],-1),2)</f>
        <v>Frank</v>
      </c>
    </row>
    <row r="985" spans="22:25" x14ac:dyDescent="0.2">
      <c r="V985" s="1">
        <f t="shared" ca="1" si="15"/>
        <v>0.49</v>
      </c>
      <c r="W985" s="1" t="e">
        <f ca="1">VLOOKUP(tblDistributionTests[[#This Row],[Rand]]+MIN(tblFairTest[Score]),tblFairTest[],2,TRUE)</f>
        <v>#N/A</v>
      </c>
      <c r="X985" s="1" t="str">
        <f ca="1">VLOOKUP(tblDistributionTests[[#This Row],[Rand]],tblNormalTestVl[],2,TRUE)</f>
        <v>Luke</v>
      </c>
      <c r="Y985" s="11" t="str">
        <f ca="1">INDEX(tblNormalTestIM[],MATCH(tblDistributionTests[[#This Row],[Rand]],tblNormalTestIM[Score],-1),2)</f>
        <v>Riley</v>
      </c>
    </row>
    <row r="986" spans="22:25" x14ac:dyDescent="0.2">
      <c r="V986" s="1">
        <f t="shared" ca="1" si="15"/>
        <v>0.84</v>
      </c>
      <c r="W986" s="1" t="str">
        <f ca="1">VLOOKUP(tblDistributionTests[[#This Row],[Rand]]+MIN(tblFairTest[Score]),tblFairTest[],2,TRUE)</f>
        <v>Todd</v>
      </c>
      <c r="X986" s="1" t="str">
        <f ca="1">VLOOKUP(tblDistributionTests[[#This Row],[Rand]],tblNormalTestVl[],2,TRUE)</f>
        <v>William</v>
      </c>
      <c r="Y986" s="11" t="str">
        <f ca="1">INDEX(tblNormalTestIM[],MATCH(tblDistributionTests[[#This Row],[Rand]],tblNormalTestIM[Score],-1),2)</f>
        <v>Frank</v>
      </c>
    </row>
    <row r="987" spans="22:25" x14ac:dyDescent="0.2">
      <c r="V987" s="1">
        <f t="shared" ca="1" si="15"/>
        <v>0.48</v>
      </c>
      <c r="W987" s="1" t="e">
        <f ca="1">VLOOKUP(tblDistributionTests[[#This Row],[Rand]]+MIN(tblFairTest[Score]),tblFairTest[],2,TRUE)</f>
        <v>#N/A</v>
      </c>
      <c r="X987" s="1" t="str">
        <f ca="1">VLOOKUP(tblDistributionTests[[#This Row],[Rand]],tblNormalTestVl[],2,TRUE)</f>
        <v>Luke</v>
      </c>
      <c r="Y987" s="11" t="str">
        <f ca="1">INDEX(tblNormalTestIM[],MATCH(tblDistributionTests[[#This Row],[Rand]],tblNormalTestIM[Score],-1),2)</f>
        <v>Riley</v>
      </c>
    </row>
    <row r="988" spans="22:25" x14ac:dyDescent="0.2">
      <c r="V988" s="1">
        <f t="shared" ca="1" si="15"/>
        <v>1</v>
      </c>
      <c r="W988" s="1" t="str">
        <f ca="1">VLOOKUP(tblDistributionTests[[#This Row],[Rand]]+MIN(tblFairTest[Score]),tblFairTest[],2,TRUE)</f>
        <v>Todd</v>
      </c>
      <c r="X988" s="1" t="str">
        <f ca="1">VLOOKUP(tblDistributionTests[[#This Row],[Rand]],tblNormalTestVl[],2,TRUE)</f>
        <v>Todd</v>
      </c>
      <c r="Y988" s="11" t="e">
        <f ca="1">INDEX(tblNormalTestIM[],MATCH(tblDistributionTests[[#This Row],[Rand]],tblNormalTestIM[Score],-1),2)</f>
        <v>#N/A</v>
      </c>
    </row>
    <row r="989" spans="22:25" x14ac:dyDescent="0.2">
      <c r="V989" s="1">
        <f t="shared" ca="1" si="15"/>
        <v>0.67</v>
      </c>
      <c r="W989" s="1" t="str">
        <f ca="1">VLOOKUP(tblDistributionTests[[#This Row],[Rand]]+MIN(tblFairTest[Score]),tblFairTest[],2,TRUE)</f>
        <v>Todd</v>
      </c>
      <c r="X989" s="1" t="str">
        <f ca="1">VLOOKUP(tblDistributionTests[[#This Row],[Rand]],tblNormalTestVl[],2,TRUE)</f>
        <v>Riley</v>
      </c>
      <c r="Y989" s="11" t="str">
        <f ca="1">INDEX(tblNormalTestIM[],MATCH(tblDistributionTests[[#This Row],[Rand]],tblNormalTestIM[Score],-1),2)</f>
        <v>Luke</v>
      </c>
    </row>
    <row r="990" spans="22:25" x14ac:dyDescent="0.2">
      <c r="V990" s="1">
        <f t="shared" ca="1" si="15"/>
        <v>0.81</v>
      </c>
      <c r="W990" s="1" t="str">
        <f ca="1">VLOOKUP(tblDistributionTests[[#This Row],[Rand]]+MIN(tblFairTest[Score]),tblFairTest[],2,TRUE)</f>
        <v>Todd</v>
      </c>
      <c r="X990" s="1" t="str">
        <f ca="1">VLOOKUP(tblDistributionTests[[#This Row],[Rand]],tblNormalTestVl[],2,TRUE)</f>
        <v>William</v>
      </c>
      <c r="Y990" s="11" t="str">
        <f ca="1">INDEX(tblNormalTestIM[],MATCH(tblDistributionTests[[#This Row],[Rand]],tblNormalTestIM[Score],-1),2)</f>
        <v>Frank</v>
      </c>
    </row>
    <row r="991" spans="22:25" x14ac:dyDescent="0.2">
      <c r="V991" s="1">
        <f t="shared" ca="1" si="15"/>
        <v>0.86</v>
      </c>
      <c r="W991" s="1" t="str">
        <f ca="1">VLOOKUP(tblDistributionTests[[#This Row],[Rand]]+MIN(tblFairTest[Score]),tblFairTest[],2,TRUE)</f>
        <v>Todd</v>
      </c>
      <c r="X991" s="1" t="str">
        <f ca="1">VLOOKUP(tblDistributionTests[[#This Row],[Rand]],tblNormalTestVl[],2,TRUE)</f>
        <v>William</v>
      </c>
      <c r="Y991" s="11" t="str">
        <f ca="1">INDEX(tblNormalTestIM[],MATCH(tblDistributionTests[[#This Row],[Rand]],tblNormalTestIM[Score],-1),2)</f>
        <v>Frank</v>
      </c>
    </row>
    <row r="992" spans="22:25" x14ac:dyDescent="0.2">
      <c r="V992" s="1">
        <f t="shared" ca="1" si="15"/>
        <v>0.75</v>
      </c>
      <c r="W992" s="1" t="str">
        <f ca="1">VLOOKUP(tblDistributionTests[[#This Row],[Rand]]+MIN(tblFairTest[Score]),tblFairTest[],2,TRUE)</f>
        <v>Todd</v>
      </c>
      <c r="X992" s="1" t="str">
        <f ca="1">VLOOKUP(tblDistributionTests[[#This Row],[Rand]],tblNormalTestVl[],2,TRUE)</f>
        <v>Riley</v>
      </c>
      <c r="Y992" s="11" t="str">
        <f ca="1">INDEX(tblNormalTestIM[],MATCH(tblDistributionTests[[#This Row],[Rand]],tblNormalTestIM[Score],-1),2)</f>
        <v>Luke</v>
      </c>
    </row>
    <row r="993" spans="22:25" x14ac:dyDescent="0.2">
      <c r="V993" s="1">
        <f t="shared" ca="1" si="15"/>
        <v>0.81</v>
      </c>
      <c r="W993" s="1" t="str">
        <f ca="1">VLOOKUP(tblDistributionTests[[#This Row],[Rand]]+MIN(tblFairTest[Score]),tblFairTest[],2,TRUE)</f>
        <v>Todd</v>
      </c>
      <c r="X993" s="1" t="str">
        <f ca="1">VLOOKUP(tblDistributionTests[[#This Row],[Rand]],tblNormalTestVl[],2,TRUE)</f>
        <v>William</v>
      </c>
      <c r="Y993" s="11" t="str">
        <f ca="1">INDEX(tblNormalTestIM[],MATCH(tblDistributionTests[[#This Row],[Rand]],tblNormalTestIM[Score],-1),2)</f>
        <v>Frank</v>
      </c>
    </row>
    <row r="994" spans="22:25" x14ac:dyDescent="0.2">
      <c r="V994" s="1">
        <f t="shared" ca="1" si="15"/>
        <v>0.56000000000000005</v>
      </c>
      <c r="W994" s="1" t="str">
        <f ca="1">VLOOKUP(tblDistributionTests[[#This Row],[Rand]]+MIN(tblFairTest[Score]),tblFairTest[],2,TRUE)</f>
        <v>Todd</v>
      </c>
      <c r="X994" s="1" t="str">
        <f ca="1">VLOOKUP(tblDistributionTests[[#This Row],[Rand]],tblNormalTestVl[],2,TRUE)</f>
        <v>Riley</v>
      </c>
      <c r="Y994" s="11" t="str">
        <f ca="1">INDEX(tblNormalTestIM[],MATCH(tblDistributionTests[[#This Row],[Rand]],tblNormalTestIM[Score],-1),2)</f>
        <v>Luke</v>
      </c>
    </row>
    <row r="995" spans="22:25" x14ac:dyDescent="0.2">
      <c r="V995" s="1">
        <f t="shared" ca="1" si="15"/>
        <v>0.98</v>
      </c>
      <c r="W995" s="1" t="str">
        <f ca="1">VLOOKUP(tblDistributionTests[[#This Row],[Rand]]+MIN(tblFairTest[Score]),tblFairTest[],2,TRUE)</f>
        <v>Todd</v>
      </c>
      <c r="X995" s="1" t="str">
        <f ca="1">VLOOKUP(tblDistributionTests[[#This Row],[Rand]],tblNormalTestVl[],2,TRUE)</f>
        <v>Eric</v>
      </c>
      <c r="Y995" s="11" t="str">
        <f ca="1">INDEX(tblNormalTestIM[],MATCH(tblDistributionTests[[#This Row],[Rand]],tblNormalTestIM[Score],-1),2)</f>
        <v>Bill</v>
      </c>
    </row>
    <row r="996" spans="22:25" x14ac:dyDescent="0.2">
      <c r="V996" s="1">
        <f t="shared" ca="1" si="15"/>
        <v>0.27</v>
      </c>
      <c r="W996" s="1" t="e">
        <f ca="1">VLOOKUP(tblDistributionTests[[#This Row],[Rand]]+MIN(tblFairTest[Score]),tblFairTest[],2,TRUE)</f>
        <v>#N/A</v>
      </c>
      <c r="X996" s="1" t="str">
        <f ca="1">VLOOKUP(tblDistributionTests[[#This Row],[Rand]],tblNormalTestVl[],2,TRUE)</f>
        <v>Luke</v>
      </c>
      <c r="Y996" s="11" t="str">
        <f ca="1">INDEX(tblNormalTestIM[],MATCH(tblDistributionTests[[#This Row],[Rand]],tblNormalTestIM[Score],-1),2)</f>
        <v>Riley</v>
      </c>
    </row>
    <row r="997" spans="22:25" x14ac:dyDescent="0.2">
      <c r="V997" s="1">
        <f t="shared" ca="1" si="15"/>
        <v>0.37</v>
      </c>
      <c r="W997" s="1" t="e">
        <f ca="1">VLOOKUP(tblDistributionTests[[#This Row],[Rand]]+MIN(tblFairTest[Score]),tblFairTest[],2,TRUE)</f>
        <v>#N/A</v>
      </c>
      <c r="X997" s="1" t="str">
        <f ca="1">VLOOKUP(tblDistributionTests[[#This Row],[Rand]],tblNormalTestVl[],2,TRUE)</f>
        <v>Luke</v>
      </c>
      <c r="Y997" s="11" t="str">
        <f ca="1">INDEX(tblNormalTestIM[],MATCH(tblDistributionTests[[#This Row],[Rand]],tblNormalTestIM[Score],-1),2)</f>
        <v>Riley</v>
      </c>
    </row>
    <row r="998" spans="22:25" x14ac:dyDescent="0.2">
      <c r="V998" s="1">
        <f t="shared" ca="1" si="15"/>
        <v>0.52</v>
      </c>
      <c r="W998" s="1" t="str">
        <f ca="1">VLOOKUP(tblDistributionTests[[#This Row],[Rand]]+MIN(tblFairTest[Score]),tblFairTest[],2,TRUE)</f>
        <v>Todd</v>
      </c>
      <c r="X998" s="1" t="str">
        <f ca="1">VLOOKUP(tblDistributionTests[[#This Row],[Rand]],tblNormalTestVl[],2,TRUE)</f>
        <v>Riley</v>
      </c>
      <c r="Y998" s="11" t="str">
        <f ca="1">INDEX(tblNormalTestIM[],MATCH(tblDistributionTests[[#This Row],[Rand]],tblNormalTestIM[Score],-1),2)</f>
        <v>Luke</v>
      </c>
    </row>
    <row r="999" spans="22:25" x14ac:dyDescent="0.2">
      <c r="V999" s="1">
        <f t="shared" ca="1" si="15"/>
        <v>0.91</v>
      </c>
      <c r="W999" s="1" t="str">
        <f ca="1">VLOOKUP(tblDistributionTests[[#This Row],[Rand]]+MIN(tblFairTest[Score]),tblFairTest[],2,TRUE)</f>
        <v>Todd</v>
      </c>
      <c r="X999" s="1" t="str">
        <f ca="1">VLOOKUP(tblDistributionTests[[#This Row],[Rand]],tblNormalTestVl[],2,TRUE)</f>
        <v>William</v>
      </c>
      <c r="Y999" s="11" t="str">
        <f ca="1">INDEX(tblNormalTestIM[],MATCH(tblDistributionTests[[#This Row],[Rand]],tblNormalTestIM[Score],-1),2)</f>
        <v>Frank</v>
      </c>
    </row>
    <row r="1000" spans="22:25" x14ac:dyDescent="0.2">
      <c r="V1000" s="1">
        <f t="shared" ca="1" si="15"/>
        <v>0.71</v>
      </c>
      <c r="W1000" s="1" t="str">
        <f ca="1">VLOOKUP(tblDistributionTests[[#This Row],[Rand]]+MIN(tblFairTest[Score]),tblFairTest[],2,TRUE)</f>
        <v>Todd</v>
      </c>
      <c r="X1000" s="1" t="str">
        <f ca="1">VLOOKUP(tblDistributionTests[[#This Row],[Rand]],tblNormalTestVl[],2,TRUE)</f>
        <v>Riley</v>
      </c>
      <c r="Y1000" s="11" t="str">
        <f ca="1">INDEX(tblNormalTestIM[],MATCH(tblDistributionTests[[#This Row],[Rand]],tblNormalTestIM[Score],-1),2)</f>
        <v>Luke</v>
      </c>
    </row>
    <row r="1001" spans="22:25" x14ac:dyDescent="0.2">
      <c r="V1001" s="1">
        <f t="shared" ca="1" si="15"/>
        <v>0.75</v>
      </c>
      <c r="W1001" s="1" t="str">
        <f ca="1">VLOOKUP(tblDistributionTests[[#This Row],[Rand]]+MIN(tblFairTest[Score]),tblFairTest[],2,TRUE)</f>
        <v>Todd</v>
      </c>
      <c r="X1001" s="1" t="str">
        <f ca="1">VLOOKUP(tblDistributionTests[[#This Row],[Rand]],tblNormalTestVl[],2,TRUE)</f>
        <v>Riley</v>
      </c>
      <c r="Y1001" s="11" t="str">
        <f ca="1">INDEX(tblNormalTestIM[],MATCH(tblDistributionTests[[#This Row],[Rand]],tblNormalTestIM[Score],-1),2)</f>
        <v>Luke</v>
      </c>
    </row>
    <row r="1002" spans="22:25" x14ac:dyDescent="0.2">
      <c r="V1002" s="1">
        <f t="shared" ca="1" si="15"/>
        <v>0.7</v>
      </c>
      <c r="W1002" s="1" t="str">
        <f ca="1">VLOOKUP(tblDistributionTests[[#This Row],[Rand]]+MIN(tblFairTest[Score]),tblFairTest[],2,TRUE)</f>
        <v>Todd</v>
      </c>
      <c r="X1002" s="1" t="str">
        <f ca="1">VLOOKUP(tblDistributionTests[[#This Row],[Rand]],tblNormalTestVl[],2,TRUE)</f>
        <v>Riley</v>
      </c>
      <c r="Y1002" s="11" t="str">
        <f ca="1">INDEX(tblNormalTestIM[],MATCH(tblDistributionTests[[#This Row],[Rand]],tblNormalTestIM[Score],-1),2)</f>
        <v>Luke</v>
      </c>
    </row>
    <row r="1003" spans="22:25" x14ac:dyDescent="0.2">
      <c r="V1003" s="1">
        <f t="shared" ca="1" si="15"/>
        <v>0.28000000000000003</v>
      </c>
      <c r="W1003" s="1" t="e">
        <f ca="1">VLOOKUP(tblDistributionTests[[#This Row],[Rand]]+MIN(tblFairTest[Score]),tblFairTest[],2,TRUE)</f>
        <v>#N/A</v>
      </c>
      <c r="X1003" s="1" t="str">
        <f ca="1">VLOOKUP(tblDistributionTests[[#This Row],[Rand]],tblNormalTestVl[],2,TRUE)</f>
        <v>Luke</v>
      </c>
      <c r="Y1003" s="11" t="str">
        <f ca="1">INDEX(tblNormalTestIM[],MATCH(tblDistributionTests[[#This Row],[Rand]],tblNormalTestIM[Score],-1),2)</f>
        <v>Riley</v>
      </c>
    </row>
    <row r="1004" spans="22:25" x14ac:dyDescent="0.2">
      <c r="V1004" s="1">
        <f t="shared" ca="1" si="15"/>
        <v>0.47</v>
      </c>
      <c r="W1004" s="1" t="e">
        <f ca="1">VLOOKUP(tblDistributionTests[[#This Row],[Rand]]+MIN(tblFairTest[Score]),tblFairTest[],2,TRUE)</f>
        <v>#N/A</v>
      </c>
      <c r="X1004" s="1" t="str">
        <f ca="1">VLOOKUP(tblDistributionTests[[#This Row],[Rand]],tblNormalTestVl[],2,TRUE)</f>
        <v>Luke</v>
      </c>
      <c r="Y1004" s="11" t="str">
        <f ca="1">INDEX(tblNormalTestIM[],MATCH(tblDistributionTests[[#This Row],[Rand]],tblNormalTestIM[Score],-1),2)</f>
        <v>Riley</v>
      </c>
    </row>
    <row r="1005" spans="22:25" x14ac:dyDescent="0.2">
      <c r="V1005" s="1">
        <f t="shared" ca="1" si="15"/>
        <v>0.94</v>
      </c>
      <c r="W1005" s="1" t="str">
        <f ca="1">VLOOKUP(tblDistributionTests[[#This Row],[Rand]]+MIN(tblFairTest[Score]),tblFairTest[],2,TRUE)</f>
        <v>Todd</v>
      </c>
      <c r="X1005" s="1" t="str">
        <f ca="1">VLOOKUP(tblDistributionTests[[#This Row],[Rand]],tblNormalTestVl[],2,TRUE)</f>
        <v>Eric</v>
      </c>
      <c r="Y1005" s="11" t="str">
        <f ca="1">INDEX(tblNormalTestIM[],MATCH(tblDistributionTests[[#This Row],[Rand]],tblNormalTestIM[Score],-1),2)</f>
        <v>Bill</v>
      </c>
    </row>
    <row r="1006" spans="22:25" x14ac:dyDescent="0.2">
      <c r="V1006" s="1">
        <f t="shared" ca="1" si="15"/>
        <v>0.04</v>
      </c>
      <c r="W1006" s="1" t="e">
        <f ca="1">VLOOKUP(tblDistributionTests[[#This Row],[Rand]]+MIN(tblFairTest[Score]),tblFairTest[],2,TRUE)</f>
        <v>#N/A</v>
      </c>
      <c r="X1006" s="1" t="str">
        <f ca="1">VLOOKUP(tblDistributionTests[[#This Row],[Rand]],tblNormalTestVl[],2,TRUE)</f>
        <v>Bill</v>
      </c>
      <c r="Y1006" s="11" t="str">
        <f ca="1">INDEX(tblNormalTestIM[],MATCH(tblDistributionTests[[#This Row],[Rand]],tblNormalTestIM[Score],-1),2)</f>
        <v>Eric</v>
      </c>
    </row>
    <row r="1007" spans="22:25" x14ac:dyDescent="0.2">
      <c r="V1007" s="1">
        <f t="shared" ca="1" si="15"/>
        <v>0.13</v>
      </c>
      <c r="W1007" s="1" t="e">
        <f ca="1">VLOOKUP(tblDistributionTests[[#This Row],[Rand]]+MIN(tblFairTest[Score]),tblFairTest[],2,TRUE)</f>
        <v>#N/A</v>
      </c>
      <c r="X1007" s="1" t="str">
        <f ca="1">VLOOKUP(tblDistributionTests[[#This Row],[Rand]],tblNormalTestVl[],2,TRUE)</f>
        <v>Frank</v>
      </c>
      <c r="Y1007" s="11" t="str">
        <f ca="1">INDEX(tblNormalTestIM[],MATCH(tblDistributionTests[[#This Row],[Rand]],tblNormalTestIM[Score],-1),2)</f>
        <v>William</v>
      </c>
    </row>
    <row r="1008" spans="22:25" x14ac:dyDescent="0.2">
      <c r="V1008" s="1">
        <f t="shared" ca="1" si="15"/>
        <v>0.06</v>
      </c>
      <c r="W1008" s="1" t="e">
        <f ca="1">VLOOKUP(tblDistributionTests[[#This Row],[Rand]]+MIN(tblFairTest[Score]),tblFairTest[],2,TRUE)</f>
        <v>#N/A</v>
      </c>
      <c r="X1008" s="1" t="str">
        <f ca="1">VLOOKUP(tblDistributionTests[[#This Row],[Rand]],tblNormalTestVl[],2,TRUE)</f>
        <v>Bill</v>
      </c>
      <c r="Y1008" s="11" t="str">
        <f ca="1">INDEX(tblNormalTestIM[],MATCH(tblDistributionTests[[#This Row],[Rand]],tblNormalTestIM[Score],-1),2)</f>
        <v>Eric</v>
      </c>
    </row>
    <row r="1009" spans="22:25" x14ac:dyDescent="0.2">
      <c r="V1009" s="1">
        <f t="shared" ca="1" si="15"/>
        <v>0.54</v>
      </c>
      <c r="W1009" s="1" t="str">
        <f ca="1">VLOOKUP(tblDistributionTests[[#This Row],[Rand]]+MIN(tblFairTest[Score]),tblFairTest[],2,TRUE)</f>
        <v>Todd</v>
      </c>
      <c r="X1009" s="1" t="str">
        <f ca="1">VLOOKUP(tblDistributionTests[[#This Row],[Rand]],tblNormalTestVl[],2,TRUE)</f>
        <v>Riley</v>
      </c>
      <c r="Y1009" s="11" t="str">
        <f ca="1">INDEX(tblNormalTestIM[],MATCH(tblDistributionTests[[#This Row],[Rand]],tblNormalTestIM[Score],-1),2)</f>
        <v>Luke</v>
      </c>
    </row>
    <row r="1010" spans="22:25" x14ac:dyDescent="0.2">
      <c r="V1010" s="1">
        <f t="shared" ca="1" si="15"/>
        <v>0.42</v>
      </c>
      <c r="W1010" s="1" t="e">
        <f ca="1">VLOOKUP(tblDistributionTests[[#This Row],[Rand]]+MIN(tblFairTest[Score]),tblFairTest[],2,TRUE)</f>
        <v>#N/A</v>
      </c>
      <c r="X1010" s="1" t="str">
        <f ca="1">VLOOKUP(tblDistributionTests[[#This Row],[Rand]],tblNormalTestVl[],2,TRUE)</f>
        <v>Luke</v>
      </c>
      <c r="Y1010" s="11" t="str">
        <f ca="1">INDEX(tblNormalTestIM[],MATCH(tblDistributionTests[[#This Row],[Rand]],tblNormalTestIM[Score],-1),2)</f>
        <v>Riley</v>
      </c>
    </row>
    <row r="1011" spans="22:25" x14ac:dyDescent="0.2">
      <c r="V1011" s="1">
        <f t="shared" ca="1" si="15"/>
        <v>0.49</v>
      </c>
      <c r="W1011" s="1" t="e">
        <f ca="1">VLOOKUP(tblDistributionTests[[#This Row],[Rand]]+MIN(tblFairTest[Score]),tblFairTest[],2,TRUE)</f>
        <v>#N/A</v>
      </c>
      <c r="X1011" s="1" t="str">
        <f ca="1">VLOOKUP(tblDistributionTests[[#This Row],[Rand]],tblNormalTestVl[],2,TRUE)</f>
        <v>Luke</v>
      </c>
      <c r="Y1011" s="11" t="str">
        <f ca="1">INDEX(tblNormalTestIM[],MATCH(tblDistributionTests[[#This Row],[Rand]],tblNormalTestIM[Score],-1),2)</f>
        <v>Riley</v>
      </c>
    </row>
    <row r="1012" spans="22:25" x14ac:dyDescent="0.2">
      <c r="V1012" s="1">
        <f t="shared" ca="1" si="15"/>
        <v>0.91</v>
      </c>
      <c r="W1012" s="1" t="str">
        <f ca="1">VLOOKUP(tblDistributionTests[[#This Row],[Rand]]+MIN(tblFairTest[Score]),tblFairTest[],2,TRUE)</f>
        <v>Todd</v>
      </c>
      <c r="X1012" s="1" t="str">
        <f ca="1">VLOOKUP(tblDistributionTests[[#This Row],[Rand]],tblNormalTestVl[],2,TRUE)</f>
        <v>William</v>
      </c>
      <c r="Y1012" s="11" t="str">
        <f ca="1">INDEX(tblNormalTestIM[],MATCH(tblDistributionTests[[#This Row],[Rand]],tblNormalTestIM[Score],-1),2)</f>
        <v>Frank</v>
      </c>
    </row>
    <row r="1013" spans="22:25" x14ac:dyDescent="0.2">
      <c r="V1013" s="1">
        <f t="shared" ca="1" si="15"/>
        <v>0.78</v>
      </c>
      <c r="W1013" s="1" t="str">
        <f ca="1">VLOOKUP(tblDistributionTests[[#This Row],[Rand]]+MIN(tblFairTest[Score]),tblFairTest[],2,TRUE)</f>
        <v>Todd</v>
      </c>
      <c r="X1013" s="1" t="str">
        <f ca="1">VLOOKUP(tblDistributionTests[[#This Row],[Rand]],tblNormalTestVl[],2,TRUE)</f>
        <v>William</v>
      </c>
      <c r="Y1013" s="11" t="str">
        <f ca="1">INDEX(tblNormalTestIM[],MATCH(tblDistributionTests[[#This Row],[Rand]],tblNormalTestIM[Score],-1),2)</f>
        <v>Frank</v>
      </c>
    </row>
    <row r="1014" spans="22:25" x14ac:dyDescent="0.2">
      <c r="V1014" s="1">
        <f t="shared" ca="1" si="15"/>
        <v>0.99</v>
      </c>
      <c r="W1014" s="1" t="str">
        <f ca="1">VLOOKUP(tblDistributionTests[[#This Row],[Rand]]+MIN(tblFairTest[Score]),tblFairTest[],2,TRUE)</f>
        <v>Todd</v>
      </c>
      <c r="X1014" s="1" t="str">
        <f ca="1">VLOOKUP(tblDistributionTests[[#This Row],[Rand]],tblNormalTestVl[],2,TRUE)</f>
        <v>Chuck</v>
      </c>
      <c r="Y1014" s="11" t="e">
        <f ca="1">INDEX(tblNormalTestIM[],MATCH(tblDistributionTests[[#This Row],[Rand]],tblNormalTestIM[Score],-1),2)</f>
        <v>#N/A</v>
      </c>
    </row>
    <row r="1015" spans="22:25" x14ac:dyDescent="0.2">
      <c r="V1015" s="1">
        <f t="shared" ca="1" si="15"/>
        <v>0.91</v>
      </c>
      <c r="W1015" s="1" t="str">
        <f ca="1">VLOOKUP(tblDistributionTests[[#This Row],[Rand]]+MIN(tblFairTest[Score]),tblFairTest[],2,TRUE)</f>
        <v>Todd</v>
      </c>
      <c r="X1015" s="1" t="str">
        <f ca="1">VLOOKUP(tblDistributionTests[[#This Row],[Rand]],tblNormalTestVl[],2,TRUE)</f>
        <v>William</v>
      </c>
      <c r="Y1015" s="11" t="str">
        <f ca="1">INDEX(tblNormalTestIM[],MATCH(tblDistributionTests[[#This Row],[Rand]],tblNormalTestIM[Score],-1),2)</f>
        <v>Frank</v>
      </c>
    </row>
    <row r="1016" spans="22:25" x14ac:dyDescent="0.2">
      <c r="V1016" s="1">
        <f t="shared" ca="1" si="15"/>
        <v>0.23</v>
      </c>
      <c r="W1016" s="1" t="e">
        <f ca="1">VLOOKUP(tblDistributionTests[[#This Row],[Rand]]+MIN(tblFairTest[Score]),tblFairTest[],2,TRUE)</f>
        <v>#N/A</v>
      </c>
      <c r="X1016" s="1" t="str">
        <f ca="1">VLOOKUP(tblDistributionTests[[#This Row],[Rand]],tblNormalTestVl[],2,TRUE)</f>
        <v>Luke</v>
      </c>
      <c r="Y1016" s="11" t="str">
        <f ca="1">INDEX(tblNormalTestIM[],MATCH(tblDistributionTests[[#This Row],[Rand]],tblNormalTestIM[Score],-1),2)</f>
        <v>Riley</v>
      </c>
    </row>
    <row r="1017" spans="22:25" x14ac:dyDescent="0.2">
      <c r="V1017" s="1">
        <f t="shared" ca="1" si="15"/>
        <v>0.69</v>
      </c>
      <c r="W1017" s="1" t="str">
        <f ca="1">VLOOKUP(tblDistributionTests[[#This Row],[Rand]]+MIN(tblFairTest[Score]),tblFairTest[],2,TRUE)</f>
        <v>Todd</v>
      </c>
      <c r="X1017" s="1" t="str">
        <f ca="1">VLOOKUP(tblDistributionTests[[#This Row],[Rand]],tblNormalTestVl[],2,TRUE)</f>
        <v>Riley</v>
      </c>
      <c r="Y1017" s="11" t="str">
        <f ca="1">INDEX(tblNormalTestIM[],MATCH(tblDistributionTests[[#This Row],[Rand]],tblNormalTestIM[Score],-1),2)</f>
        <v>Luke</v>
      </c>
    </row>
    <row r="1018" spans="22:25" x14ac:dyDescent="0.2">
      <c r="V1018" s="1">
        <f t="shared" ca="1" si="15"/>
        <v>0.32</v>
      </c>
      <c r="W1018" s="1" t="e">
        <f ca="1">VLOOKUP(tblDistributionTests[[#This Row],[Rand]]+MIN(tblFairTest[Score]),tblFairTest[],2,TRUE)</f>
        <v>#N/A</v>
      </c>
      <c r="X1018" s="1" t="str">
        <f ca="1">VLOOKUP(tblDistributionTests[[#This Row],[Rand]],tblNormalTestVl[],2,TRUE)</f>
        <v>Luke</v>
      </c>
      <c r="Y1018" s="11" t="str">
        <f ca="1">INDEX(tblNormalTestIM[],MATCH(tblDistributionTests[[#This Row],[Rand]],tblNormalTestIM[Score],-1),2)</f>
        <v>Riley</v>
      </c>
    </row>
    <row r="1019" spans="22:25" x14ac:dyDescent="0.2">
      <c r="V1019" s="1">
        <f t="shared" ca="1" si="15"/>
        <v>0.28999999999999998</v>
      </c>
      <c r="W1019" s="1" t="e">
        <f ca="1">VLOOKUP(tblDistributionTests[[#This Row],[Rand]]+MIN(tblFairTest[Score]),tblFairTest[],2,TRUE)</f>
        <v>#N/A</v>
      </c>
      <c r="X1019" s="1" t="str">
        <f ca="1">VLOOKUP(tblDistributionTests[[#This Row],[Rand]],tblNormalTestVl[],2,TRUE)</f>
        <v>Luke</v>
      </c>
      <c r="Y1019" s="11" t="str">
        <f ca="1">INDEX(tblNormalTestIM[],MATCH(tblDistributionTests[[#This Row],[Rand]],tblNormalTestIM[Score],-1),2)</f>
        <v>Riley</v>
      </c>
    </row>
    <row r="1020" spans="22:25" x14ac:dyDescent="0.2">
      <c r="V1020" s="1">
        <f t="shared" ca="1" si="15"/>
        <v>0.3</v>
      </c>
      <c r="W1020" s="1" t="e">
        <f ca="1">VLOOKUP(tblDistributionTests[[#This Row],[Rand]]+MIN(tblFairTest[Score]),tblFairTest[],2,TRUE)</f>
        <v>#N/A</v>
      </c>
      <c r="X1020" s="1" t="str">
        <f ca="1">VLOOKUP(tblDistributionTests[[#This Row],[Rand]],tblNormalTestVl[],2,TRUE)</f>
        <v>Luke</v>
      </c>
      <c r="Y1020" s="11" t="str">
        <f ca="1">INDEX(tblNormalTestIM[],MATCH(tblDistributionTests[[#This Row],[Rand]],tblNormalTestIM[Score],-1),2)</f>
        <v>Riley</v>
      </c>
    </row>
    <row r="1021" spans="22:25" x14ac:dyDescent="0.2">
      <c r="V1021" s="1">
        <f t="shared" ca="1" si="15"/>
        <v>0.15</v>
      </c>
      <c r="W1021" s="1" t="e">
        <f ca="1">VLOOKUP(tblDistributionTests[[#This Row],[Rand]]+MIN(tblFairTest[Score]),tblFairTest[],2,TRUE)</f>
        <v>#N/A</v>
      </c>
      <c r="X1021" s="1" t="str">
        <f ca="1">VLOOKUP(tblDistributionTests[[#This Row],[Rand]],tblNormalTestVl[],2,TRUE)</f>
        <v>Frank</v>
      </c>
      <c r="Y1021" s="11" t="str">
        <f ca="1">INDEX(tblNormalTestIM[],MATCH(tblDistributionTests[[#This Row],[Rand]],tblNormalTestIM[Score],-1),2)</f>
        <v>William</v>
      </c>
    </row>
    <row r="1022" spans="22:25" x14ac:dyDescent="0.2">
      <c r="V1022" s="1">
        <f t="shared" ca="1" si="15"/>
        <v>0.41</v>
      </c>
      <c r="W1022" s="1" t="e">
        <f ca="1">VLOOKUP(tblDistributionTests[[#This Row],[Rand]]+MIN(tblFairTest[Score]),tblFairTest[],2,TRUE)</f>
        <v>#N/A</v>
      </c>
      <c r="X1022" s="1" t="str">
        <f ca="1">VLOOKUP(tblDistributionTests[[#This Row],[Rand]],tblNormalTestVl[],2,TRUE)</f>
        <v>Luke</v>
      </c>
      <c r="Y1022" s="11" t="str">
        <f ca="1">INDEX(tblNormalTestIM[],MATCH(tblDistributionTests[[#This Row],[Rand]],tblNormalTestIM[Score],-1),2)</f>
        <v>Riley</v>
      </c>
    </row>
    <row r="1023" spans="22:25" x14ac:dyDescent="0.2">
      <c r="V1023" s="1">
        <f t="shared" ca="1" si="15"/>
        <v>0.95</v>
      </c>
      <c r="W1023" s="1" t="str">
        <f ca="1">VLOOKUP(tblDistributionTests[[#This Row],[Rand]]+MIN(tblFairTest[Score]),tblFairTest[],2,TRUE)</f>
        <v>Todd</v>
      </c>
      <c r="X1023" s="1" t="str">
        <f ca="1">VLOOKUP(tblDistributionTests[[#This Row],[Rand]],tblNormalTestVl[],2,TRUE)</f>
        <v>Eric</v>
      </c>
      <c r="Y1023" s="11" t="str">
        <f ca="1">INDEX(tblNormalTestIM[],MATCH(tblDistributionTests[[#This Row],[Rand]],tblNormalTestIM[Score],-1),2)</f>
        <v>Bill</v>
      </c>
    </row>
    <row r="1024" spans="22:25" x14ac:dyDescent="0.2">
      <c r="V1024" s="1">
        <f t="shared" ca="1" si="15"/>
        <v>0.01</v>
      </c>
      <c r="W1024" s="1" t="e">
        <f ca="1">VLOOKUP(tblDistributionTests[[#This Row],[Rand]]+MIN(tblFairTest[Score]),tblFairTest[],2,TRUE)</f>
        <v>#N/A</v>
      </c>
      <c r="X1024" s="1" t="e">
        <f ca="1">VLOOKUP(tblDistributionTests[[#This Row],[Rand]],tblNormalTestVl[],2,TRUE)</f>
        <v>#N/A</v>
      </c>
      <c r="Y1024" s="11" t="str">
        <f ca="1">INDEX(tblNormalTestIM[],MATCH(tblDistributionTests[[#This Row],[Rand]],tblNormalTestIM[Score],-1),2)</f>
        <v>Chuck</v>
      </c>
    </row>
    <row r="1025" spans="22:25" x14ac:dyDescent="0.2">
      <c r="V1025" s="1">
        <f t="shared" ca="1" si="15"/>
        <v>0.41</v>
      </c>
      <c r="W1025" s="1" t="e">
        <f ca="1">VLOOKUP(tblDistributionTests[[#This Row],[Rand]]+MIN(tblFairTest[Score]),tblFairTest[],2,TRUE)</f>
        <v>#N/A</v>
      </c>
      <c r="X1025" s="1" t="str">
        <f ca="1">VLOOKUP(tblDistributionTests[[#This Row],[Rand]],tblNormalTestVl[],2,TRUE)</f>
        <v>Luke</v>
      </c>
      <c r="Y1025" s="11" t="str">
        <f ca="1">INDEX(tblNormalTestIM[],MATCH(tblDistributionTests[[#This Row],[Rand]],tblNormalTestIM[Score],-1),2)</f>
        <v>Riley</v>
      </c>
    </row>
    <row r="1026" spans="22:25" x14ac:dyDescent="0.2">
      <c r="V1026" s="1">
        <f t="shared" ca="1" si="15"/>
        <v>0.63</v>
      </c>
      <c r="W1026" s="1" t="str">
        <f ca="1">VLOOKUP(tblDistributionTests[[#This Row],[Rand]]+MIN(tblFairTest[Score]),tblFairTest[],2,TRUE)</f>
        <v>Todd</v>
      </c>
      <c r="X1026" s="1" t="str">
        <f ca="1">VLOOKUP(tblDistributionTests[[#This Row],[Rand]],tblNormalTestVl[],2,TRUE)</f>
        <v>Riley</v>
      </c>
      <c r="Y1026" s="11" t="str">
        <f ca="1">INDEX(tblNormalTestIM[],MATCH(tblDistributionTests[[#This Row],[Rand]],tblNormalTestIM[Score],-1),2)</f>
        <v>Luke</v>
      </c>
    </row>
    <row r="1027" spans="22:25" x14ac:dyDescent="0.2">
      <c r="V1027" s="1">
        <f t="shared" ca="1" si="15"/>
        <v>0.88</v>
      </c>
      <c r="W1027" s="1" t="str">
        <f ca="1">VLOOKUP(tblDistributionTests[[#This Row],[Rand]]+MIN(tblFairTest[Score]),tblFairTest[],2,TRUE)</f>
        <v>Todd</v>
      </c>
      <c r="X1027" s="1" t="str">
        <f ca="1">VLOOKUP(tblDistributionTests[[#This Row],[Rand]],tblNormalTestVl[],2,TRUE)</f>
        <v>William</v>
      </c>
      <c r="Y1027" s="11" t="str">
        <f ca="1">INDEX(tblNormalTestIM[],MATCH(tblDistributionTests[[#This Row],[Rand]],tblNormalTestIM[Score],-1),2)</f>
        <v>Frank</v>
      </c>
    </row>
    <row r="1028" spans="22:25" x14ac:dyDescent="0.2">
      <c r="V1028" s="1">
        <f t="shared" ca="1" si="15"/>
        <v>0.6</v>
      </c>
      <c r="W1028" s="1" t="str">
        <f ca="1">VLOOKUP(tblDistributionTests[[#This Row],[Rand]]+MIN(tblFairTest[Score]),tblFairTest[],2,TRUE)</f>
        <v>Todd</v>
      </c>
      <c r="X1028" s="1" t="str">
        <f ca="1">VLOOKUP(tblDistributionTests[[#This Row],[Rand]],tblNormalTestVl[],2,TRUE)</f>
        <v>Riley</v>
      </c>
      <c r="Y1028" s="11" t="str">
        <f ca="1">INDEX(tblNormalTestIM[],MATCH(tblDistributionTests[[#This Row],[Rand]],tblNormalTestIM[Score],-1),2)</f>
        <v>Luke</v>
      </c>
    </row>
    <row r="1029" spans="22:25" x14ac:dyDescent="0.2">
      <c r="V1029" s="1">
        <f t="shared" ca="1" si="15"/>
        <v>0.1</v>
      </c>
      <c r="W1029" s="1" t="e">
        <f ca="1">VLOOKUP(tblDistributionTests[[#This Row],[Rand]]+MIN(tblFairTest[Score]),tblFairTest[],2,TRUE)</f>
        <v>#N/A</v>
      </c>
      <c r="X1029" s="1" t="str">
        <f ca="1">VLOOKUP(tblDistributionTests[[#This Row],[Rand]],tblNormalTestVl[],2,TRUE)</f>
        <v>Frank</v>
      </c>
      <c r="Y1029" s="11" t="str">
        <f ca="1">INDEX(tblNormalTestIM[],MATCH(tblDistributionTests[[#This Row],[Rand]],tblNormalTestIM[Score],-1),2)</f>
        <v>William</v>
      </c>
    </row>
    <row r="1030" spans="22:25" x14ac:dyDescent="0.2">
      <c r="V1030" s="1">
        <f t="shared" ca="1" si="15"/>
        <v>0.61</v>
      </c>
      <c r="W1030" s="1" t="str">
        <f ca="1">VLOOKUP(tblDistributionTests[[#This Row],[Rand]]+MIN(tblFairTest[Score]),tblFairTest[],2,TRUE)</f>
        <v>Todd</v>
      </c>
      <c r="X1030" s="1" t="str">
        <f ca="1">VLOOKUP(tblDistributionTests[[#This Row],[Rand]],tblNormalTestVl[],2,TRUE)</f>
        <v>Riley</v>
      </c>
      <c r="Y1030" s="11" t="str">
        <f ca="1">INDEX(tblNormalTestIM[],MATCH(tblDistributionTests[[#This Row],[Rand]],tblNormalTestIM[Score],-1),2)</f>
        <v>Luke</v>
      </c>
    </row>
    <row r="1031" spans="22:25" x14ac:dyDescent="0.2">
      <c r="V1031" s="1">
        <f t="shared" ca="1" si="15"/>
        <v>0.66</v>
      </c>
      <c r="W1031" s="1" t="str">
        <f ca="1">VLOOKUP(tblDistributionTests[[#This Row],[Rand]]+MIN(tblFairTest[Score]),tblFairTest[],2,TRUE)</f>
        <v>Todd</v>
      </c>
      <c r="X1031" s="1" t="str">
        <f ca="1">VLOOKUP(tblDistributionTests[[#This Row],[Rand]],tblNormalTestVl[],2,TRUE)</f>
        <v>Riley</v>
      </c>
      <c r="Y1031" s="11" t="str">
        <f ca="1">INDEX(tblNormalTestIM[],MATCH(tblDistributionTests[[#This Row],[Rand]],tblNormalTestIM[Score],-1),2)</f>
        <v>Luke</v>
      </c>
    </row>
    <row r="1032" spans="22:25" x14ac:dyDescent="0.2">
      <c r="V1032" s="1">
        <f t="shared" ref="V1032:V1038" ca="1" si="16">RANDBETWEEN(1,100)/100</f>
        <v>0.03</v>
      </c>
      <c r="W1032" s="1" t="e">
        <f ca="1">VLOOKUP(tblDistributionTests[[#This Row],[Rand]]+MIN(tblFairTest[Score]),tblFairTest[],2,TRUE)</f>
        <v>#N/A</v>
      </c>
      <c r="X1032" s="1" t="str">
        <f ca="1">VLOOKUP(tblDistributionTests[[#This Row],[Rand]],tblNormalTestVl[],2,TRUE)</f>
        <v>Bill</v>
      </c>
      <c r="Y1032" s="11" t="str">
        <f ca="1">INDEX(tblNormalTestIM[],MATCH(tblDistributionTests[[#This Row],[Rand]],tblNormalTestIM[Score],-1),2)</f>
        <v>Eric</v>
      </c>
    </row>
    <row r="1033" spans="22:25" x14ac:dyDescent="0.2">
      <c r="V1033" s="1">
        <f t="shared" ca="1" si="16"/>
        <v>0.71</v>
      </c>
      <c r="W1033" s="1" t="str">
        <f ca="1">VLOOKUP(tblDistributionTests[[#This Row],[Rand]]+MIN(tblFairTest[Score]),tblFairTest[],2,TRUE)</f>
        <v>Todd</v>
      </c>
      <c r="X1033" s="1" t="str">
        <f ca="1">VLOOKUP(tblDistributionTests[[#This Row],[Rand]],tblNormalTestVl[],2,TRUE)</f>
        <v>Riley</v>
      </c>
      <c r="Y1033" s="11" t="str">
        <f ca="1">INDEX(tblNormalTestIM[],MATCH(tblDistributionTests[[#This Row],[Rand]],tblNormalTestIM[Score],-1),2)</f>
        <v>Luke</v>
      </c>
    </row>
    <row r="1034" spans="22:25" x14ac:dyDescent="0.2">
      <c r="V1034" s="1">
        <f t="shared" ca="1" si="16"/>
        <v>0.69</v>
      </c>
      <c r="W1034" s="1" t="str">
        <f ca="1">VLOOKUP(tblDistributionTests[[#This Row],[Rand]]+MIN(tblFairTest[Score]),tblFairTest[],2,TRUE)</f>
        <v>Todd</v>
      </c>
      <c r="X1034" s="1" t="str">
        <f ca="1">VLOOKUP(tblDistributionTests[[#This Row],[Rand]],tblNormalTestVl[],2,TRUE)</f>
        <v>Riley</v>
      </c>
      <c r="Y1034" s="11" t="str">
        <f ca="1">INDEX(tblNormalTestIM[],MATCH(tblDistributionTests[[#This Row],[Rand]],tblNormalTestIM[Score],-1),2)</f>
        <v>Luke</v>
      </c>
    </row>
    <row r="1035" spans="22:25" x14ac:dyDescent="0.2">
      <c r="V1035" s="1">
        <f t="shared" ca="1" si="16"/>
        <v>0.52</v>
      </c>
      <c r="W1035" s="1" t="str">
        <f ca="1">VLOOKUP(tblDistributionTests[[#This Row],[Rand]]+MIN(tblFairTest[Score]),tblFairTest[],2,TRUE)</f>
        <v>Todd</v>
      </c>
      <c r="X1035" s="1" t="str">
        <f ca="1">VLOOKUP(tblDistributionTests[[#This Row],[Rand]],tblNormalTestVl[],2,TRUE)</f>
        <v>Riley</v>
      </c>
      <c r="Y1035" s="11" t="str">
        <f ca="1">INDEX(tblNormalTestIM[],MATCH(tblDistributionTests[[#This Row],[Rand]],tblNormalTestIM[Score],-1),2)</f>
        <v>Luke</v>
      </c>
    </row>
    <row r="1036" spans="22:25" x14ac:dyDescent="0.2">
      <c r="V1036" s="1">
        <f t="shared" ca="1" si="16"/>
        <v>0.52</v>
      </c>
      <c r="W1036" s="1" t="str">
        <f ca="1">VLOOKUP(tblDistributionTests[[#This Row],[Rand]]+MIN(tblFairTest[Score]),tblFairTest[],2,TRUE)</f>
        <v>Todd</v>
      </c>
      <c r="X1036" s="1" t="str">
        <f ca="1">VLOOKUP(tblDistributionTests[[#This Row],[Rand]],tblNormalTestVl[],2,TRUE)</f>
        <v>Riley</v>
      </c>
      <c r="Y1036" s="11" t="str">
        <f ca="1">INDEX(tblNormalTestIM[],MATCH(tblDistributionTests[[#This Row],[Rand]],tblNormalTestIM[Score],-1),2)</f>
        <v>Luke</v>
      </c>
    </row>
    <row r="1037" spans="22:25" x14ac:dyDescent="0.2">
      <c r="V1037" s="1">
        <f t="shared" ca="1" si="16"/>
        <v>0.74</v>
      </c>
      <c r="W1037" s="1" t="str">
        <f ca="1">VLOOKUP(tblDistributionTests[[#This Row],[Rand]]+MIN(tblFairTest[Score]),tblFairTest[],2,TRUE)</f>
        <v>Todd</v>
      </c>
      <c r="X1037" s="1" t="str">
        <f ca="1">VLOOKUP(tblDistributionTests[[#This Row],[Rand]],tblNormalTestVl[],2,TRUE)</f>
        <v>Riley</v>
      </c>
      <c r="Y1037" s="11" t="str">
        <f ca="1">INDEX(tblNormalTestIM[],MATCH(tblDistributionTests[[#This Row],[Rand]],tblNormalTestIM[Score],-1),2)</f>
        <v>Luke</v>
      </c>
    </row>
    <row r="1038" spans="22:25" x14ac:dyDescent="0.2">
      <c r="V1038" s="1">
        <f t="shared" ca="1" si="16"/>
        <v>0.49</v>
      </c>
      <c r="W1038" s="1" t="e">
        <f ca="1">VLOOKUP(tblDistributionTests[[#This Row],[Rand]]+MIN(tblFairTest[Score]),tblFairTest[],2,TRUE)</f>
        <v>#N/A</v>
      </c>
      <c r="X1038" s="1" t="str">
        <f ca="1">VLOOKUP(tblDistributionTests[[#This Row],[Rand]],tblNormalTestVl[],2,TRUE)</f>
        <v>Luke</v>
      </c>
      <c r="Y1038" s="11" t="str">
        <f ca="1">INDEX(tblNormalTestIM[],MATCH(tblDistributionTests[[#This Row],[Rand]],tblNormalTestIM[Score],-1),2)</f>
        <v>Riley</v>
      </c>
    </row>
  </sheetData>
  <pageMargins left="0.7" right="0.7" top="0.75" bottom="0.75" header="0.3" footer="0.3"/>
  <drawing r:id="rId1"/>
  <tableParts count="6">
    <tablePart r:id="rId2"/>
    <tablePart r:id="rId3"/>
    <tablePart r:id="rId4"/>
    <tablePart r:id="rId5"/>
    <tablePart r:id="rId6"/>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H59"/>
  <sheetViews>
    <sheetView zoomScale="75" zoomScaleNormal="75" zoomScalePageLayoutView="75" workbookViewId="0">
      <selection activeCell="A2" sqref="A2"/>
    </sheetView>
  </sheetViews>
  <sheetFormatPr baseColWidth="10" defaultColWidth="9" defaultRowHeight="15" x14ac:dyDescent="0.2"/>
  <cols>
    <col min="1" max="1" width="9.19921875" style="15" bestFit="1" customWidth="1"/>
    <col min="2" max="2" width="13.796875" style="15" bestFit="1" customWidth="1"/>
    <col min="3" max="3" width="2.19921875" style="15" customWidth="1"/>
    <col min="4" max="4" width="9" style="15"/>
    <col min="5" max="5" width="15.796875" style="15" bestFit="1" customWidth="1"/>
    <col min="6" max="6" width="2.19921875" style="15" customWidth="1"/>
    <col min="7" max="7" width="9" style="15"/>
    <col min="8" max="8" width="12.796875" style="15" bestFit="1" customWidth="1"/>
    <col min="9" max="9" width="2.19921875" style="21" customWidth="1"/>
    <col min="10" max="16384" width="9" style="21"/>
  </cols>
  <sheetData>
    <row r="1" spans="1:8" x14ac:dyDescent="0.2">
      <c r="A1" s="15" t="s">
        <v>0</v>
      </c>
      <c r="B1" s="15" t="s">
        <v>70</v>
      </c>
      <c r="D1" s="15" t="s">
        <v>0</v>
      </c>
      <c r="E1" s="15" t="s">
        <v>71</v>
      </c>
      <c r="G1" s="15" t="s">
        <v>0</v>
      </c>
      <c r="H1" s="15" t="s">
        <v>72</v>
      </c>
    </row>
    <row r="2" spans="1:8" x14ac:dyDescent="0.2">
      <c r="A2" s="34">
        <f ca="1">IF(NOT(ISNUMBER(OFFSET(tblDimNameMale[[#This Row],[Score]],-1,0))),1,SUM(OFFSET(tblDimNameMale[[#This Row],[Score]],-1,0),-1/ROWS(tblDimNameMale[Score])))</f>
        <v>1</v>
      </c>
      <c r="B2" s="15" t="s">
        <v>17</v>
      </c>
      <c r="D2" s="34">
        <f ca="1">IF(NOT(ISNUMBER(OFFSET(tblDimNameFemale[[#This Row],[Score]],-1,0))),1,SUM(OFFSET(tblDimNameFemale[[#This Row],[Score]],-1,0),-1/ROWS(tblDimNameFemale[Score])))</f>
        <v>1</v>
      </c>
      <c r="E2" s="15" t="s">
        <v>73</v>
      </c>
      <c r="G2" s="34">
        <f ca="1">IF(NOT(ISNUMBER(OFFSET(tblDimLastName[[#This Row],[Score]],-1,0))),1,SUM(OFFSET(tblDimLastName[[#This Row],[Score]],-1,0),-1/ROWS(tblDimLastName[Score])))</f>
        <v>1</v>
      </c>
      <c r="H2" s="15" t="s">
        <v>74</v>
      </c>
    </row>
    <row r="3" spans="1:8" x14ac:dyDescent="0.2">
      <c r="A3" s="3">
        <f ca="1">IF(NOT(ISNUMBER(OFFSET(tblDimNameMale[[#This Row],[Score]],-1,0))),1,SUM(OFFSET(tblDimNameMale[[#This Row],[Score]],-1,0),-1/ROWS(tblDimNameMale[Score])))</f>
        <v>0.98275862068965514</v>
      </c>
      <c r="B3" s="15" t="s">
        <v>18</v>
      </c>
      <c r="D3" s="3">
        <f ca="1">IF(NOT(ISNUMBER(OFFSET(tblDimNameFemale[[#This Row],[Score]],-1,0))),1,SUM(OFFSET(tblDimNameFemale[[#This Row],[Score]],-1,0),-1/ROWS(tblDimNameFemale[Score])))</f>
        <v>0.98245614035087714</v>
      </c>
      <c r="E3" s="15" t="s">
        <v>75</v>
      </c>
      <c r="G3" s="36">
        <f ca="1">IF(NOT(ISNUMBER(OFFSET(tblDimLastName[[#This Row],[Score]],-1,0))),1,SUM(OFFSET(tblDimLastName[[#This Row],[Score]],-1,0),-1/ROWS(tblDimLastName[Score])))</f>
        <v>0.75</v>
      </c>
      <c r="H3" s="15" t="s">
        <v>76</v>
      </c>
    </row>
    <row r="4" spans="1:8" x14ac:dyDescent="0.2">
      <c r="A4" s="3">
        <f ca="1">IF(NOT(ISNUMBER(OFFSET(tblDimNameMale[[#This Row],[Score]],-1,0))),1,SUM(OFFSET(tblDimNameMale[[#This Row],[Score]],-1,0),-1/ROWS(tblDimNameMale[Score])))</f>
        <v>0.96551724137931028</v>
      </c>
      <c r="B4" s="15" t="s">
        <v>19</v>
      </c>
      <c r="D4" s="3">
        <f ca="1">IF(NOT(ISNUMBER(OFFSET(tblDimNameFemale[[#This Row],[Score]],-1,0))),1,SUM(OFFSET(tblDimNameFemale[[#This Row],[Score]],-1,0),-1/ROWS(tblDimNameFemale[Score])))</f>
        <v>0.96491228070175428</v>
      </c>
      <c r="E4" s="15" t="s">
        <v>77</v>
      </c>
      <c r="G4" s="36">
        <f ca="1">IF(NOT(ISNUMBER(OFFSET(tblDimLastName[[#This Row],[Score]],-1,0))),1,SUM(OFFSET(tblDimLastName[[#This Row],[Score]],-1,0),-1/ROWS(tblDimLastName[Score])))</f>
        <v>0.5</v>
      </c>
      <c r="H4" s="15" t="s">
        <v>78</v>
      </c>
    </row>
    <row r="5" spans="1:8" x14ac:dyDescent="0.2">
      <c r="A5" s="3">
        <f ca="1">IF(NOT(ISNUMBER(OFFSET(tblDimNameMale[[#This Row],[Score]],-1,0))),1,SUM(OFFSET(tblDimNameMale[[#This Row],[Score]],-1,0),-1/ROWS(tblDimNameMale[Score])))</f>
        <v>0.94827586206896541</v>
      </c>
      <c r="B5" s="15" t="s">
        <v>20</v>
      </c>
      <c r="D5" s="3">
        <f ca="1">IF(NOT(ISNUMBER(OFFSET(tblDimNameFemale[[#This Row],[Score]],-1,0))),1,SUM(OFFSET(tblDimNameFemale[[#This Row],[Score]],-1,0),-1/ROWS(tblDimNameFemale[Score])))</f>
        <v>0.94736842105263142</v>
      </c>
      <c r="E5" s="15" t="s">
        <v>79</v>
      </c>
      <c r="G5" s="36">
        <f ca="1">IF(NOT(ISNUMBER(OFFSET(tblDimLastName[[#This Row],[Score]],-1,0))),1,SUM(OFFSET(tblDimLastName[[#This Row],[Score]],-1,0),-1/ROWS(tblDimLastName[Score])))</f>
        <v>0.25</v>
      </c>
      <c r="H5" s="15" t="s">
        <v>80</v>
      </c>
    </row>
    <row r="6" spans="1:8" x14ac:dyDescent="0.2">
      <c r="A6" s="3">
        <f ca="1">IF(NOT(ISNUMBER(OFFSET(tblDimNameMale[[#This Row],[Score]],-1,0))),1,SUM(OFFSET(tblDimNameMale[[#This Row],[Score]],-1,0),-1/ROWS(tblDimNameMale[Score])))</f>
        <v>0.93103448275862055</v>
      </c>
      <c r="B6" s="15" t="s">
        <v>21</v>
      </c>
      <c r="D6" s="3">
        <f ca="1">IF(NOT(ISNUMBER(OFFSET(tblDimNameFemale[[#This Row],[Score]],-1,0))),1,SUM(OFFSET(tblDimNameFemale[[#This Row],[Score]],-1,0),-1/ROWS(tblDimNameFemale[Score])))</f>
        <v>0.92982456140350855</v>
      </c>
      <c r="E6" s="15" t="s">
        <v>81</v>
      </c>
    </row>
    <row r="7" spans="1:8" x14ac:dyDescent="0.2">
      <c r="A7" s="3">
        <f ca="1">IF(NOT(ISNUMBER(OFFSET(tblDimNameMale[[#This Row],[Score]],-1,0))),1,SUM(OFFSET(tblDimNameMale[[#This Row],[Score]],-1,0),-1/ROWS(tblDimNameMale[Score])))</f>
        <v>0.91379310344827569</v>
      </c>
      <c r="B7" s="15" t="s">
        <v>22</v>
      </c>
      <c r="D7" s="3">
        <f ca="1">IF(NOT(ISNUMBER(OFFSET(tblDimNameFemale[[#This Row],[Score]],-1,0))),1,SUM(OFFSET(tblDimNameFemale[[#This Row],[Score]],-1,0),-1/ROWS(tblDimNameFemale[Score])))</f>
        <v>0.91228070175438569</v>
      </c>
      <c r="E7" s="15" t="s">
        <v>82</v>
      </c>
    </row>
    <row r="8" spans="1:8" x14ac:dyDescent="0.2">
      <c r="A8" s="3">
        <f ca="1">IF(NOT(ISNUMBER(OFFSET(tblDimNameMale[[#This Row],[Score]],-1,0))),1,SUM(OFFSET(tblDimNameMale[[#This Row],[Score]],-1,0),-1/ROWS(tblDimNameMale[Score])))</f>
        <v>0.89655172413793083</v>
      </c>
      <c r="B8" s="15" t="s">
        <v>23</v>
      </c>
      <c r="D8" s="3">
        <f ca="1">IF(NOT(ISNUMBER(OFFSET(tblDimNameFemale[[#This Row],[Score]],-1,0))),1,SUM(OFFSET(tblDimNameFemale[[#This Row],[Score]],-1,0),-1/ROWS(tblDimNameFemale[Score])))</f>
        <v>0.89473684210526283</v>
      </c>
      <c r="E8" s="15" t="s">
        <v>83</v>
      </c>
    </row>
    <row r="9" spans="1:8" x14ac:dyDescent="0.2">
      <c r="A9" s="3">
        <f ca="1">IF(NOT(ISNUMBER(OFFSET(tblDimNameMale[[#This Row],[Score]],-1,0))),1,SUM(OFFSET(tblDimNameMale[[#This Row],[Score]],-1,0),-1/ROWS(tblDimNameMale[Score])))</f>
        <v>0.87931034482758597</v>
      </c>
      <c r="B9" s="15" t="s">
        <v>24</v>
      </c>
      <c r="D9" s="3">
        <f ca="1">IF(NOT(ISNUMBER(OFFSET(tblDimNameFemale[[#This Row],[Score]],-1,0))),1,SUM(OFFSET(tblDimNameFemale[[#This Row],[Score]],-1,0),-1/ROWS(tblDimNameFemale[Score])))</f>
        <v>0.87719298245613997</v>
      </c>
      <c r="E9" s="15" t="s">
        <v>84</v>
      </c>
    </row>
    <row r="10" spans="1:8" x14ac:dyDescent="0.2">
      <c r="A10" s="3">
        <f ca="1">IF(NOT(ISNUMBER(OFFSET(tblDimNameMale[[#This Row],[Score]],-1,0))),1,SUM(OFFSET(tblDimNameMale[[#This Row],[Score]],-1,0),-1/ROWS(tblDimNameMale[Score])))</f>
        <v>0.8620689655172411</v>
      </c>
      <c r="B10" s="15" t="s">
        <v>85</v>
      </c>
      <c r="D10" s="3">
        <f ca="1">IF(NOT(ISNUMBER(OFFSET(tblDimNameFemale[[#This Row],[Score]],-1,0))),1,SUM(OFFSET(tblDimNameFemale[[#This Row],[Score]],-1,0),-1/ROWS(tblDimNameFemale[Score])))</f>
        <v>0.85964912280701711</v>
      </c>
      <c r="E10" s="15" t="s">
        <v>86</v>
      </c>
    </row>
    <row r="11" spans="1:8" x14ac:dyDescent="0.2">
      <c r="A11" s="3">
        <f ca="1">IF(NOT(ISNUMBER(OFFSET(tblDimNameMale[[#This Row],[Score]],-1,0))),1,SUM(OFFSET(tblDimNameMale[[#This Row],[Score]],-1,0),-1/ROWS(tblDimNameMale[Score])))</f>
        <v>0.84482758620689624</v>
      </c>
      <c r="B11" s="15" t="s">
        <v>87</v>
      </c>
      <c r="D11" s="3">
        <f ca="1">IF(NOT(ISNUMBER(OFFSET(tblDimNameFemale[[#This Row],[Score]],-1,0))),1,SUM(OFFSET(tblDimNameFemale[[#This Row],[Score]],-1,0),-1/ROWS(tblDimNameFemale[Score])))</f>
        <v>0.84210526315789425</v>
      </c>
      <c r="E11" s="15" t="s">
        <v>88</v>
      </c>
    </row>
    <row r="12" spans="1:8" x14ac:dyDescent="0.2">
      <c r="A12" s="3">
        <f ca="1">IF(NOT(ISNUMBER(OFFSET(tblDimNameMale[[#This Row],[Score]],-1,0))),1,SUM(OFFSET(tblDimNameMale[[#This Row],[Score]],-1,0),-1/ROWS(tblDimNameMale[Score])))</f>
        <v>0.82758620689655138</v>
      </c>
      <c r="B12" s="15" t="s">
        <v>89</v>
      </c>
      <c r="D12" s="3">
        <f ca="1">IF(NOT(ISNUMBER(OFFSET(tblDimNameFemale[[#This Row],[Score]],-1,0))),1,SUM(OFFSET(tblDimNameFemale[[#This Row],[Score]],-1,0),-1/ROWS(tblDimNameFemale[Score])))</f>
        <v>0.82456140350877138</v>
      </c>
      <c r="E12" s="15" t="s">
        <v>90</v>
      </c>
    </row>
    <row r="13" spans="1:8" x14ac:dyDescent="0.2">
      <c r="A13" s="3">
        <f ca="1">IF(NOT(ISNUMBER(OFFSET(tblDimNameMale[[#This Row],[Score]],-1,0))),1,SUM(OFFSET(tblDimNameMale[[#This Row],[Score]],-1,0),-1/ROWS(tblDimNameMale[Score])))</f>
        <v>0.81034482758620652</v>
      </c>
      <c r="B13" s="15" t="s">
        <v>91</v>
      </c>
      <c r="D13" s="3">
        <f ca="1">IF(NOT(ISNUMBER(OFFSET(tblDimNameFemale[[#This Row],[Score]],-1,0))),1,SUM(OFFSET(tblDimNameFemale[[#This Row],[Score]],-1,0),-1/ROWS(tblDimNameFemale[Score])))</f>
        <v>0.80701754385964852</v>
      </c>
      <c r="E13" s="15" t="s">
        <v>92</v>
      </c>
    </row>
    <row r="14" spans="1:8" x14ac:dyDescent="0.2">
      <c r="A14" s="3">
        <f ca="1">IF(NOT(ISNUMBER(OFFSET(tblDimNameMale[[#This Row],[Score]],-1,0))),1,SUM(OFFSET(tblDimNameMale[[#This Row],[Score]],-1,0),-1/ROWS(tblDimNameMale[Score])))</f>
        <v>0.79310344827586166</v>
      </c>
      <c r="B14" s="15" t="s">
        <v>93</v>
      </c>
      <c r="D14" s="3">
        <f ca="1">IF(NOT(ISNUMBER(OFFSET(tblDimNameFemale[[#This Row],[Score]],-1,0))),1,SUM(OFFSET(tblDimNameFemale[[#This Row],[Score]],-1,0),-1/ROWS(tblDimNameFemale[Score])))</f>
        <v>0.78947368421052566</v>
      </c>
      <c r="E14" s="15" t="s">
        <v>94</v>
      </c>
    </row>
    <row r="15" spans="1:8" x14ac:dyDescent="0.2">
      <c r="A15" s="3">
        <f ca="1">IF(NOT(ISNUMBER(OFFSET(tblDimNameMale[[#This Row],[Score]],-1,0))),1,SUM(OFFSET(tblDimNameMale[[#This Row],[Score]],-1,0),-1/ROWS(tblDimNameMale[Score])))</f>
        <v>0.77586206896551679</v>
      </c>
      <c r="B15" s="15" t="s">
        <v>95</v>
      </c>
      <c r="D15" s="3">
        <f ca="1">IF(NOT(ISNUMBER(OFFSET(tblDimNameFemale[[#This Row],[Score]],-1,0))),1,SUM(OFFSET(tblDimNameFemale[[#This Row],[Score]],-1,0),-1/ROWS(tblDimNameFemale[Score])))</f>
        <v>0.7719298245614028</v>
      </c>
      <c r="E15" s="15" t="s">
        <v>96</v>
      </c>
    </row>
    <row r="16" spans="1:8" x14ac:dyDescent="0.2">
      <c r="A16" s="3">
        <f ca="1">IF(NOT(ISNUMBER(OFFSET(tblDimNameMale[[#This Row],[Score]],-1,0))),1,SUM(OFFSET(tblDimNameMale[[#This Row],[Score]],-1,0),-1/ROWS(tblDimNameMale[Score])))</f>
        <v>0.75862068965517193</v>
      </c>
      <c r="B16" s="15" t="s">
        <v>97</v>
      </c>
      <c r="D16" s="3">
        <f ca="1">IF(NOT(ISNUMBER(OFFSET(tblDimNameFemale[[#This Row],[Score]],-1,0))),1,SUM(OFFSET(tblDimNameFemale[[#This Row],[Score]],-1,0),-1/ROWS(tblDimNameFemale[Score])))</f>
        <v>0.75438596491227994</v>
      </c>
      <c r="E16" s="15" t="s">
        <v>98</v>
      </c>
    </row>
    <row r="17" spans="1:5" x14ac:dyDescent="0.2">
      <c r="A17" s="3">
        <f ca="1">IF(NOT(ISNUMBER(OFFSET(tblDimNameMale[[#This Row],[Score]],-1,0))),1,SUM(OFFSET(tblDimNameMale[[#This Row],[Score]],-1,0),-1/ROWS(tblDimNameMale[Score])))</f>
        <v>0.74137931034482707</v>
      </c>
      <c r="B17" s="15" t="s">
        <v>99</v>
      </c>
      <c r="D17" s="3">
        <f ca="1">IF(NOT(ISNUMBER(OFFSET(tblDimNameFemale[[#This Row],[Score]],-1,0))),1,SUM(OFFSET(tblDimNameFemale[[#This Row],[Score]],-1,0),-1/ROWS(tblDimNameFemale[Score])))</f>
        <v>0.73684210526315708</v>
      </c>
      <c r="E17" s="15" t="s">
        <v>100</v>
      </c>
    </row>
    <row r="18" spans="1:5" x14ac:dyDescent="0.2">
      <c r="A18" s="3">
        <f ca="1">IF(NOT(ISNUMBER(OFFSET(tblDimNameMale[[#This Row],[Score]],-1,0))),1,SUM(OFFSET(tblDimNameMale[[#This Row],[Score]],-1,0),-1/ROWS(tblDimNameMale[Score])))</f>
        <v>0.72413793103448221</v>
      </c>
      <c r="B18" s="15" t="s">
        <v>101</v>
      </c>
      <c r="D18" s="3">
        <f ca="1">IF(NOT(ISNUMBER(OFFSET(tblDimNameFemale[[#This Row],[Score]],-1,0))),1,SUM(OFFSET(tblDimNameFemale[[#This Row],[Score]],-1,0),-1/ROWS(tblDimNameFemale[Score])))</f>
        <v>0.71929824561403422</v>
      </c>
      <c r="E18" s="15" t="s">
        <v>102</v>
      </c>
    </row>
    <row r="19" spans="1:5" x14ac:dyDescent="0.2">
      <c r="A19" s="3">
        <f ca="1">IF(NOT(ISNUMBER(OFFSET(tblDimNameMale[[#This Row],[Score]],-1,0))),1,SUM(OFFSET(tblDimNameMale[[#This Row],[Score]],-1,0),-1/ROWS(tblDimNameMale[Score])))</f>
        <v>0.70689655172413735</v>
      </c>
      <c r="B19" s="15" t="s">
        <v>103</v>
      </c>
      <c r="D19" s="3">
        <f ca="1">IF(NOT(ISNUMBER(OFFSET(tblDimNameFemale[[#This Row],[Score]],-1,0))),1,SUM(OFFSET(tblDimNameFemale[[#This Row],[Score]],-1,0),-1/ROWS(tblDimNameFemale[Score])))</f>
        <v>0.70175438596491135</v>
      </c>
      <c r="E19" s="15" t="s">
        <v>104</v>
      </c>
    </row>
    <row r="20" spans="1:5" x14ac:dyDescent="0.2">
      <c r="A20" s="3">
        <f ca="1">IF(NOT(ISNUMBER(OFFSET(tblDimNameMale[[#This Row],[Score]],-1,0))),1,SUM(OFFSET(tblDimNameMale[[#This Row],[Score]],-1,0),-1/ROWS(tblDimNameMale[Score])))</f>
        <v>0.68965517241379248</v>
      </c>
      <c r="B20" s="15" t="s">
        <v>105</v>
      </c>
      <c r="D20" s="3">
        <f ca="1">IF(NOT(ISNUMBER(OFFSET(tblDimNameFemale[[#This Row],[Score]],-1,0))),1,SUM(OFFSET(tblDimNameFemale[[#This Row],[Score]],-1,0),-1/ROWS(tblDimNameFemale[Score])))</f>
        <v>0.68421052631578849</v>
      </c>
      <c r="E20" s="15" t="s">
        <v>106</v>
      </c>
    </row>
    <row r="21" spans="1:5" x14ac:dyDescent="0.2">
      <c r="A21" s="3">
        <f ca="1">IF(NOT(ISNUMBER(OFFSET(tblDimNameMale[[#This Row],[Score]],-1,0))),1,SUM(OFFSET(tblDimNameMale[[#This Row],[Score]],-1,0),-1/ROWS(tblDimNameMale[Score])))</f>
        <v>0.67241379310344762</v>
      </c>
      <c r="B21" s="15" t="s">
        <v>107</v>
      </c>
      <c r="D21" s="3">
        <f ca="1">IF(NOT(ISNUMBER(OFFSET(tblDimNameFemale[[#This Row],[Score]],-1,0))),1,SUM(OFFSET(tblDimNameFemale[[#This Row],[Score]],-1,0),-1/ROWS(tblDimNameFemale[Score])))</f>
        <v>0.66666666666666563</v>
      </c>
      <c r="E21" s="15" t="s">
        <v>108</v>
      </c>
    </row>
    <row r="22" spans="1:5" x14ac:dyDescent="0.2">
      <c r="A22" s="3">
        <f ca="1">IF(NOT(ISNUMBER(OFFSET(tblDimNameMale[[#This Row],[Score]],-1,0))),1,SUM(OFFSET(tblDimNameMale[[#This Row],[Score]],-1,0),-1/ROWS(tblDimNameMale[Score])))</f>
        <v>0.65517241379310276</v>
      </c>
      <c r="B22" s="15" t="s">
        <v>109</v>
      </c>
      <c r="D22" s="3">
        <f ca="1">IF(NOT(ISNUMBER(OFFSET(tblDimNameFemale[[#This Row],[Score]],-1,0))),1,SUM(OFFSET(tblDimNameFemale[[#This Row],[Score]],-1,0),-1/ROWS(tblDimNameFemale[Score])))</f>
        <v>0.64912280701754277</v>
      </c>
      <c r="E22" s="15" t="s">
        <v>110</v>
      </c>
    </row>
    <row r="23" spans="1:5" x14ac:dyDescent="0.2">
      <c r="A23" s="3">
        <f ca="1">IF(NOT(ISNUMBER(OFFSET(tblDimNameMale[[#This Row],[Score]],-1,0))),1,SUM(OFFSET(tblDimNameMale[[#This Row],[Score]],-1,0),-1/ROWS(tblDimNameMale[Score])))</f>
        <v>0.6379310344827579</v>
      </c>
      <c r="B23" s="15" t="s">
        <v>111</v>
      </c>
      <c r="D23" s="3">
        <f ca="1">IF(NOT(ISNUMBER(OFFSET(tblDimNameFemale[[#This Row],[Score]],-1,0))),1,SUM(OFFSET(tblDimNameFemale[[#This Row],[Score]],-1,0),-1/ROWS(tblDimNameFemale[Score])))</f>
        <v>0.63157894736841991</v>
      </c>
      <c r="E23" s="15" t="s">
        <v>112</v>
      </c>
    </row>
    <row r="24" spans="1:5" x14ac:dyDescent="0.2">
      <c r="A24" s="3">
        <f ca="1">IF(NOT(ISNUMBER(OFFSET(tblDimNameMale[[#This Row],[Score]],-1,0))),1,SUM(OFFSET(tblDimNameMale[[#This Row],[Score]],-1,0),-1/ROWS(tblDimNameMale[Score])))</f>
        <v>0.62068965517241304</v>
      </c>
      <c r="B24" s="15" t="s">
        <v>113</v>
      </c>
      <c r="D24" s="3">
        <f ca="1">IF(NOT(ISNUMBER(OFFSET(tblDimNameFemale[[#This Row],[Score]],-1,0))),1,SUM(OFFSET(tblDimNameFemale[[#This Row],[Score]],-1,0),-1/ROWS(tblDimNameFemale[Score])))</f>
        <v>0.61403508771929705</v>
      </c>
      <c r="E24" s="15" t="s">
        <v>114</v>
      </c>
    </row>
    <row r="25" spans="1:5" x14ac:dyDescent="0.2">
      <c r="A25" s="3">
        <f ca="1">IF(NOT(ISNUMBER(OFFSET(tblDimNameMale[[#This Row],[Score]],-1,0))),1,SUM(OFFSET(tblDimNameMale[[#This Row],[Score]],-1,0),-1/ROWS(tblDimNameMale[Score])))</f>
        <v>0.60344827586206817</v>
      </c>
      <c r="B25" s="15" t="s">
        <v>115</v>
      </c>
      <c r="D25" s="3">
        <f ca="1">IF(NOT(ISNUMBER(OFFSET(tblDimNameFemale[[#This Row],[Score]],-1,0))),1,SUM(OFFSET(tblDimNameFemale[[#This Row],[Score]],-1,0),-1/ROWS(tblDimNameFemale[Score])))</f>
        <v>0.59649122807017418</v>
      </c>
      <c r="E25" s="15" t="s">
        <v>116</v>
      </c>
    </row>
    <row r="26" spans="1:5" x14ac:dyDescent="0.2">
      <c r="A26" s="3">
        <f ca="1">IF(NOT(ISNUMBER(OFFSET(tblDimNameMale[[#This Row],[Score]],-1,0))),1,SUM(OFFSET(tblDimNameMale[[#This Row],[Score]],-1,0),-1/ROWS(tblDimNameMale[Score])))</f>
        <v>0.58620689655172331</v>
      </c>
      <c r="B26" s="15" t="s">
        <v>117</v>
      </c>
      <c r="D26" s="3">
        <f ca="1">IF(NOT(ISNUMBER(OFFSET(tblDimNameFemale[[#This Row],[Score]],-1,0))),1,SUM(OFFSET(tblDimNameFemale[[#This Row],[Score]],-1,0),-1/ROWS(tblDimNameFemale[Score])))</f>
        <v>0.57894736842105132</v>
      </c>
      <c r="E26" s="15" t="s">
        <v>118</v>
      </c>
    </row>
    <row r="27" spans="1:5" x14ac:dyDescent="0.2">
      <c r="A27" s="3">
        <f ca="1">IF(NOT(ISNUMBER(OFFSET(tblDimNameMale[[#This Row],[Score]],-1,0))),1,SUM(OFFSET(tblDimNameMale[[#This Row],[Score]],-1,0),-1/ROWS(tblDimNameMale[Score])))</f>
        <v>0.56896551724137845</v>
      </c>
      <c r="B27" s="15" t="s">
        <v>119</v>
      </c>
      <c r="D27" s="3">
        <f ca="1">IF(NOT(ISNUMBER(OFFSET(tblDimNameFemale[[#This Row],[Score]],-1,0))),1,SUM(OFFSET(tblDimNameFemale[[#This Row],[Score]],-1,0),-1/ROWS(tblDimNameFemale[Score])))</f>
        <v>0.56140350877192846</v>
      </c>
      <c r="E27" s="15" t="s">
        <v>120</v>
      </c>
    </row>
    <row r="28" spans="1:5" x14ac:dyDescent="0.2">
      <c r="A28" s="3">
        <f ca="1">IF(NOT(ISNUMBER(OFFSET(tblDimNameMale[[#This Row],[Score]],-1,0))),1,SUM(OFFSET(tblDimNameMale[[#This Row],[Score]],-1,0),-1/ROWS(tblDimNameMale[Score])))</f>
        <v>0.55172413793103359</v>
      </c>
      <c r="B28" s="15" t="s">
        <v>121</v>
      </c>
      <c r="D28" s="3">
        <f ca="1">IF(NOT(ISNUMBER(OFFSET(tblDimNameFemale[[#This Row],[Score]],-1,0))),1,SUM(OFFSET(tblDimNameFemale[[#This Row],[Score]],-1,0),-1/ROWS(tblDimNameFemale[Score])))</f>
        <v>0.5438596491228056</v>
      </c>
      <c r="E28" s="15" t="s">
        <v>122</v>
      </c>
    </row>
    <row r="29" spans="1:5" x14ac:dyDescent="0.2">
      <c r="A29" s="3">
        <f ca="1">IF(NOT(ISNUMBER(OFFSET(tblDimNameMale[[#This Row],[Score]],-1,0))),1,SUM(OFFSET(tblDimNameMale[[#This Row],[Score]],-1,0),-1/ROWS(tblDimNameMale[Score])))</f>
        <v>0.53448275862068872</v>
      </c>
      <c r="B29" s="15" t="s">
        <v>123</v>
      </c>
      <c r="D29" s="3">
        <f ca="1">IF(NOT(ISNUMBER(OFFSET(tblDimNameFemale[[#This Row],[Score]],-1,0))),1,SUM(OFFSET(tblDimNameFemale[[#This Row],[Score]],-1,0),-1/ROWS(tblDimNameFemale[Score])))</f>
        <v>0.52631578947368274</v>
      </c>
      <c r="E29" s="15" t="s">
        <v>124</v>
      </c>
    </row>
    <row r="30" spans="1:5" x14ac:dyDescent="0.2">
      <c r="A30" s="3">
        <f ca="1">IF(NOT(ISNUMBER(OFFSET(tblDimNameMale[[#This Row],[Score]],-1,0))),1,SUM(OFFSET(tblDimNameMale[[#This Row],[Score]],-1,0),-1/ROWS(tblDimNameMale[Score])))</f>
        <v>0.51724137931034386</v>
      </c>
      <c r="B30" s="15" t="s">
        <v>125</v>
      </c>
      <c r="D30" s="3">
        <f ca="1">IF(NOT(ISNUMBER(OFFSET(tblDimNameFemale[[#This Row],[Score]],-1,0))),1,SUM(OFFSET(tblDimNameFemale[[#This Row],[Score]],-1,0),-1/ROWS(tblDimNameFemale[Score])))</f>
        <v>0.50877192982455988</v>
      </c>
      <c r="E30" s="15" t="s">
        <v>126</v>
      </c>
    </row>
    <row r="31" spans="1:5" x14ac:dyDescent="0.2">
      <c r="A31" s="3">
        <f ca="1">IF(NOT(ISNUMBER(OFFSET(tblDimNameMale[[#This Row],[Score]],-1,0))),1,SUM(OFFSET(tblDimNameMale[[#This Row],[Score]],-1,0),-1/ROWS(tblDimNameMale[Score])))</f>
        <v>0.49999999999999906</v>
      </c>
      <c r="B31" s="15" t="s">
        <v>127</v>
      </c>
      <c r="D31" s="3">
        <f ca="1">IF(NOT(ISNUMBER(OFFSET(tblDimNameFemale[[#This Row],[Score]],-1,0))),1,SUM(OFFSET(tblDimNameFemale[[#This Row],[Score]],-1,0),-1/ROWS(tblDimNameFemale[Score])))</f>
        <v>0.49122807017543707</v>
      </c>
      <c r="E31" s="15" t="s">
        <v>128</v>
      </c>
    </row>
    <row r="32" spans="1:5" x14ac:dyDescent="0.2">
      <c r="A32" s="3">
        <f ca="1">IF(NOT(ISNUMBER(OFFSET(tblDimNameMale[[#This Row],[Score]],-1,0))),1,SUM(OFFSET(tblDimNameMale[[#This Row],[Score]],-1,0),-1/ROWS(tblDimNameMale[Score])))</f>
        <v>0.48275862068965425</v>
      </c>
      <c r="B32" s="15" t="s">
        <v>129</v>
      </c>
      <c r="D32" s="3">
        <f ca="1">IF(NOT(ISNUMBER(OFFSET(tblDimNameFemale[[#This Row],[Score]],-1,0))),1,SUM(OFFSET(tblDimNameFemale[[#This Row],[Score]],-1,0),-1/ROWS(tblDimNameFemale[Score])))</f>
        <v>0.47368421052631426</v>
      </c>
      <c r="E32" s="15" t="s">
        <v>130</v>
      </c>
    </row>
    <row r="33" spans="1:5" x14ac:dyDescent="0.2">
      <c r="A33" s="3">
        <f ca="1">IF(NOT(ISNUMBER(OFFSET(tblDimNameMale[[#This Row],[Score]],-1,0))),1,SUM(OFFSET(tblDimNameMale[[#This Row],[Score]],-1,0),-1/ROWS(tblDimNameMale[Score])))</f>
        <v>0.46551724137930944</v>
      </c>
      <c r="B33" s="15" t="s">
        <v>131</v>
      </c>
      <c r="D33" s="3">
        <f ca="1">IF(NOT(ISNUMBER(OFFSET(tblDimNameFemale[[#This Row],[Score]],-1,0))),1,SUM(OFFSET(tblDimNameFemale[[#This Row],[Score]],-1,0),-1/ROWS(tblDimNameFemale[Score])))</f>
        <v>0.45614035087719146</v>
      </c>
      <c r="E33" s="15" t="s">
        <v>132</v>
      </c>
    </row>
    <row r="34" spans="1:5" x14ac:dyDescent="0.2">
      <c r="A34" s="3">
        <f ca="1">IF(NOT(ISNUMBER(OFFSET(tblDimNameMale[[#This Row],[Score]],-1,0))),1,SUM(OFFSET(tblDimNameMale[[#This Row],[Score]],-1,0),-1/ROWS(tblDimNameMale[Score])))</f>
        <v>0.44827586206896464</v>
      </c>
      <c r="B34" s="15" t="s">
        <v>133</v>
      </c>
      <c r="D34" s="3">
        <f ca="1">IF(NOT(ISNUMBER(OFFSET(tblDimNameFemale[[#This Row],[Score]],-1,0))),1,SUM(OFFSET(tblDimNameFemale[[#This Row],[Score]],-1,0),-1/ROWS(tblDimNameFemale[Score])))</f>
        <v>0.43859649122806865</v>
      </c>
      <c r="E34" s="15" t="s">
        <v>134</v>
      </c>
    </row>
    <row r="35" spans="1:5" x14ac:dyDescent="0.2">
      <c r="A35" s="3">
        <f ca="1">IF(NOT(ISNUMBER(OFFSET(tblDimNameMale[[#This Row],[Score]],-1,0))),1,SUM(OFFSET(tblDimNameMale[[#This Row],[Score]],-1,0),-1/ROWS(tblDimNameMale[Score])))</f>
        <v>0.43103448275861983</v>
      </c>
      <c r="B35" s="15" t="s">
        <v>135</v>
      </c>
      <c r="D35" s="3">
        <f ca="1">IF(NOT(ISNUMBER(OFFSET(tblDimNameFemale[[#This Row],[Score]],-1,0))),1,SUM(OFFSET(tblDimNameFemale[[#This Row],[Score]],-1,0),-1/ROWS(tblDimNameFemale[Score])))</f>
        <v>0.42105263157894585</v>
      </c>
      <c r="E35" s="15" t="s">
        <v>136</v>
      </c>
    </row>
    <row r="36" spans="1:5" x14ac:dyDescent="0.2">
      <c r="A36" s="3">
        <f ca="1">IF(NOT(ISNUMBER(OFFSET(tblDimNameMale[[#This Row],[Score]],-1,0))),1,SUM(OFFSET(tblDimNameMale[[#This Row],[Score]],-1,0),-1/ROWS(tblDimNameMale[Score])))</f>
        <v>0.41379310344827502</v>
      </c>
      <c r="B36" s="15" t="s">
        <v>137</v>
      </c>
      <c r="D36" s="3">
        <f ca="1">IF(NOT(ISNUMBER(OFFSET(tblDimNameFemale[[#This Row],[Score]],-1,0))),1,SUM(OFFSET(tblDimNameFemale[[#This Row],[Score]],-1,0),-1/ROWS(tblDimNameFemale[Score])))</f>
        <v>0.40350877192982304</v>
      </c>
      <c r="E36" s="15" t="s">
        <v>138</v>
      </c>
    </row>
    <row r="37" spans="1:5" x14ac:dyDescent="0.2">
      <c r="A37" s="3">
        <f ca="1">IF(NOT(ISNUMBER(OFFSET(tblDimNameMale[[#This Row],[Score]],-1,0))),1,SUM(OFFSET(tblDimNameMale[[#This Row],[Score]],-1,0),-1/ROWS(tblDimNameMale[Score])))</f>
        <v>0.39655172413793022</v>
      </c>
      <c r="B37" s="15" t="s">
        <v>139</v>
      </c>
      <c r="D37" s="3">
        <f ca="1">IF(NOT(ISNUMBER(OFFSET(tblDimNameFemale[[#This Row],[Score]],-1,0))),1,SUM(OFFSET(tblDimNameFemale[[#This Row],[Score]],-1,0),-1/ROWS(tblDimNameFemale[Score])))</f>
        <v>0.38596491228070023</v>
      </c>
      <c r="E37" s="15" t="s">
        <v>140</v>
      </c>
    </row>
    <row r="38" spans="1:5" x14ac:dyDescent="0.2">
      <c r="A38" s="3">
        <f ca="1">IF(NOT(ISNUMBER(OFFSET(tblDimNameMale[[#This Row],[Score]],-1,0))),1,SUM(OFFSET(tblDimNameMale[[#This Row],[Score]],-1,0),-1/ROWS(tblDimNameMale[Score])))</f>
        <v>0.37931034482758541</v>
      </c>
      <c r="B38" s="15" t="s">
        <v>141</v>
      </c>
      <c r="D38" s="3">
        <f ca="1">IF(NOT(ISNUMBER(OFFSET(tblDimNameFemale[[#This Row],[Score]],-1,0))),1,SUM(OFFSET(tblDimNameFemale[[#This Row],[Score]],-1,0),-1/ROWS(tblDimNameFemale[Score])))</f>
        <v>0.36842105263157743</v>
      </c>
      <c r="E38" s="15" t="s">
        <v>142</v>
      </c>
    </row>
    <row r="39" spans="1:5" x14ac:dyDescent="0.2">
      <c r="A39" s="3">
        <f ca="1">IF(NOT(ISNUMBER(OFFSET(tblDimNameMale[[#This Row],[Score]],-1,0))),1,SUM(OFFSET(tblDimNameMale[[#This Row],[Score]],-1,0),-1/ROWS(tblDimNameMale[Score])))</f>
        <v>0.3620689655172406</v>
      </c>
      <c r="B39" s="15" t="s">
        <v>143</v>
      </c>
      <c r="D39" s="3">
        <f ca="1">IF(NOT(ISNUMBER(OFFSET(tblDimNameFemale[[#This Row],[Score]],-1,0))),1,SUM(OFFSET(tblDimNameFemale[[#This Row],[Score]],-1,0),-1/ROWS(tblDimNameFemale[Score])))</f>
        <v>0.35087719298245462</v>
      </c>
      <c r="E39" s="15" t="s">
        <v>144</v>
      </c>
    </row>
    <row r="40" spans="1:5" x14ac:dyDescent="0.2">
      <c r="A40" s="3">
        <f ca="1">IF(NOT(ISNUMBER(OFFSET(tblDimNameMale[[#This Row],[Score]],-1,0))),1,SUM(OFFSET(tblDimNameMale[[#This Row],[Score]],-1,0),-1/ROWS(tblDimNameMale[Score])))</f>
        <v>0.3448275862068958</v>
      </c>
      <c r="B40" s="15" t="s">
        <v>145</v>
      </c>
      <c r="D40" s="3">
        <f ca="1">IF(NOT(ISNUMBER(OFFSET(tblDimNameFemale[[#This Row],[Score]],-1,0))),1,SUM(OFFSET(tblDimNameFemale[[#This Row],[Score]],-1,0),-1/ROWS(tblDimNameFemale[Score])))</f>
        <v>0.33333333333333182</v>
      </c>
      <c r="E40" s="15" t="s">
        <v>146</v>
      </c>
    </row>
    <row r="41" spans="1:5" x14ac:dyDescent="0.2">
      <c r="A41" s="3">
        <f ca="1">IF(NOT(ISNUMBER(OFFSET(tblDimNameMale[[#This Row],[Score]],-1,0))),1,SUM(OFFSET(tblDimNameMale[[#This Row],[Score]],-1,0),-1/ROWS(tblDimNameMale[Score])))</f>
        <v>0.32758620689655099</v>
      </c>
      <c r="B41" s="15" t="s">
        <v>147</v>
      </c>
      <c r="D41" s="3">
        <f ca="1">IF(NOT(ISNUMBER(OFFSET(tblDimNameFemale[[#This Row],[Score]],-1,0))),1,SUM(OFFSET(tblDimNameFemale[[#This Row],[Score]],-1,0),-1/ROWS(tblDimNameFemale[Score])))</f>
        <v>0.31578947368420901</v>
      </c>
      <c r="E41" s="15" t="s">
        <v>148</v>
      </c>
    </row>
    <row r="42" spans="1:5" x14ac:dyDescent="0.2">
      <c r="A42" s="3">
        <f ca="1">IF(NOT(ISNUMBER(OFFSET(tblDimNameMale[[#This Row],[Score]],-1,0))),1,SUM(OFFSET(tblDimNameMale[[#This Row],[Score]],-1,0),-1/ROWS(tblDimNameMale[Score])))</f>
        <v>0.31034482758620618</v>
      </c>
      <c r="B42" s="15" t="s">
        <v>149</v>
      </c>
      <c r="D42" s="3">
        <f ca="1">IF(NOT(ISNUMBER(OFFSET(tblDimNameFemale[[#This Row],[Score]],-1,0))),1,SUM(OFFSET(tblDimNameFemale[[#This Row],[Score]],-1,0),-1/ROWS(tblDimNameFemale[Score])))</f>
        <v>0.2982456140350862</v>
      </c>
      <c r="E42" s="15" t="s">
        <v>150</v>
      </c>
    </row>
    <row r="43" spans="1:5" x14ac:dyDescent="0.2">
      <c r="A43" s="3">
        <f ca="1">IF(NOT(ISNUMBER(OFFSET(tblDimNameMale[[#This Row],[Score]],-1,0))),1,SUM(OFFSET(tblDimNameMale[[#This Row],[Score]],-1,0),-1/ROWS(tblDimNameMale[Score])))</f>
        <v>0.29310344827586138</v>
      </c>
      <c r="B43" s="15" t="s">
        <v>151</v>
      </c>
      <c r="D43" s="3">
        <f ca="1">IF(NOT(ISNUMBER(OFFSET(tblDimNameFemale[[#This Row],[Score]],-1,0))),1,SUM(OFFSET(tblDimNameFemale[[#This Row],[Score]],-1,0),-1/ROWS(tblDimNameFemale[Score])))</f>
        <v>0.2807017543859634</v>
      </c>
      <c r="E43" s="15" t="s">
        <v>152</v>
      </c>
    </row>
    <row r="44" spans="1:5" x14ac:dyDescent="0.2">
      <c r="A44" s="3">
        <f ca="1">IF(NOT(ISNUMBER(OFFSET(tblDimNameMale[[#This Row],[Score]],-1,0))),1,SUM(OFFSET(tblDimNameMale[[#This Row],[Score]],-1,0),-1/ROWS(tblDimNameMale[Score])))</f>
        <v>0.27586206896551657</v>
      </c>
      <c r="B44" s="15" t="s">
        <v>153</v>
      </c>
      <c r="D44" s="3">
        <f ca="1">IF(NOT(ISNUMBER(OFFSET(tblDimNameFemale[[#This Row],[Score]],-1,0))),1,SUM(OFFSET(tblDimNameFemale[[#This Row],[Score]],-1,0),-1/ROWS(tblDimNameFemale[Score])))</f>
        <v>0.26315789473684059</v>
      </c>
      <c r="E44" s="15" t="s">
        <v>154</v>
      </c>
    </row>
    <row r="45" spans="1:5" x14ac:dyDescent="0.2">
      <c r="A45" s="3">
        <f ca="1">IF(NOT(ISNUMBER(OFFSET(tblDimNameMale[[#This Row],[Score]],-1,0))),1,SUM(OFFSET(tblDimNameMale[[#This Row],[Score]],-1,0),-1/ROWS(tblDimNameMale[Score])))</f>
        <v>0.25862068965517176</v>
      </c>
      <c r="B45" s="15" t="s">
        <v>155</v>
      </c>
      <c r="D45" s="3">
        <f ca="1">IF(NOT(ISNUMBER(OFFSET(tblDimNameFemale[[#This Row],[Score]],-1,0))),1,SUM(OFFSET(tblDimNameFemale[[#This Row],[Score]],-1,0),-1/ROWS(tblDimNameFemale[Score])))</f>
        <v>0.24561403508771779</v>
      </c>
      <c r="E45" s="15" t="s">
        <v>156</v>
      </c>
    </row>
    <row r="46" spans="1:5" x14ac:dyDescent="0.2">
      <c r="A46" s="3">
        <f ca="1">IF(NOT(ISNUMBER(OFFSET(tblDimNameMale[[#This Row],[Score]],-1,0))),1,SUM(OFFSET(tblDimNameMale[[#This Row],[Score]],-1,0),-1/ROWS(tblDimNameMale[Score])))</f>
        <v>0.24137931034482693</v>
      </c>
      <c r="B46" s="15" t="s">
        <v>157</v>
      </c>
      <c r="D46" s="3">
        <f ca="1">IF(NOT(ISNUMBER(OFFSET(tblDimNameFemale[[#This Row],[Score]],-1,0))),1,SUM(OFFSET(tblDimNameFemale[[#This Row],[Score]],-1,0),-1/ROWS(tblDimNameFemale[Score])))</f>
        <v>0.22807017543859498</v>
      </c>
      <c r="E46" s="15" t="s">
        <v>158</v>
      </c>
    </row>
    <row r="47" spans="1:5" x14ac:dyDescent="0.2">
      <c r="A47" s="3">
        <f ca="1">IF(NOT(ISNUMBER(OFFSET(tblDimNameMale[[#This Row],[Score]],-1,0))),1,SUM(OFFSET(tblDimNameMale[[#This Row],[Score]],-1,0),-1/ROWS(tblDimNameMale[Score])))</f>
        <v>0.2241379310344821</v>
      </c>
      <c r="B47" s="15" t="s">
        <v>159</v>
      </c>
      <c r="D47" s="3">
        <f ca="1">IF(NOT(ISNUMBER(OFFSET(tblDimNameFemale[[#This Row],[Score]],-1,0))),1,SUM(OFFSET(tblDimNameFemale[[#This Row],[Score]],-1,0),-1/ROWS(tblDimNameFemale[Score])))</f>
        <v>0.21052631578947217</v>
      </c>
      <c r="E47" s="15" t="s">
        <v>160</v>
      </c>
    </row>
    <row r="48" spans="1:5" x14ac:dyDescent="0.2">
      <c r="A48" s="3">
        <f ca="1">IF(NOT(ISNUMBER(OFFSET(tblDimNameMale[[#This Row],[Score]],-1,0))),1,SUM(OFFSET(tblDimNameMale[[#This Row],[Score]],-1,0),-1/ROWS(tblDimNameMale[Score])))</f>
        <v>0.20689655172413726</v>
      </c>
      <c r="B48" s="15" t="s">
        <v>161</v>
      </c>
      <c r="D48" s="3">
        <f ca="1">IF(NOT(ISNUMBER(OFFSET(tblDimNameFemale[[#This Row],[Score]],-1,0))),1,SUM(OFFSET(tblDimNameFemale[[#This Row],[Score]],-1,0),-1/ROWS(tblDimNameFemale[Score])))</f>
        <v>0.19298245614034937</v>
      </c>
      <c r="E48" s="15" t="s">
        <v>162</v>
      </c>
    </row>
    <row r="49" spans="1:5" x14ac:dyDescent="0.2">
      <c r="A49" s="3">
        <f ca="1">IF(NOT(ISNUMBER(OFFSET(tblDimNameMale[[#This Row],[Score]],-1,0))),1,SUM(OFFSET(tblDimNameMale[[#This Row],[Score]],-1,0),-1/ROWS(tblDimNameMale[Score])))</f>
        <v>0.18965517241379243</v>
      </c>
      <c r="B49" s="15" t="s">
        <v>163</v>
      </c>
      <c r="D49" s="3">
        <f ca="1">IF(NOT(ISNUMBER(OFFSET(tblDimNameFemale[[#This Row],[Score]],-1,0))),1,SUM(OFFSET(tblDimNameFemale[[#This Row],[Score]],-1,0),-1/ROWS(tblDimNameFemale[Score])))</f>
        <v>0.17543859649122656</v>
      </c>
      <c r="E49" s="15" t="s">
        <v>164</v>
      </c>
    </row>
    <row r="50" spans="1:5" x14ac:dyDescent="0.2">
      <c r="A50" s="3">
        <f ca="1">IF(NOT(ISNUMBER(OFFSET(tblDimNameMale[[#This Row],[Score]],-1,0))),1,SUM(OFFSET(tblDimNameMale[[#This Row],[Score]],-1,0),-1/ROWS(tblDimNameMale[Score])))</f>
        <v>0.17241379310344759</v>
      </c>
      <c r="B50" s="15" t="s">
        <v>165</v>
      </c>
      <c r="D50" s="3">
        <f ca="1">IF(NOT(ISNUMBER(OFFSET(tblDimNameFemale[[#This Row],[Score]],-1,0))),1,SUM(OFFSET(tblDimNameFemale[[#This Row],[Score]],-1,0),-1/ROWS(tblDimNameFemale[Score])))</f>
        <v>0.15789473684210376</v>
      </c>
      <c r="E50" s="15" t="s">
        <v>166</v>
      </c>
    </row>
    <row r="51" spans="1:5" x14ac:dyDescent="0.2">
      <c r="A51" s="3">
        <f ca="1">IF(NOT(ISNUMBER(OFFSET(tblDimNameMale[[#This Row],[Score]],-1,0))),1,SUM(OFFSET(tblDimNameMale[[#This Row],[Score]],-1,0),-1/ROWS(tblDimNameMale[Score])))</f>
        <v>0.15517241379310276</v>
      </c>
      <c r="B51" s="15" t="s">
        <v>167</v>
      </c>
      <c r="D51" s="3">
        <f ca="1">IF(NOT(ISNUMBER(OFFSET(tblDimNameFemale[[#This Row],[Score]],-1,0))),1,SUM(OFFSET(tblDimNameFemale[[#This Row],[Score]],-1,0),-1/ROWS(tblDimNameFemale[Score])))</f>
        <v>0.14035087719298095</v>
      </c>
      <c r="E51" s="15" t="s">
        <v>168</v>
      </c>
    </row>
    <row r="52" spans="1:5" x14ac:dyDescent="0.2">
      <c r="A52" s="3">
        <f ca="1">IF(NOT(ISNUMBER(OFFSET(tblDimNameMale[[#This Row],[Score]],-1,0))),1,SUM(OFFSET(tblDimNameMale[[#This Row],[Score]],-1,0),-1/ROWS(tblDimNameMale[Score])))</f>
        <v>0.13793103448275792</v>
      </c>
      <c r="B52" s="15" t="s">
        <v>169</v>
      </c>
      <c r="D52" s="3">
        <f ca="1">IF(NOT(ISNUMBER(OFFSET(tblDimNameFemale[[#This Row],[Score]],-1,0))),1,SUM(OFFSET(tblDimNameFemale[[#This Row],[Score]],-1,0),-1/ROWS(tblDimNameFemale[Score])))</f>
        <v>0.12280701754385814</v>
      </c>
      <c r="E52" s="15" t="s">
        <v>170</v>
      </c>
    </row>
    <row r="53" spans="1:5" x14ac:dyDescent="0.2">
      <c r="A53" s="3">
        <f ca="1">IF(NOT(ISNUMBER(OFFSET(tblDimNameMale[[#This Row],[Score]],-1,0))),1,SUM(OFFSET(tblDimNameMale[[#This Row],[Score]],-1,0),-1/ROWS(tblDimNameMale[Score])))</f>
        <v>0.12068965517241309</v>
      </c>
      <c r="B53" s="15" t="s">
        <v>171</v>
      </c>
      <c r="D53" s="3">
        <f ca="1">IF(NOT(ISNUMBER(OFFSET(tblDimNameFemale[[#This Row],[Score]],-1,0))),1,SUM(OFFSET(tblDimNameFemale[[#This Row],[Score]],-1,0),-1/ROWS(tblDimNameFemale[Score])))</f>
        <v>0.10526315789473534</v>
      </c>
      <c r="E53" s="15" t="s">
        <v>172</v>
      </c>
    </row>
    <row r="54" spans="1:5" x14ac:dyDescent="0.2">
      <c r="A54" s="3">
        <f ca="1">IF(NOT(ISNUMBER(OFFSET(tblDimNameMale[[#This Row],[Score]],-1,0))),1,SUM(OFFSET(tblDimNameMale[[#This Row],[Score]],-1,0),-1/ROWS(tblDimNameMale[Score])))</f>
        <v>0.10344827586206826</v>
      </c>
      <c r="B54" s="15" t="s">
        <v>173</v>
      </c>
      <c r="D54" s="3">
        <f ca="1">IF(NOT(ISNUMBER(OFFSET(tblDimNameFemale[[#This Row],[Score]],-1,0))),1,SUM(OFFSET(tblDimNameFemale[[#This Row],[Score]],-1,0),-1/ROWS(tblDimNameFemale[Score])))</f>
        <v>8.7719298245612531E-2</v>
      </c>
      <c r="E54" s="15" t="s">
        <v>174</v>
      </c>
    </row>
    <row r="55" spans="1:5" x14ac:dyDescent="0.2">
      <c r="A55" s="3">
        <f ca="1">IF(NOT(ISNUMBER(OFFSET(tblDimNameMale[[#This Row],[Score]],-1,0))),1,SUM(OFFSET(tblDimNameMale[[#This Row],[Score]],-1,0),-1/ROWS(tblDimNameMale[Score])))</f>
        <v>8.6206896551723422E-2</v>
      </c>
      <c r="B55" s="15" t="s">
        <v>175</v>
      </c>
      <c r="D55" s="3">
        <f ca="1">IF(NOT(ISNUMBER(OFFSET(tblDimNameFemale[[#This Row],[Score]],-1,0))),1,SUM(OFFSET(tblDimNameFemale[[#This Row],[Score]],-1,0),-1/ROWS(tblDimNameFemale[Score])))</f>
        <v>7.0175438596489725E-2</v>
      </c>
      <c r="E55" s="15" t="s">
        <v>176</v>
      </c>
    </row>
    <row r="56" spans="1:5" x14ac:dyDescent="0.2">
      <c r="A56" s="3">
        <f ca="1">IF(NOT(ISNUMBER(OFFSET(tblDimNameMale[[#This Row],[Score]],-1,0))),1,SUM(OFFSET(tblDimNameMale[[#This Row],[Score]],-1,0),-1/ROWS(tblDimNameMale[Score])))</f>
        <v>6.8965517241378588E-2</v>
      </c>
      <c r="B56" s="15" t="s">
        <v>177</v>
      </c>
      <c r="D56" s="3">
        <f ca="1">IF(NOT(ISNUMBER(OFFSET(tblDimNameFemale[[#This Row],[Score]],-1,0))),1,SUM(OFFSET(tblDimNameFemale[[#This Row],[Score]],-1,0),-1/ROWS(tblDimNameFemale[Score])))</f>
        <v>5.2631578947366919E-2</v>
      </c>
      <c r="E56" s="15" t="s">
        <v>178</v>
      </c>
    </row>
    <row r="57" spans="1:5" x14ac:dyDescent="0.2">
      <c r="A57" s="3">
        <f ca="1">IF(NOT(ISNUMBER(OFFSET(tblDimNameMale[[#This Row],[Score]],-1,0))),1,SUM(OFFSET(tblDimNameMale[[#This Row],[Score]],-1,0),-1/ROWS(tblDimNameMale[Score])))</f>
        <v>5.172413793103376E-2</v>
      </c>
      <c r="B57" s="15" t="s">
        <v>179</v>
      </c>
      <c r="D57" s="3">
        <f ca="1">IF(NOT(ISNUMBER(OFFSET(tblDimNameFemale[[#This Row],[Score]],-1,0))),1,SUM(OFFSET(tblDimNameFemale[[#This Row],[Score]],-1,0),-1/ROWS(tblDimNameFemale[Score])))</f>
        <v>3.5087719298244113E-2</v>
      </c>
      <c r="E57" s="15" t="s">
        <v>180</v>
      </c>
    </row>
    <row r="58" spans="1:5" x14ac:dyDescent="0.2">
      <c r="A58" s="3">
        <f ca="1">IF(NOT(ISNUMBER(OFFSET(tblDimNameMale[[#This Row],[Score]],-1,0))),1,SUM(OFFSET(tblDimNameMale[[#This Row],[Score]],-1,0),-1/ROWS(tblDimNameMale[Score])))</f>
        <v>3.4482758620688933E-2</v>
      </c>
      <c r="B58" s="15" t="s">
        <v>21</v>
      </c>
      <c r="D58" s="3">
        <f ca="1">IF(NOT(ISNUMBER(OFFSET(tblDimNameFemale[[#This Row],[Score]],-1,0))),1,SUM(OFFSET(tblDimNameFemale[[#This Row],[Score]],-1,0),-1/ROWS(tblDimNameFemale[Score])))</f>
        <v>1.7543859649121307E-2</v>
      </c>
      <c r="E58" s="15" t="s">
        <v>181</v>
      </c>
    </row>
    <row r="59" spans="1:5" x14ac:dyDescent="0.2">
      <c r="A59" s="3">
        <f ca="1">IF(NOT(ISNUMBER(OFFSET(tblDimNameMale[[#This Row],[Score]],-1,0))),1,SUM(OFFSET(tblDimNameMale[[#This Row],[Score]],-1,0),-1/ROWS(tblDimNameMale[Score])))</f>
        <v>1.7241379310344106E-2</v>
      </c>
      <c r="B59" s="15" t="s">
        <v>182</v>
      </c>
    </row>
  </sheetData>
  <pageMargins left="0.7" right="0.7" top="0.75" bottom="0.75" header="0.3" footer="0.3"/>
  <tableParts count="3">
    <tablePart r:id="rId1"/>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O33"/>
  <sheetViews>
    <sheetView zoomScale="75" zoomScaleNormal="75" zoomScalePageLayoutView="75" workbookViewId="0">
      <selection activeCell="H16" sqref="H16"/>
    </sheetView>
  </sheetViews>
  <sheetFormatPr baseColWidth="10" defaultColWidth="8.796875" defaultRowHeight="15" x14ac:dyDescent="0.15"/>
  <cols>
    <col min="1" max="1" width="9.19921875" style="15" bestFit="1" customWidth="1"/>
    <col min="2" max="2" width="10.796875" style="15" bestFit="1" customWidth="1"/>
    <col min="3" max="3" width="2" style="15" customWidth="1"/>
    <col min="4" max="4" width="8.796875" style="15"/>
    <col min="5" max="5" width="12" style="15" bestFit="1" customWidth="1"/>
    <col min="6" max="6" width="2.19921875" style="15" customWidth="1"/>
    <col min="7" max="7" width="9.19921875" style="15" bestFit="1" customWidth="1"/>
    <col min="8" max="8" width="14.796875" style="15" bestFit="1" customWidth="1"/>
    <col min="9" max="9" width="13.3984375" style="15" bestFit="1" customWidth="1"/>
    <col min="10" max="10" width="2.19921875" style="15" customWidth="1"/>
    <col min="11" max="11" width="9.19921875" style="15" bestFit="1" customWidth="1"/>
    <col min="12" max="12" width="60.19921875" style="15" bestFit="1" customWidth="1"/>
    <col min="13" max="13" width="2.19921875" style="15" customWidth="1"/>
    <col min="14" max="14" width="9.19921875" style="15" bestFit="1" customWidth="1"/>
    <col min="15" max="15" width="41.3984375" style="15" bestFit="1" customWidth="1"/>
    <col min="16" max="16" width="2.19921875" style="15" customWidth="1"/>
    <col min="17" max="16384" width="8.796875" style="15"/>
  </cols>
  <sheetData>
    <row r="1" spans="1:15" x14ac:dyDescent="0.15">
      <c r="A1" s="15" t="s">
        <v>0</v>
      </c>
      <c r="B1" s="15" t="s">
        <v>41</v>
      </c>
      <c r="D1" s="15" t="s">
        <v>0</v>
      </c>
      <c r="E1" s="15" t="s">
        <v>42</v>
      </c>
      <c r="G1" s="15" t="s">
        <v>0</v>
      </c>
      <c r="H1" s="15" t="s">
        <v>43</v>
      </c>
      <c r="I1" s="15" t="s">
        <v>183</v>
      </c>
      <c r="K1" s="15" t="s">
        <v>0</v>
      </c>
      <c r="L1" s="16" t="s">
        <v>44</v>
      </c>
      <c r="N1" s="15" t="s">
        <v>0</v>
      </c>
      <c r="O1" s="15" t="s">
        <v>45</v>
      </c>
    </row>
    <row r="2" spans="1:15" x14ac:dyDescent="0.15">
      <c r="A2" s="32">
        <f ca="1">IF(NOT(ISNUMBER(OFFSET(tblDimGender[[#This Row],[Score]],-1,0))),1,SUM(OFFSET(tblDimGender[[#This Row],[Score]],-1,0),-1/ROWS(tblDimGender[Score])))</f>
        <v>1</v>
      </c>
      <c r="B2" s="15" t="s">
        <v>184</v>
      </c>
      <c r="D2" s="34">
        <f>1-_xlfn.NORM.DIST(ROW()-ROW(tblDimRace[#Headers]),ROWS(tblDimRace[Score])/2,(ROWS(tblDimRace[Score])/6),TRUE)</f>
        <v>0.99018467137135469</v>
      </c>
      <c r="E2" s="15" t="s">
        <v>185</v>
      </c>
      <c r="G2" s="34">
        <f>1-_xlfn.NORM.DIST(ROW()-ROW(tblDimCurrentAge[#Headers]),ROWS(tblDimCurrentAge[Score])/2,(ROWS(tblDimCurrentAge[Score])/6),TRUE)</f>
        <v>0.97724986805182079</v>
      </c>
      <c r="H2" s="15">
        <v>19</v>
      </c>
      <c r="I2" s="15">
        <v>1</v>
      </c>
      <c r="K2" s="34">
        <f ca="1">IF(NOT(ISNUMBER(OFFSET(tblDimAppearance[[#This Row],[Score]],-1,0))),1,SUM(OFFSET(tblDimAppearance[[#This Row],[Score]],-1,0),-1/ROWS(tblDimAppearance[Score])))</f>
        <v>1</v>
      </c>
      <c r="L2" s="17" t="s">
        <v>186</v>
      </c>
      <c r="N2" s="34">
        <f ca="1">IF(NOT(ISNUMBER(OFFSET(tblDimHighAbility[[#This Row],[Score]],-1,0))),1,SUM(OFFSET(tblDimHighAbility[[#This Row],[Score]],-1,0),-1/ROWS(tblDimHighAbility[Score])))</f>
        <v>1</v>
      </c>
      <c r="O2" s="17" t="s">
        <v>187</v>
      </c>
    </row>
    <row r="3" spans="1:15" x14ac:dyDescent="0.15">
      <c r="A3" s="3">
        <f ca="1">IF(NOT(ISNUMBER(OFFSET(tblDimGender[[#This Row],[Score]],-1,0))),1,SUM(OFFSET(tblDimGender[[#This Row],[Score]],-1,0),-1/ROWS(tblDimGender[Score])))</f>
        <v>0.5</v>
      </c>
      <c r="B3" s="15" t="s">
        <v>191</v>
      </c>
      <c r="D3" s="3">
        <f>1-_xlfn.NORM.DIST(ROW()-ROW(tblDimRace[#Headers]),ROWS(tblDimRace[Score])/2,(ROWS(tblDimRace[Score])/6),TRUE)</f>
        <v>0.9522096477271853</v>
      </c>
      <c r="E3" s="15" t="s">
        <v>188</v>
      </c>
      <c r="G3" s="3">
        <f>1-_xlfn.NORM.DIST(ROW()-ROW(tblDimCurrentAge[#Headers]),ROWS(tblDimCurrentAge[Score])/2,(ROWS(tblDimCurrentAge[Score])/6),TRUE)</f>
        <v>0.84134474606854304</v>
      </c>
      <c r="H3" s="15">
        <v>22</v>
      </c>
      <c r="I3" s="15">
        <v>4</v>
      </c>
      <c r="K3" s="3">
        <f ca="1">IF(NOT(ISNUMBER(OFFSET(tblDimAppearance[[#This Row],[Score]],-1,0))),1,SUM(OFFSET(tblDimAppearance[[#This Row],[Score]],-1,0),-1/ROWS(tblDimAppearance[Score])))</f>
        <v>0.95</v>
      </c>
      <c r="L3" s="17" t="s">
        <v>189</v>
      </c>
      <c r="N3" s="3">
        <f ca="1">IF(NOT(ISNUMBER(OFFSET(tblDimHighAbility[[#This Row],[Score]],-1,0))),1,SUM(OFFSET(tblDimHighAbility[[#This Row],[Score]],-1,0),-1/ROWS(tblDimHighAbility[Score])))</f>
        <v>0.83333333333333337</v>
      </c>
      <c r="O3" s="17" t="s">
        <v>190</v>
      </c>
    </row>
    <row r="4" spans="1:15" x14ac:dyDescent="0.15">
      <c r="D4" s="3">
        <f>1-_xlfn.NORM.DIST(ROW()-ROW(tblDimRace[#Headers]),ROWS(tblDimRace[Score])/2,(ROWS(tblDimRace[Score])/6),TRUE)</f>
        <v>0.84134474606854304</v>
      </c>
      <c r="E4" s="15" t="s">
        <v>192</v>
      </c>
      <c r="G4" s="3">
        <f>1-_xlfn.NORM.DIST(ROW()-ROW(tblDimCurrentAge[#Headers]),ROWS(tblDimCurrentAge[Score])/2,(ROWS(tblDimCurrentAge[Score])/6),TRUE)</f>
        <v>0.5</v>
      </c>
      <c r="H4" s="15">
        <v>31</v>
      </c>
      <c r="I4" s="15">
        <v>1</v>
      </c>
      <c r="K4" s="3">
        <f ca="1">IF(NOT(ISNUMBER(OFFSET(tblDimAppearance[[#This Row],[Score]],-1,0))),1,SUM(OFFSET(tblDimAppearance[[#This Row],[Score]],-1,0),-1/ROWS(tblDimAppearance[Score])))</f>
        <v>0.89999999999999991</v>
      </c>
      <c r="L4" s="17" t="s">
        <v>193</v>
      </c>
      <c r="N4" s="3">
        <f ca="1">IF(NOT(ISNUMBER(OFFSET(tblDimHighAbility[[#This Row],[Score]],-1,0))),1,SUM(OFFSET(tblDimHighAbility[[#This Row],[Score]],-1,0),-1/ROWS(tblDimHighAbility[Score])))</f>
        <v>0.66666666666666674</v>
      </c>
      <c r="O4" s="17" t="s">
        <v>194</v>
      </c>
    </row>
    <row r="5" spans="1:15" x14ac:dyDescent="0.15">
      <c r="D5" s="3">
        <f>1-_xlfn.NORM.DIST(ROW()-ROW(tblDimRace[#Headers]),ROWS(tblDimRace[Score])/2,(ROWS(tblDimRace[Score])/6),TRUE)</f>
        <v>0.63055865981823644</v>
      </c>
      <c r="E5" s="15" t="s">
        <v>195</v>
      </c>
      <c r="G5" s="3">
        <f>1-_xlfn.NORM.DIST(ROW()-ROW(tblDimCurrentAge[#Headers]),ROWS(tblDimCurrentAge[Score])/2,(ROWS(tblDimCurrentAge[Score])/6),TRUE)</f>
        <v>0.15865525393145696</v>
      </c>
      <c r="H5" s="15">
        <v>44</v>
      </c>
      <c r="I5" s="15">
        <v>6</v>
      </c>
      <c r="K5" s="3">
        <f ca="1">IF(NOT(ISNUMBER(OFFSET(tblDimAppearance[[#This Row],[Score]],-1,0))),1,SUM(OFFSET(tblDimAppearance[[#This Row],[Score]],-1,0),-1/ROWS(tblDimAppearance[Score])))</f>
        <v>0.84999999999999987</v>
      </c>
      <c r="L5" s="17" t="s">
        <v>196</v>
      </c>
      <c r="N5" s="3">
        <f ca="1">IF(NOT(ISNUMBER(OFFSET(tblDimHighAbility[[#This Row],[Score]],-1,0))),1,SUM(OFFSET(tblDimHighAbility[[#This Row],[Score]],-1,0),-1/ROWS(tblDimHighAbility[Score])))</f>
        <v>0.50000000000000011</v>
      </c>
      <c r="O5" s="17" t="s">
        <v>197</v>
      </c>
    </row>
    <row r="6" spans="1:15" x14ac:dyDescent="0.15">
      <c r="D6" s="32">
        <f>1-_xlfn.NORM.DIST(ROW()-ROW(tblDimRace[#Headers]),ROWS(tblDimRace[Score])/2,(ROWS(tblDimRace[Score])/6),TRUE)</f>
        <v>0.36944134018176356</v>
      </c>
      <c r="E6" s="15" t="s">
        <v>198</v>
      </c>
      <c r="G6" s="3">
        <f>1-_xlfn.NORM.DIST(ROW()-ROW(tblDimCurrentAge[#Headers]),ROWS(tblDimCurrentAge[Score])/2,(ROWS(tblDimCurrentAge[Score])/6),TRUE)</f>
        <v>2.2750131948179209E-2</v>
      </c>
      <c r="H6" s="15">
        <v>58</v>
      </c>
      <c r="I6" s="15">
        <v>10</v>
      </c>
      <c r="K6" s="3">
        <f ca="1">IF(NOT(ISNUMBER(OFFSET(tblDimAppearance[[#This Row],[Score]],-1,0))),1,SUM(OFFSET(tblDimAppearance[[#This Row],[Score]],-1,0),-1/ROWS(tblDimAppearance[Score])))</f>
        <v>0.79999999999999982</v>
      </c>
      <c r="L6" s="17" t="s">
        <v>199</v>
      </c>
      <c r="N6" s="3">
        <f ca="1">IF(NOT(ISNUMBER(OFFSET(tblDimHighAbility[[#This Row],[Score]],-1,0))),1,SUM(OFFSET(tblDimHighAbility[[#This Row],[Score]],-1,0),-1/ROWS(tblDimHighAbility[Score])))</f>
        <v>0.33333333333333348</v>
      </c>
      <c r="O6" s="17" t="s">
        <v>200</v>
      </c>
    </row>
    <row r="7" spans="1:15" x14ac:dyDescent="0.15">
      <c r="D7" s="3">
        <f>1-_xlfn.NORM.DIST(ROW()-ROW(tblDimRace[#Headers]),ROWS(tblDimRace[Score])/2,(ROWS(tblDimRace[Score])/6),TRUE)</f>
        <v>0.15865525393145696</v>
      </c>
      <c r="E7" s="15" t="s">
        <v>201</v>
      </c>
      <c r="G7" s="3">
        <f>1-_xlfn.NORM.DIST(ROW()-ROW(tblDimCurrentAge[#Headers]),ROWS(tblDimCurrentAge[Score])/2,(ROWS(tblDimCurrentAge[Score])/6),TRUE)</f>
        <v>1.3498980316301035E-3</v>
      </c>
      <c r="H7" s="15">
        <v>63</v>
      </c>
      <c r="I7" s="15">
        <v>5</v>
      </c>
      <c r="K7" s="3">
        <f ca="1">IF(NOT(ISNUMBER(OFFSET(tblDimAppearance[[#This Row],[Score]],-1,0))),1,SUM(OFFSET(tblDimAppearance[[#This Row],[Score]],-1,0),-1/ROWS(tblDimAppearance[Score])))</f>
        <v>0.74999999999999978</v>
      </c>
      <c r="L7" s="17" t="s">
        <v>202</v>
      </c>
      <c r="N7" s="3">
        <f ca="1">IF(NOT(ISNUMBER(OFFSET(tblDimHighAbility[[#This Row],[Score]],-1,0))),1,SUM(OFFSET(tblDimHighAbility[[#This Row],[Score]],-1,0),-1/ROWS(tblDimHighAbility[Score])))</f>
        <v>0.16666666666666682</v>
      </c>
      <c r="O7" s="17" t="s">
        <v>203</v>
      </c>
    </row>
    <row r="8" spans="1:15" x14ac:dyDescent="0.15">
      <c r="D8" s="3">
        <f>1-_xlfn.NORM.DIST(ROW()-ROW(tblDimRace[#Headers]),ROWS(tblDimRace[Score])/2,(ROWS(tblDimRace[Score])/6),TRUE)</f>
        <v>4.7790352272814696E-2</v>
      </c>
      <c r="E8" s="15" t="s">
        <v>204</v>
      </c>
      <c r="K8" s="3">
        <f ca="1">IF(NOT(ISNUMBER(OFFSET(tblDimAppearance[[#This Row],[Score]],-1,0))),1,SUM(OFFSET(tblDimAppearance[[#This Row],[Score]],-1,0),-1/ROWS(tblDimAppearance[Score])))</f>
        <v>0.69999999999999973</v>
      </c>
      <c r="L8" s="17" t="s">
        <v>205</v>
      </c>
    </row>
    <row r="9" spans="1:15" x14ac:dyDescent="0.15">
      <c r="D9" s="3">
        <f>1-_xlfn.NORM.DIST(ROW()-ROW(tblDimRace[#Headers]),ROWS(tblDimRace[Score])/2,(ROWS(tblDimRace[Score])/6),TRUE)</f>
        <v>9.8153286286453145E-3</v>
      </c>
      <c r="E9" s="15" t="s">
        <v>206</v>
      </c>
      <c r="K9" s="3">
        <f ca="1">IF(NOT(ISNUMBER(OFFSET(tblDimAppearance[[#This Row],[Score]],-1,0))),1,SUM(OFFSET(tblDimAppearance[[#This Row],[Score]],-1,0),-1/ROWS(tblDimAppearance[Score])))</f>
        <v>0.64999999999999969</v>
      </c>
      <c r="L9" s="17" t="s">
        <v>207</v>
      </c>
      <c r="N9" s="15" t="s">
        <v>0</v>
      </c>
      <c r="O9" s="15" t="s">
        <v>46</v>
      </c>
    </row>
    <row r="10" spans="1:15" x14ac:dyDescent="0.15">
      <c r="D10" s="3">
        <f>1-_xlfn.NORM.DIST(ROW()-ROW(tblDimRace[#Headers]),ROWS(tblDimRace[Score])/2,(ROWS(tblDimRace[Score])/6),TRUE)</f>
        <v>1.3498980316301035E-3</v>
      </c>
      <c r="E10" s="15" t="s">
        <v>208</v>
      </c>
      <c r="K10" s="3">
        <f ca="1">IF(NOT(ISNUMBER(OFFSET(tblDimAppearance[[#This Row],[Score]],-1,0))),1,SUM(OFFSET(tblDimAppearance[[#This Row],[Score]],-1,0),-1/ROWS(tblDimAppearance[Score])))</f>
        <v>0.59999999999999964</v>
      </c>
      <c r="L10" s="17" t="s">
        <v>209</v>
      </c>
      <c r="N10" s="34">
        <f ca="1">IF(NOT(ISNUMBER(OFFSET(tblDimLowAbility[[#This Row],[Score]],-1,0))),1,SUM(OFFSET(tblDimLowAbility[[#This Row],[Score]],-1,0),-1/ROWS(tblDimLowAbility[Score])))</f>
        <v>1</v>
      </c>
      <c r="O10" s="17" t="s">
        <v>210</v>
      </c>
    </row>
    <row r="11" spans="1:15" x14ac:dyDescent="0.15">
      <c r="K11" s="3">
        <f ca="1">IF(NOT(ISNUMBER(OFFSET(tblDimAppearance[[#This Row],[Score]],-1,0))),1,SUM(OFFSET(tblDimAppearance[[#This Row],[Score]],-1,0),-1/ROWS(tblDimAppearance[Score])))</f>
        <v>0.5499999999999996</v>
      </c>
      <c r="L11" s="17" t="s">
        <v>211</v>
      </c>
      <c r="N11" s="3">
        <f ca="1">IF(NOT(ISNUMBER(OFFSET(tblDimLowAbility[[#This Row],[Score]],-1,0))),1,SUM(OFFSET(tblDimLowAbility[[#This Row],[Score]],-1,0),-1/ROWS(tblDimLowAbility[Score])))</f>
        <v>0.83333333333333337</v>
      </c>
      <c r="O11" s="17" t="s">
        <v>212</v>
      </c>
    </row>
    <row r="12" spans="1:15" x14ac:dyDescent="0.15">
      <c r="K12" s="3">
        <f ca="1">IF(NOT(ISNUMBER(OFFSET(tblDimAppearance[[#This Row],[Score]],-1,0))),1,SUM(OFFSET(tblDimAppearance[[#This Row],[Score]],-1,0),-1/ROWS(tblDimAppearance[Score])))</f>
        <v>0.49999999999999961</v>
      </c>
      <c r="L12" s="17" t="s">
        <v>213</v>
      </c>
      <c r="N12" s="3">
        <f ca="1">IF(NOT(ISNUMBER(OFFSET(tblDimLowAbility[[#This Row],[Score]],-1,0))),1,SUM(OFFSET(tblDimLowAbility[[#This Row],[Score]],-1,0),-1/ROWS(tblDimLowAbility[Score])))</f>
        <v>0.66666666666666674</v>
      </c>
      <c r="O12" s="17" t="s">
        <v>214</v>
      </c>
    </row>
    <row r="13" spans="1:15" x14ac:dyDescent="0.15">
      <c r="K13" s="3">
        <f ca="1">IF(NOT(ISNUMBER(OFFSET(tblDimAppearance[[#This Row],[Score]],-1,0))),1,SUM(OFFSET(tblDimAppearance[[#This Row],[Score]],-1,0),-1/ROWS(tblDimAppearance[Score])))</f>
        <v>0.44999999999999962</v>
      </c>
      <c r="L13" s="17" t="s">
        <v>215</v>
      </c>
      <c r="N13" s="3">
        <f ca="1">IF(NOT(ISNUMBER(OFFSET(tblDimLowAbility[[#This Row],[Score]],-1,0))),1,SUM(OFFSET(tblDimLowAbility[[#This Row],[Score]],-1,0),-1/ROWS(tblDimLowAbility[Score])))</f>
        <v>0.50000000000000011</v>
      </c>
      <c r="O13" s="17" t="s">
        <v>216</v>
      </c>
    </row>
    <row r="14" spans="1:15" x14ac:dyDescent="0.15">
      <c r="K14" s="3">
        <f ca="1">IF(NOT(ISNUMBER(OFFSET(tblDimAppearance[[#This Row],[Score]],-1,0))),1,SUM(OFFSET(tblDimAppearance[[#This Row],[Score]],-1,0),-1/ROWS(tblDimAppearance[Score])))</f>
        <v>0.39999999999999963</v>
      </c>
      <c r="L14" s="17" t="s">
        <v>217</v>
      </c>
      <c r="N14" s="3">
        <f ca="1">IF(NOT(ISNUMBER(OFFSET(tblDimLowAbility[[#This Row],[Score]],-1,0))),1,SUM(OFFSET(tblDimLowAbility[[#This Row],[Score]],-1,0),-1/ROWS(tblDimLowAbility[Score])))</f>
        <v>0.33333333333333348</v>
      </c>
      <c r="O14" s="17" t="s">
        <v>218</v>
      </c>
    </row>
    <row r="15" spans="1:15" x14ac:dyDescent="0.15">
      <c r="K15" s="3">
        <f ca="1">IF(NOT(ISNUMBER(OFFSET(tblDimAppearance[[#This Row],[Score]],-1,0))),1,SUM(OFFSET(tblDimAppearance[[#This Row],[Score]],-1,0),-1/ROWS(tblDimAppearance[Score])))</f>
        <v>0.34999999999999964</v>
      </c>
      <c r="L15" s="17" t="s">
        <v>219</v>
      </c>
      <c r="N15" s="3">
        <f ca="1">IF(NOT(ISNUMBER(OFFSET(tblDimLowAbility[[#This Row],[Score]],-1,0))),1,SUM(OFFSET(tblDimLowAbility[[#This Row],[Score]],-1,0),-1/ROWS(tblDimLowAbility[Score])))</f>
        <v>0.16666666666666682</v>
      </c>
      <c r="O15" s="17" t="s">
        <v>220</v>
      </c>
    </row>
    <row r="16" spans="1:15" x14ac:dyDescent="0.15">
      <c r="K16" s="3">
        <f ca="1">IF(NOT(ISNUMBER(OFFSET(tblDimAppearance[[#This Row],[Score]],-1,0))),1,SUM(OFFSET(tblDimAppearance[[#This Row],[Score]],-1,0),-1/ROWS(tblDimAppearance[Score])))</f>
        <v>0.29999999999999966</v>
      </c>
      <c r="L16" s="17" t="s">
        <v>221</v>
      </c>
    </row>
    <row r="17" spans="11:12" x14ac:dyDescent="0.15">
      <c r="K17" s="3">
        <f ca="1">IF(NOT(ISNUMBER(OFFSET(tblDimAppearance[[#This Row],[Score]],-1,0))),1,SUM(OFFSET(tblDimAppearance[[#This Row],[Score]],-1,0),-1/ROWS(tblDimAppearance[Score])))</f>
        <v>0.24999999999999967</v>
      </c>
      <c r="L17" s="17" t="s">
        <v>1237</v>
      </c>
    </row>
    <row r="18" spans="11:12" x14ac:dyDescent="0.15">
      <c r="K18" s="3">
        <f ca="1">IF(NOT(ISNUMBER(OFFSET(tblDimAppearance[[#This Row],[Score]],-1,0))),1,SUM(OFFSET(tblDimAppearance[[#This Row],[Score]],-1,0),-1/ROWS(tblDimAppearance[Score])))</f>
        <v>0.19999999999999968</v>
      </c>
      <c r="L18" s="17" t="s">
        <v>222</v>
      </c>
    </row>
    <row r="19" spans="11:12" x14ac:dyDescent="0.15">
      <c r="K19" s="3">
        <f ca="1">IF(NOT(ISNUMBER(OFFSET(tblDimAppearance[[#This Row],[Score]],-1,0))),1,SUM(OFFSET(tblDimAppearance[[#This Row],[Score]],-1,0),-1/ROWS(tblDimAppearance[Score])))</f>
        <v>0.14999999999999969</v>
      </c>
      <c r="L19" s="17" t="s">
        <v>223</v>
      </c>
    </row>
    <row r="20" spans="11:12" x14ac:dyDescent="0.15">
      <c r="K20" s="3">
        <f ca="1">IF(NOT(ISNUMBER(OFFSET(tblDimAppearance[[#This Row],[Score]],-1,0))),1,SUM(OFFSET(tblDimAppearance[[#This Row],[Score]],-1,0),-1/ROWS(tblDimAppearance[Score])))</f>
        <v>9.9999999999999686E-2</v>
      </c>
      <c r="L20" s="17" t="s">
        <v>224</v>
      </c>
    </row>
    <row r="21" spans="11:12" x14ac:dyDescent="0.15">
      <c r="K21" s="3">
        <f ca="1">IF(NOT(ISNUMBER(OFFSET(tblDimAppearance[[#This Row],[Score]],-1,0))),1,SUM(OFFSET(tblDimAppearance[[#This Row],[Score]],-1,0),-1/ROWS(tblDimAppearance[Score])))</f>
        <v>4.9999999999999684E-2</v>
      </c>
      <c r="L21" s="17" t="s">
        <v>225</v>
      </c>
    </row>
    <row r="22" spans="11:12" x14ac:dyDescent="0.15">
      <c r="L22" s="17"/>
    </row>
    <row r="23" spans="11:12" x14ac:dyDescent="0.15">
      <c r="L23" s="17"/>
    </row>
    <row r="24" spans="11:12" x14ac:dyDescent="0.15">
      <c r="L24" s="17"/>
    </row>
    <row r="25" spans="11:12" x14ac:dyDescent="0.15">
      <c r="L25" s="17"/>
    </row>
    <row r="26" spans="11:12" x14ac:dyDescent="0.15">
      <c r="L26" s="17"/>
    </row>
    <row r="27" spans="11:12" x14ac:dyDescent="0.15">
      <c r="L27" s="17"/>
    </row>
    <row r="28" spans="11:12" x14ac:dyDescent="0.15">
      <c r="L28" s="17"/>
    </row>
    <row r="29" spans="11:12" x14ac:dyDescent="0.15">
      <c r="L29" s="17"/>
    </row>
    <row r="30" spans="11:12" x14ac:dyDescent="0.15">
      <c r="L30" s="17"/>
    </row>
    <row r="31" spans="11:12" x14ac:dyDescent="0.15">
      <c r="L31" s="17"/>
    </row>
    <row r="32" spans="11:12" x14ac:dyDescent="0.15">
      <c r="L32" s="17"/>
    </row>
    <row r="33" spans="12:12" x14ac:dyDescent="0.15">
      <c r="L33" s="17"/>
    </row>
  </sheetData>
  <pageMargins left="0.7" right="0.7" top="0.75" bottom="0.75" header="0.3" footer="0.3"/>
  <pageSetup orientation="portrait" horizontalDpi="0" verticalDpi="0"/>
  <tableParts count="6">
    <tablePart r:id="rId1"/>
    <tablePart r:id="rId2"/>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B13"/>
  <sheetViews>
    <sheetView zoomScale="75" zoomScaleNormal="75" zoomScalePageLayoutView="75" workbookViewId="0">
      <selection activeCell="A2" sqref="A2:A13"/>
    </sheetView>
  </sheetViews>
  <sheetFormatPr baseColWidth="10" defaultColWidth="9" defaultRowHeight="15" x14ac:dyDescent="0.2"/>
  <cols>
    <col min="1" max="1" width="8" style="15" bestFit="1" customWidth="1"/>
    <col min="2" max="2" width="9.3984375" style="15" bestFit="1" customWidth="1"/>
    <col min="3" max="3" width="2.19921875" style="21" customWidth="1"/>
    <col min="4" max="16384" width="9" style="21"/>
  </cols>
  <sheetData>
    <row r="1" spans="1:2" x14ac:dyDescent="0.2">
      <c r="A1" s="15" t="s">
        <v>0</v>
      </c>
      <c r="B1" s="15" t="s">
        <v>47</v>
      </c>
    </row>
    <row r="2" spans="1:2" x14ac:dyDescent="0.2">
      <c r="A2" s="34">
        <f ca="1">IF(NOT(ISNUMBER(OFFSET(tblDimClass[[#This Row],[Score]],-1,0))),1,SUM(OFFSET(tblDimClass[[#This Row],[Score]],-1,0),-1/ROWS(tblDimClass[Score])))</f>
        <v>1</v>
      </c>
      <c r="B2" s="15" t="s">
        <v>226</v>
      </c>
    </row>
    <row r="3" spans="1:2" x14ac:dyDescent="0.2">
      <c r="A3" s="3">
        <f ca="1">IF(NOT(ISNUMBER(OFFSET(tblDimClass[[#This Row],[Score]],-1,0))),1,SUM(OFFSET(tblDimClass[[#This Row],[Score]],-1,0),-1/ROWS(tblDimClass[Score])))</f>
        <v>0.91666666666666663</v>
      </c>
      <c r="B3" s="15" t="s">
        <v>227</v>
      </c>
    </row>
    <row r="4" spans="1:2" x14ac:dyDescent="0.2">
      <c r="A4" s="3">
        <f ca="1">IF(NOT(ISNUMBER(OFFSET(tblDimClass[[#This Row],[Score]],-1,0))),1,SUM(OFFSET(tblDimClass[[#This Row],[Score]],-1,0),-1/ROWS(tblDimClass[Score])))</f>
        <v>0.83333333333333326</v>
      </c>
      <c r="B4" s="15" t="s">
        <v>228</v>
      </c>
    </row>
    <row r="5" spans="1:2" x14ac:dyDescent="0.2">
      <c r="A5" s="3">
        <f ca="1">IF(NOT(ISNUMBER(OFFSET(tblDimClass[[#This Row],[Score]],-1,0))),1,SUM(OFFSET(tblDimClass[[#This Row],[Score]],-1,0),-1/ROWS(tblDimClass[Score])))</f>
        <v>0.74999999999999989</v>
      </c>
      <c r="B5" s="15" t="s">
        <v>229</v>
      </c>
    </row>
    <row r="6" spans="1:2" x14ac:dyDescent="0.2">
      <c r="A6" s="3">
        <f ca="1">IF(NOT(ISNUMBER(OFFSET(tblDimClass[[#This Row],[Score]],-1,0))),1,SUM(OFFSET(tblDimClass[[#This Row],[Score]],-1,0),-1/ROWS(tblDimClass[Score])))</f>
        <v>0.66666666666666652</v>
      </c>
      <c r="B6" s="15" t="s">
        <v>230</v>
      </c>
    </row>
    <row r="7" spans="1:2" x14ac:dyDescent="0.2">
      <c r="A7" s="3">
        <f ca="1">IF(NOT(ISNUMBER(OFFSET(tblDimClass[[#This Row],[Score]],-1,0))),1,SUM(OFFSET(tblDimClass[[#This Row],[Score]],-1,0),-1/ROWS(tblDimClass[Score])))</f>
        <v>0.58333333333333315</v>
      </c>
      <c r="B7" s="15" t="s">
        <v>231</v>
      </c>
    </row>
    <row r="8" spans="1:2" x14ac:dyDescent="0.2">
      <c r="A8" s="3">
        <f ca="1">IF(NOT(ISNUMBER(OFFSET(tblDimClass[[#This Row],[Score]],-1,0))),1,SUM(OFFSET(tblDimClass[[#This Row],[Score]],-1,0),-1/ROWS(tblDimClass[Score])))</f>
        <v>0.49999999999999983</v>
      </c>
      <c r="B8" s="15" t="s">
        <v>232</v>
      </c>
    </row>
    <row r="9" spans="1:2" x14ac:dyDescent="0.2">
      <c r="A9" s="3">
        <f ca="1">IF(NOT(ISNUMBER(OFFSET(tblDimClass[[#This Row],[Score]],-1,0))),1,SUM(OFFSET(tblDimClass[[#This Row],[Score]],-1,0),-1/ROWS(tblDimClass[Score])))</f>
        <v>0.41666666666666652</v>
      </c>
      <c r="B9" s="15" t="s">
        <v>233</v>
      </c>
    </row>
    <row r="10" spans="1:2" x14ac:dyDescent="0.2">
      <c r="A10" s="3">
        <f ca="1">IF(NOT(ISNUMBER(OFFSET(tblDimClass[[#This Row],[Score]],-1,0))),1,SUM(OFFSET(tblDimClass[[#This Row],[Score]],-1,0),-1/ROWS(tblDimClass[Score])))</f>
        <v>0.3333333333333332</v>
      </c>
      <c r="B10" s="15" t="s">
        <v>234</v>
      </c>
    </row>
    <row r="11" spans="1:2" x14ac:dyDescent="0.2">
      <c r="A11" s="3">
        <f ca="1">IF(NOT(ISNUMBER(OFFSET(tblDimClass[[#This Row],[Score]],-1,0))),1,SUM(OFFSET(tblDimClass[[#This Row],[Score]],-1,0),-1/ROWS(tblDimClass[Score])))</f>
        <v>0.24999999999999989</v>
      </c>
      <c r="B11" s="15" t="s">
        <v>235</v>
      </c>
    </row>
    <row r="12" spans="1:2" x14ac:dyDescent="0.2">
      <c r="A12" s="3">
        <f ca="1">IF(NOT(ISNUMBER(OFFSET(tblDimClass[[#This Row],[Score]],-1,0))),1,SUM(OFFSET(tblDimClass[[#This Row],[Score]],-1,0),-1/ROWS(tblDimClass[Score])))</f>
        <v>0.16666666666666657</v>
      </c>
      <c r="B12" s="15" t="s">
        <v>236</v>
      </c>
    </row>
    <row r="13" spans="1:2" x14ac:dyDescent="0.2">
      <c r="A13" s="3">
        <f ca="1">IF(NOT(ISNUMBER(OFFSET(tblDimClass[[#This Row],[Score]],-1,0))),1,SUM(OFFSET(tblDimClass[[#This Row],[Score]],-1,0),-1/ROWS(tblDimClass[Score])))</f>
        <v>8.3333333333333245E-2</v>
      </c>
      <c r="B13" s="15" t="s">
        <v>237</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dimension ref="A1:B17"/>
  <sheetViews>
    <sheetView zoomScale="75" zoomScaleNormal="75" zoomScalePageLayoutView="75" workbookViewId="0">
      <selection activeCell="B10" sqref="B10"/>
    </sheetView>
  </sheetViews>
  <sheetFormatPr baseColWidth="10" defaultColWidth="9" defaultRowHeight="15" x14ac:dyDescent="0.2"/>
  <cols>
    <col min="1" max="1" width="9" style="15"/>
    <col min="2" max="2" width="69.796875" style="15" bestFit="1" customWidth="1"/>
    <col min="3" max="3" width="2.19921875" style="21" customWidth="1"/>
    <col min="4" max="16384" width="9" style="21"/>
  </cols>
  <sheetData>
    <row r="1" spans="1:2" x14ac:dyDescent="0.2">
      <c r="A1" s="15" t="s">
        <v>0</v>
      </c>
      <c r="B1" s="15" t="s">
        <v>48</v>
      </c>
    </row>
    <row r="2" spans="1:2" x14ac:dyDescent="0.2">
      <c r="A2" s="34">
        <f>1-_xlfn.NORM.DIST(ROW()-ROW(tblDimAlignment[#Headers]),ROWS(tblDimAlignment[Score])/2,(ROWS(tblDimAlignment[Score])/6),TRUE)</f>
        <v>0.98393771439617173</v>
      </c>
      <c r="B2" s="39" t="s">
        <v>1253</v>
      </c>
    </row>
    <row r="3" spans="1:2" x14ac:dyDescent="0.2">
      <c r="A3" s="3">
        <f>1-_xlfn.NORM.DIST(ROW()-ROW(tblDimAlignment[#Headers]),ROWS(tblDimAlignment[Score])/2,(ROWS(tblDimAlignment[Score])/6),TRUE)</f>
        <v>0.90072860315666903</v>
      </c>
      <c r="B3" s="39" t="s">
        <v>240</v>
      </c>
    </row>
    <row r="4" spans="1:2" x14ac:dyDescent="0.2">
      <c r="A4" s="3">
        <f>1-_xlfn.NORM.DIST(ROW()-ROW(tblDimAlignment[#Headers]),ROWS(tblDimAlignment[Score])/2,(ROWS(tblDimAlignment[Score])/6),TRUE)</f>
        <v>0.66588242910237538</v>
      </c>
      <c r="B4" s="39" t="s">
        <v>238</v>
      </c>
    </row>
    <row r="5" spans="1:2" x14ac:dyDescent="0.2">
      <c r="A5" s="3">
        <f>1-_xlfn.NORM.DIST(ROW()-ROW(tblDimAlignment[#Headers]),ROWS(tblDimAlignment[Score])/2,(ROWS(tblDimAlignment[Score])/6),TRUE)</f>
        <v>0.33411757089762462</v>
      </c>
      <c r="B5" s="39" t="s">
        <v>1254</v>
      </c>
    </row>
    <row r="6" spans="1:2" x14ac:dyDescent="0.2">
      <c r="A6" s="3">
        <f>1-_xlfn.NORM.DIST(ROW()-ROW(tblDimAlignment[#Headers]),ROWS(tblDimAlignment[Score])/2,(ROWS(tblDimAlignment[Score])/6),TRUE)</f>
        <v>9.9271396843330972E-2</v>
      </c>
      <c r="B6" s="39" t="s">
        <v>241</v>
      </c>
    </row>
    <row r="7" spans="1:2" x14ac:dyDescent="0.2">
      <c r="A7" s="3">
        <f>1-_xlfn.NORM.DIST(ROW()-ROW(tblDimAlignment[#Headers]),ROWS(tblDimAlignment[Score])/2,(ROWS(tblDimAlignment[Score])/6),TRUE)</f>
        <v>1.6062285603828275E-2</v>
      </c>
      <c r="B7" s="39" t="s">
        <v>1255</v>
      </c>
    </row>
    <row r="8" spans="1:2" x14ac:dyDescent="0.2">
      <c r="A8" s="3">
        <f>1-_xlfn.NORM.DIST(ROW()-ROW(tblDimAlignment[#Headers]),ROWS(tblDimAlignment[Score])/2,(ROWS(tblDimAlignment[Score])/6),TRUE)</f>
        <v>1.3498980316301035E-3</v>
      </c>
      <c r="B8" s="39" t="s">
        <v>239</v>
      </c>
    </row>
    <row r="11" spans="1:2" x14ac:dyDescent="0.2">
      <c r="B11" s="39"/>
    </row>
    <row r="12" spans="1:2" x14ac:dyDescent="0.2">
      <c r="B12" s="39"/>
    </row>
    <row r="13" spans="1:2" x14ac:dyDescent="0.2">
      <c r="B13" s="39"/>
    </row>
    <row r="14" spans="1:2" x14ac:dyDescent="0.2">
      <c r="B14" s="39"/>
    </row>
    <row r="15" spans="1:2" x14ac:dyDescent="0.2">
      <c r="B15" s="39"/>
    </row>
    <row r="16" spans="1:2" x14ac:dyDescent="0.2">
      <c r="B16" s="39"/>
    </row>
    <row r="17" spans="2:2" x14ac:dyDescent="0.2">
      <c r="B17" s="39"/>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T105"/>
  <sheetViews>
    <sheetView zoomScale="75" zoomScaleNormal="75" zoomScalePageLayoutView="75" workbookViewId="0"/>
  </sheetViews>
  <sheetFormatPr baseColWidth="10" defaultColWidth="9" defaultRowHeight="15" x14ac:dyDescent="0.2"/>
  <cols>
    <col min="1" max="1" width="9" style="3"/>
    <col min="2" max="2" width="125.796875" style="15" bestFit="1" customWidth="1"/>
    <col min="3" max="3" width="2.19921875" style="15" customWidth="1"/>
    <col min="4" max="4" width="9" style="3"/>
    <col min="5" max="5" width="123" style="15" bestFit="1" customWidth="1"/>
    <col min="6" max="6" width="2.19921875" style="15" customWidth="1"/>
    <col min="7" max="7" width="9" style="3"/>
    <col min="8" max="8" width="118.19921875" style="15" bestFit="1" customWidth="1"/>
    <col min="9" max="9" width="2.19921875" style="15" customWidth="1"/>
    <col min="10" max="10" width="9" style="15"/>
    <col min="11" max="11" width="111" style="15" bestFit="1" customWidth="1"/>
    <col min="12" max="12" width="2.19921875" style="15" customWidth="1"/>
    <col min="13" max="13" width="9" style="3"/>
    <col min="14" max="14" width="35.19921875" style="15" bestFit="1" customWidth="1"/>
    <col min="15" max="15" width="2.19921875" style="15" customWidth="1"/>
    <col min="16" max="16" width="9" style="3"/>
    <col min="17" max="17" width="44.19921875" style="15" bestFit="1" customWidth="1"/>
    <col min="18" max="18" width="2.19921875" style="15" customWidth="1"/>
    <col min="19" max="19" width="9" style="3"/>
    <col min="20" max="20" width="19" style="15" bestFit="1" customWidth="1"/>
    <col min="21" max="21" width="2" style="21" customWidth="1"/>
    <col min="22" max="16384" width="9" style="21"/>
  </cols>
  <sheetData>
    <row r="1" spans="1:20" x14ac:dyDescent="0.2">
      <c r="A1" s="3" t="s">
        <v>0</v>
      </c>
      <c r="B1" s="15" t="s">
        <v>242</v>
      </c>
      <c r="D1" s="3" t="s">
        <v>0</v>
      </c>
      <c r="E1" s="15" t="s">
        <v>51</v>
      </c>
      <c r="G1" s="3" t="s">
        <v>0</v>
      </c>
      <c r="H1" s="15" t="s">
        <v>52</v>
      </c>
      <c r="J1" s="15" t="s">
        <v>0</v>
      </c>
      <c r="K1" s="15" t="s">
        <v>53</v>
      </c>
      <c r="M1" s="3" t="s">
        <v>0</v>
      </c>
      <c r="N1" s="15" t="s">
        <v>54</v>
      </c>
      <c r="P1" s="3" t="s">
        <v>0</v>
      </c>
      <c r="Q1" s="15" t="s">
        <v>55</v>
      </c>
      <c r="S1" s="3" t="s">
        <v>0</v>
      </c>
      <c r="T1" s="15" t="s">
        <v>243</v>
      </c>
    </row>
    <row r="2" spans="1:20" x14ac:dyDescent="0.2">
      <c r="A2" s="34">
        <f ca="1">IF(NOT(ISNUMBER(OFFSET(tblDimPersonalityTrait[[#This Row],[Score]],-1,0))),1,SUM(OFFSET(tblDimPersonalityTrait[[#This Row],[Score]],-1,0),-1/ROWS(tblDimPersonalityTrait[Score])))</f>
        <v>1</v>
      </c>
      <c r="B2" s="15" t="s">
        <v>244</v>
      </c>
      <c r="D2" s="34">
        <f ca="1">IF(NOT(ISNUMBER(OFFSET(tblDimIdeal[[#This Row],[Score]],-1,0))),1,SUM(OFFSET(tblDimIdeal[[#This Row],[Score]],-1,0),-1/ROWS(tblDimIdeal[Score])))</f>
        <v>1</v>
      </c>
      <c r="E2" s="15" t="s">
        <v>245</v>
      </c>
      <c r="G2" s="34">
        <f ca="1">IF(NOT(ISNUMBER(OFFSET(tblDimBond[[#This Row],[Score]],-1,0))),1,SUM(OFFSET(tblDimBond[[#This Row],[Score]],-1,0),-1/ROWS(tblDimBond[Score])))</f>
        <v>1</v>
      </c>
      <c r="H2" s="15" t="s">
        <v>246</v>
      </c>
      <c r="J2" s="34">
        <f ca="1">IF(NOT(ISNUMBER(OFFSET(tblDimFlaw[[#This Row],[Score]],-1,0))),1,SUM(OFFSET(tblDimFlaw[[#This Row],[Score]],-1,0),-1/ROWS(tblDimFlaw[Score])))</f>
        <v>1</v>
      </c>
      <c r="K2" s="15" t="s">
        <v>247</v>
      </c>
      <c r="M2" s="34">
        <f ca="1">IF(NOT(ISNUMBER(OFFSET(tblDimTalents[[#This Row],[Score]],-1,0))),1,SUM(OFFSET(tblDimTalents[[#This Row],[Score]],-1,0),-1/ROWS(tblDimTalents[Score])))</f>
        <v>1</v>
      </c>
      <c r="N2" s="17" t="s">
        <v>248</v>
      </c>
      <c r="P2" s="34">
        <f ca="1">IF(NOT(ISNUMBER(OFFSET(tblDimMannerisms[[#This Row],[Score]],-1,0))),1,SUM(OFFSET(tblDimMannerisms[[#This Row],[Score]],-1,0),-1/ROWS(tblDimMannerisms[Score])))</f>
        <v>1</v>
      </c>
      <c r="Q2" s="15" t="s">
        <v>249</v>
      </c>
      <c r="S2" s="34">
        <f ca="1">IF(NOT(ISNUMBER(OFFSET(tblDimInteractionTraits[[#This Row],[Score]],-1,0))),1,SUM(OFFSET(tblDimInteractionTraits[[#This Row],[Score]],-1,0),-1/ROWS(tblDimInteractionTraits[Score])))</f>
        <v>1</v>
      </c>
      <c r="T2" s="33" t="s">
        <v>1248</v>
      </c>
    </row>
    <row r="3" spans="1:20" x14ac:dyDescent="0.2">
      <c r="A3" s="3">
        <f ca="1">IF(NOT(ISNUMBER(OFFSET(tblDimPersonalityTrait[[#This Row],[Score]],-1,0))),1,SUM(OFFSET(tblDimPersonalityTrait[[#This Row],[Score]],-1,0),-1/ROWS(tblDimPersonalityTrait[Score])))</f>
        <v>0.99038461538461542</v>
      </c>
      <c r="B3" s="15" t="s">
        <v>250</v>
      </c>
      <c r="D3" s="3">
        <f ca="1">IF(NOT(ISNUMBER(OFFSET(tblDimIdeal[[#This Row],[Score]],-1,0))),1,SUM(OFFSET(tblDimIdeal[[#This Row],[Score]],-1,0),-1/ROWS(tblDimIdeal[Score])))</f>
        <v>0.98717948717948723</v>
      </c>
      <c r="E3" s="15" t="s">
        <v>251</v>
      </c>
      <c r="G3" s="3">
        <f ca="1">IF(NOT(ISNUMBER(OFFSET(tblDimBond[[#This Row],[Score]],-1,0))),1,SUM(OFFSET(tblDimBond[[#This Row],[Score]],-1,0),-1/ROWS(tblDimBond[Score])))</f>
        <v>0.98717948717948723</v>
      </c>
      <c r="H3" s="15" t="s">
        <v>252</v>
      </c>
      <c r="J3" s="3">
        <f ca="1">IF(NOT(ISNUMBER(OFFSET(tblDimFlaw[[#This Row],[Score]],-1,0))),1,SUM(OFFSET(tblDimFlaw[[#This Row],[Score]],-1,0),-1/ROWS(tblDimFlaw[Score])))</f>
        <v>0.98717948717948723</v>
      </c>
      <c r="K3" s="15" t="s">
        <v>253</v>
      </c>
      <c r="M3" s="3">
        <f ca="1">IF(NOT(ISNUMBER(OFFSET(tblDimTalents[[#This Row],[Score]],-1,0))),1,SUM(OFFSET(tblDimTalents[[#This Row],[Score]],-1,0),-1/ROWS(tblDimTalents[Score])))</f>
        <v>0.95</v>
      </c>
      <c r="N3" s="17" t="s">
        <v>254</v>
      </c>
      <c r="P3" s="3">
        <f ca="1">IF(NOT(ISNUMBER(OFFSET(tblDimMannerisms[[#This Row],[Score]],-1,0))),1,SUM(OFFSET(tblDimMannerisms[[#This Row],[Score]],-1,0),-1/ROWS(tblDimMannerisms[Score])))</f>
        <v>0.95454545454545459</v>
      </c>
      <c r="Q3" s="15" t="s">
        <v>255</v>
      </c>
      <c r="S3" s="3">
        <f ca="1">IF(NOT(ISNUMBER(OFFSET(tblDimInteractionTraits[[#This Row],[Score]],-1,0))),1,SUM(OFFSET(tblDimInteractionTraits[[#This Row],[Score]],-1,0),-1/ROWS(tblDimInteractionTraits[Score])))</f>
        <v>0.91666666666666663</v>
      </c>
      <c r="T3" s="17" t="s">
        <v>256</v>
      </c>
    </row>
    <row r="4" spans="1:20" x14ac:dyDescent="0.2">
      <c r="A4" s="3">
        <f ca="1">IF(NOT(ISNUMBER(OFFSET(tblDimPersonalityTrait[[#This Row],[Score]],-1,0))),1,SUM(OFFSET(tblDimPersonalityTrait[[#This Row],[Score]],-1,0),-1/ROWS(tblDimPersonalityTrait[Score])))</f>
        <v>0.98076923076923084</v>
      </c>
      <c r="B4" s="15" t="s">
        <v>257</v>
      </c>
      <c r="D4" s="3">
        <f ca="1">IF(NOT(ISNUMBER(OFFSET(tblDimIdeal[[#This Row],[Score]],-1,0))),1,SUM(OFFSET(tblDimIdeal[[#This Row],[Score]],-1,0),-1/ROWS(tblDimIdeal[Score])))</f>
        <v>0.97435897435897445</v>
      </c>
      <c r="E4" s="15" t="s">
        <v>258</v>
      </c>
      <c r="G4" s="3">
        <f ca="1">IF(NOT(ISNUMBER(OFFSET(tblDimBond[[#This Row],[Score]],-1,0))),1,SUM(OFFSET(tblDimBond[[#This Row],[Score]],-1,0),-1/ROWS(tblDimBond[Score])))</f>
        <v>0.97435897435897445</v>
      </c>
      <c r="H4" s="15" t="s">
        <v>259</v>
      </c>
      <c r="J4" s="3">
        <f ca="1">IF(NOT(ISNUMBER(OFFSET(tblDimFlaw[[#This Row],[Score]],-1,0))),1,SUM(OFFSET(tblDimFlaw[[#This Row],[Score]],-1,0),-1/ROWS(tblDimFlaw[Score])))</f>
        <v>0.97435897435897445</v>
      </c>
      <c r="K4" s="15" t="s">
        <v>260</v>
      </c>
      <c r="M4" s="3">
        <f ca="1">IF(NOT(ISNUMBER(OFFSET(tblDimTalents[[#This Row],[Score]],-1,0))),1,SUM(OFFSET(tblDimTalents[[#This Row],[Score]],-1,0),-1/ROWS(tblDimTalents[Score])))</f>
        <v>0.89999999999999991</v>
      </c>
      <c r="N4" s="17" t="s">
        <v>261</v>
      </c>
      <c r="P4" s="3">
        <f ca="1">IF(NOT(ISNUMBER(OFFSET(tblDimMannerisms[[#This Row],[Score]],-1,0))),1,SUM(OFFSET(tblDimMannerisms[[#This Row],[Score]],-1,0),-1/ROWS(tblDimMannerisms[Score])))</f>
        <v>0.90909090909090917</v>
      </c>
      <c r="Q4" s="15" t="s">
        <v>262</v>
      </c>
      <c r="S4" s="3">
        <f ca="1">IF(NOT(ISNUMBER(OFFSET(tblDimInteractionTraits[[#This Row],[Score]],-1,0))),1,SUM(OFFSET(tblDimInteractionTraits[[#This Row],[Score]],-1,0),-1/ROWS(tblDimInteractionTraits[Score])))</f>
        <v>0.83333333333333326</v>
      </c>
      <c r="T4" s="17" t="s">
        <v>263</v>
      </c>
    </row>
    <row r="5" spans="1:20" x14ac:dyDescent="0.2">
      <c r="A5" s="3">
        <f ca="1">IF(NOT(ISNUMBER(OFFSET(tblDimPersonalityTrait[[#This Row],[Score]],-1,0))),1,SUM(OFFSET(tblDimPersonalityTrait[[#This Row],[Score]],-1,0),-1/ROWS(tblDimPersonalityTrait[Score])))</f>
        <v>0.97115384615384626</v>
      </c>
      <c r="B5" s="15" t="s">
        <v>264</v>
      </c>
      <c r="D5" s="3">
        <f ca="1">IF(NOT(ISNUMBER(OFFSET(tblDimIdeal[[#This Row],[Score]],-1,0))),1,SUM(OFFSET(tblDimIdeal[[#This Row],[Score]],-1,0),-1/ROWS(tblDimIdeal[Score])))</f>
        <v>0.96153846153846168</v>
      </c>
      <c r="E5" s="15" t="s">
        <v>265</v>
      </c>
      <c r="G5" s="3">
        <f ca="1">IF(NOT(ISNUMBER(OFFSET(tblDimBond[[#This Row],[Score]],-1,0))),1,SUM(OFFSET(tblDimBond[[#This Row],[Score]],-1,0),-1/ROWS(tblDimBond[Score])))</f>
        <v>0.96153846153846168</v>
      </c>
      <c r="H5" s="15" t="s">
        <v>266</v>
      </c>
      <c r="J5" s="3">
        <f ca="1">IF(NOT(ISNUMBER(OFFSET(tblDimFlaw[[#This Row],[Score]],-1,0))),1,SUM(OFFSET(tblDimFlaw[[#This Row],[Score]],-1,0),-1/ROWS(tblDimFlaw[Score])))</f>
        <v>0.96153846153846168</v>
      </c>
      <c r="K5" s="15" t="s">
        <v>267</v>
      </c>
      <c r="M5" s="3">
        <f ca="1">IF(NOT(ISNUMBER(OFFSET(tblDimTalents[[#This Row],[Score]],-1,0))),1,SUM(OFFSET(tblDimTalents[[#This Row],[Score]],-1,0),-1/ROWS(tblDimTalents[Score])))</f>
        <v>0.84999999999999987</v>
      </c>
      <c r="N5" s="17" t="s">
        <v>268</v>
      </c>
      <c r="P5" s="3">
        <f ca="1">IF(NOT(ISNUMBER(OFFSET(tblDimMannerisms[[#This Row],[Score]],-1,0))),1,SUM(OFFSET(tblDimMannerisms[[#This Row],[Score]],-1,0),-1/ROWS(tblDimMannerisms[Score])))</f>
        <v>0.86363636363636376</v>
      </c>
      <c r="Q5" s="15" t="s">
        <v>269</v>
      </c>
      <c r="S5" s="3">
        <f ca="1">IF(NOT(ISNUMBER(OFFSET(tblDimInteractionTraits[[#This Row],[Score]],-1,0))),1,SUM(OFFSET(tblDimInteractionTraits[[#This Row],[Score]],-1,0),-1/ROWS(tblDimInteractionTraits[Score])))</f>
        <v>0.74999999999999989</v>
      </c>
      <c r="T5" s="17" t="s">
        <v>270</v>
      </c>
    </row>
    <row r="6" spans="1:20" x14ac:dyDescent="0.2">
      <c r="A6" s="3">
        <f ca="1">IF(NOT(ISNUMBER(OFFSET(tblDimPersonalityTrait[[#This Row],[Score]],-1,0))),1,SUM(OFFSET(tblDimPersonalityTrait[[#This Row],[Score]],-1,0),-1/ROWS(tblDimPersonalityTrait[Score])))</f>
        <v>0.96153846153846168</v>
      </c>
      <c r="B6" s="15" t="s">
        <v>271</v>
      </c>
      <c r="D6" s="3">
        <f ca="1">IF(NOT(ISNUMBER(OFFSET(tblDimIdeal[[#This Row],[Score]],-1,0))),1,SUM(OFFSET(tblDimIdeal[[#This Row],[Score]],-1,0),-1/ROWS(tblDimIdeal[Score])))</f>
        <v>0.9487179487179489</v>
      </c>
      <c r="E6" s="15" t="s">
        <v>272</v>
      </c>
      <c r="G6" s="3">
        <f ca="1">IF(NOT(ISNUMBER(OFFSET(tblDimBond[[#This Row],[Score]],-1,0))),1,SUM(OFFSET(tblDimBond[[#This Row],[Score]],-1,0),-1/ROWS(tblDimBond[Score])))</f>
        <v>0.9487179487179489</v>
      </c>
      <c r="H6" s="15" t="s">
        <v>273</v>
      </c>
      <c r="J6" s="3">
        <f ca="1">IF(NOT(ISNUMBER(OFFSET(tblDimFlaw[[#This Row],[Score]],-1,0))),1,SUM(OFFSET(tblDimFlaw[[#This Row],[Score]],-1,0),-1/ROWS(tblDimFlaw[Score])))</f>
        <v>0.9487179487179489</v>
      </c>
      <c r="K6" s="15" t="s">
        <v>274</v>
      </c>
      <c r="M6" s="3">
        <f ca="1">IF(NOT(ISNUMBER(OFFSET(tblDimTalents[[#This Row],[Score]],-1,0))),1,SUM(OFFSET(tblDimTalents[[#This Row],[Score]],-1,0),-1/ROWS(tblDimTalents[Score])))</f>
        <v>0.79999999999999982</v>
      </c>
      <c r="N6" s="17" t="s">
        <v>275</v>
      </c>
      <c r="P6" s="3">
        <f ca="1">IF(NOT(ISNUMBER(OFFSET(tblDimMannerisms[[#This Row],[Score]],-1,0))),1,SUM(OFFSET(tblDimMannerisms[[#This Row],[Score]],-1,0),-1/ROWS(tblDimMannerisms[Score])))</f>
        <v>0.81818181818181834</v>
      </c>
      <c r="Q6" s="15" t="s">
        <v>276</v>
      </c>
      <c r="S6" s="3">
        <f ca="1">IF(NOT(ISNUMBER(OFFSET(tblDimInteractionTraits[[#This Row],[Score]],-1,0))),1,SUM(OFFSET(tblDimInteractionTraits[[#This Row],[Score]],-1,0),-1/ROWS(tblDimInteractionTraits[Score])))</f>
        <v>0.66666666666666652</v>
      </c>
      <c r="T6" s="17" t="s">
        <v>277</v>
      </c>
    </row>
    <row r="7" spans="1:20" x14ac:dyDescent="0.2">
      <c r="A7" s="3">
        <f ca="1">IF(NOT(ISNUMBER(OFFSET(tblDimPersonalityTrait[[#This Row],[Score]],-1,0))),1,SUM(OFFSET(tblDimPersonalityTrait[[#This Row],[Score]],-1,0),-1/ROWS(tblDimPersonalityTrait[Score])))</f>
        <v>0.95192307692307709</v>
      </c>
      <c r="B7" s="15" t="s">
        <v>278</v>
      </c>
      <c r="D7" s="3">
        <f ca="1">IF(NOT(ISNUMBER(OFFSET(tblDimIdeal[[#This Row],[Score]],-1,0))),1,SUM(OFFSET(tblDimIdeal[[#This Row],[Score]],-1,0),-1/ROWS(tblDimIdeal[Score])))</f>
        <v>0.93589743589743613</v>
      </c>
      <c r="E7" s="15" t="s">
        <v>279</v>
      </c>
      <c r="G7" s="3">
        <f ca="1">IF(NOT(ISNUMBER(OFFSET(tblDimBond[[#This Row],[Score]],-1,0))),1,SUM(OFFSET(tblDimBond[[#This Row],[Score]],-1,0),-1/ROWS(tblDimBond[Score])))</f>
        <v>0.93589743589743613</v>
      </c>
      <c r="H7" s="15" t="s">
        <v>280</v>
      </c>
      <c r="J7" s="3">
        <f ca="1">IF(NOT(ISNUMBER(OFFSET(tblDimFlaw[[#This Row],[Score]],-1,0))),1,SUM(OFFSET(tblDimFlaw[[#This Row],[Score]],-1,0),-1/ROWS(tblDimFlaw[Score])))</f>
        <v>0.93589743589743613</v>
      </c>
      <c r="K7" s="15" t="s">
        <v>281</v>
      </c>
      <c r="M7" s="3">
        <f ca="1">IF(NOT(ISNUMBER(OFFSET(tblDimTalents[[#This Row],[Score]],-1,0))),1,SUM(OFFSET(tblDimTalents[[#This Row],[Score]],-1,0),-1/ROWS(tblDimTalents[Score])))</f>
        <v>0.74999999999999978</v>
      </c>
      <c r="N7" s="17" t="s">
        <v>282</v>
      </c>
      <c r="P7" s="3">
        <f ca="1">IF(NOT(ISNUMBER(OFFSET(tblDimMannerisms[[#This Row],[Score]],-1,0))),1,SUM(OFFSET(tblDimMannerisms[[#This Row],[Score]],-1,0),-1/ROWS(tblDimMannerisms[Score])))</f>
        <v>0.77272727272727293</v>
      </c>
      <c r="Q7" s="15" t="s">
        <v>283</v>
      </c>
      <c r="S7" s="3">
        <f ca="1">IF(NOT(ISNUMBER(OFFSET(tblDimInteractionTraits[[#This Row],[Score]],-1,0))),1,SUM(OFFSET(tblDimInteractionTraits[[#This Row],[Score]],-1,0),-1/ROWS(tblDimInteractionTraits[Score])))</f>
        <v>0.58333333333333315</v>
      </c>
      <c r="T7" s="17" t="s">
        <v>284</v>
      </c>
    </row>
    <row r="8" spans="1:20" x14ac:dyDescent="0.2">
      <c r="A8" s="3">
        <f ca="1">IF(NOT(ISNUMBER(OFFSET(tblDimPersonalityTrait[[#This Row],[Score]],-1,0))),1,SUM(OFFSET(tblDimPersonalityTrait[[#This Row],[Score]],-1,0),-1/ROWS(tblDimPersonalityTrait[Score])))</f>
        <v>0.94230769230769251</v>
      </c>
      <c r="B8" s="15" t="s">
        <v>285</v>
      </c>
      <c r="D8" s="3">
        <f ca="1">IF(NOT(ISNUMBER(OFFSET(tblDimIdeal[[#This Row],[Score]],-1,0))),1,SUM(OFFSET(tblDimIdeal[[#This Row],[Score]],-1,0),-1/ROWS(tblDimIdeal[Score])))</f>
        <v>0.92307692307692335</v>
      </c>
      <c r="E8" s="15" t="s">
        <v>286</v>
      </c>
      <c r="G8" s="3">
        <f ca="1">IF(NOT(ISNUMBER(OFFSET(tblDimBond[[#This Row],[Score]],-1,0))),1,SUM(OFFSET(tblDimBond[[#This Row],[Score]],-1,0),-1/ROWS(tblDimBond[Score])))</f>
        <v>0.92307692307692335</v>
      </c>
      <c r="H8" s="15" t="s">
        <v>287</v>
      </c>
      <c r="J8" s="3">
        <f ca="1">IF(NOT(ISNUMBER(OFFSET(tblDimFlaw[[#This Row],[Score]],-1,0))),1,SUM(OFFSET(tblDimFlaw[[#This Row],[Score]],-1,0),-1/ROWS(tblDimFlaw[Score])))</f>
        <v>0.92307692307692335</v>
      </c>
      <c r="K8" s="15" t="s">
        <v>288</v>
      </c>
      <c r="M8" s="3">
        <f ca="1">IF(NOT(ISNUMBER(OFFSET(tblDimTalents[[#This Row],[Score]],-1,0))),1,SUM(OFFSET(tblDimTalents[[#This Row],[Score]],-1,0),-1/ROWS(tblDimTalents[Score])))</f>
        <v>0.69999999999999973</v>
      </c>
      <c r="N8" s="17" t="s">
        <v>289</v>
      </c>
      <c r="P8" s="3">
        <f ca="1">IF(NOT(ISNUMBER(OFFSET(tblDimMannerisms[[#This Row],[Score]],-1,0))),1,SUM(OFFSET(tblDimMannerisms[[#This Row],[Score]],-1,0),-1/ROWS(tblDimMannerisms[Score])))</f>
        <v>0.72727272727272751</v>
      </c>
      <c r="Q8" s="15" t="s">
        <v>290</v>
      </c>
      <c r="S8" s="3">
        <f ca="1">IF(NOT(ISNUMBER(OFFSET(tblDimInteractionTraits[[#This Row],[Score]],-1,0))),1,SUM(OFFSET(tblDimInteractionTraits[[#This Row],[Score]],-1,0),-1/ROWS(tblDimInteractionTraits[Score])))</f>
        <v>0.49999999999999983</v>
      </c>
      <c r="T8" s="17" t="s">
        <v>291</v>
      </c>
    </row>
    <row r="9" spans="1:20" x14ac:dyDescent="0.2">
      <c r="A9" s="3">
        <f ca="1">IF(NOT(ISNUMBER(OFFSET(tblDimPersonalityTrait[[#This Row],[Score]],-1,0))),1,SUM(OFFSET(tblDimPersonalityTrait[[#This Row],[Score]],-1,0),-1/ROWS(tblDimPersonalityTrait[Score])))</f>
        <v>0.93269230769230793</v>
      </c>
      <c r="B9" s="15" t="s">
        <v>292</v>
      </c>
      <c r="D9" s="3">
        <f ca="1">IF(NOT(ISNUMBER(OFFSET(tblDimIdeal[[#This Row],[Score]],-1,0))),1,SUM(OFFSET(tblDimIdeal[[#This Row],[Score]],-1,0),-1/ROWS(tblDimIdeal[Score])))</f>
        <v>0.91025641025641058</v>
      </c>
      <c r="E9" s="15" t="s">
        <v>293</v>
      </c>
      <c r="G9" s="3">
        <f ca="1">IF(NOT(ISNUMBER(OFFSET(tblDimBond[[#This Row],[Score]],-1,0))),1,SUM(OFFSET(tblDimBond[[#This Row],[Score]],-1,0),-1/ROWS(tblDimBond[Score])))</f>
        <v>0.91025641025641058</v>
      </c>
      <c r="H9" s="15" t="s">
        <v>294</v>
      </c>
      <c r="J9" s="3">
        <f ca="1">IF(NOT(ISNUMBER(OFFSET(tblDimFlaw[[#This Row],[Score]],-1,0))),1,SUM(OFFSET(tblDimFlaw[[#This Row],[Score]],-1,0),-1/ROWS(tblDimFlaw[Score])))</f>
        <v>0.91025641025641058</v>
      </c>
      <c r="K9" s="15" t="s">
        <v>295</v>
      </c>
      <c r="M9" s="3">
        <f ca="1">IF(NOT(ISNUMBER(OFFSET(tblDimTalents[[#This Row],[Score]],-1,0))),1,SUM(OFFSET(tblDimTalents[[#This Row],[Score]],-1,0),-1/ROWS(tblDimTalents[Score])))</f>
        <v>0.64999999999999969</v>
      </c>
      <c r="N9" s="17" t="s">
        <v>296</v>
      </c>
      <c r="P9" s="3">
        <f ca="1">IF(NOT(ISNUMBER(OFFSET(tblDimMannerisms[[#This Row],[Score]],-1,0))),1,SUM(OFFSET(tblDimMannerisms[[#This Row],[Score]],-1,0),-1/ROWS(tblDimMannerisms[Score])))</f>
        <v>0.6818181818181821</v>
      </c>
      <c r="Q9" s="15" t="s">
        <v>297</v>
      </c>
      <c r="S9" s="3">
        <f ca="1">IF(NOT(ISNUMBER(OFFSET(tblDimInteractionTraits[[#This Row],[Score]],-1,0))),1,SUM(OFFSET(tblDimInteractionTraits[[#This Row],[Score]],-1,0),-1/ROWS(tblDimInteractionTraits[Score])))</f>
        <v>0.41666666666666652</v>
      </c>
      <c r="T9" s="17" t="s">
        <v>298</v>
      </c>
    </row>
    <row r="10" spans="1:20" x14ac:dyDescent="0.2">
      <c r="A10" s="3">
        <f ca="1">IF(NOT(ISNUMBER(OFFSET(tblDimPersonalityTrait[[#This Row],[Score]],-1,0))),1,SUM(OFFSET(tblDimPersonalityTrait[[#This Row],[Score]],-1,0),-1/ROWS(tblDimPersonalityTrait[Score])))</f>
        <v>0.92307692307692335</v>
      </c>
      <c r="B10" s="15" t="s">
        <v>299</v>
      </c>
      <c r="D10" s="3">
        <f ca="1">IF(NOT(ISNUMBER(OFFSET(tblDimIdeal[[#This Row],[Score]],-1,0))),1,SUM(OFFSET(tblDimIdeal[[#This Row],[Score]],-1,0),-1/ROWS(tblDimIdeal[Score])))</f>
        <v>0.8974358974358978</v>
      </c>
      <c r="E10" s="15" t="s">
        <v>300</v>
      </c>
      <c r="G10" s="3">
        <f ca="1">IF(NOT(ISNUMBER(OFFSET(tblDimBond[[#This Row],[Score]],-1,0))),1,SUM(OFFSET(tblDimBond[[#This Row],[Score]],-1,0),-1/ROWS(tblDimBond[Score])))</f>
        <v>0.8974358974358978</v>
      </c>
      <c r="H10" s="15" t="s">
        <v>301</v>
      </c>
      <c r="J10" s="3">
        <f ca="1">IF(NOT(ISNUMBER(OFFSET(tblDimFlaw[[#This Row],[Score]],-1,0))),1,SUM(OFFSET(tblDimFlaw[[#This Row],[Score]],-1,0),-1/ROWS(tblDimFlaw[Score])))</f>
        <v>0.8974358974358978</v>
      </c>
      <c r="K10" s="15" t="s">
        <v>302</v>
      </c>
      <c r="M10" s="3">
        <f ca="1">IF(NOT(ISNUMBER(OFFSET(tblDimTalents[[#This Row],[Score]],-1,0))),1,SUM(OFFSET(tblDimTalents[[#This Row],[Score]],-1,0),-1/ROWS(tblDimTalents[Score])))</f>
        <v>0.59999999999999964</v>
      </c>
      <c r="N10" s="17" t="s">
        <v>303</v>
      </c>
      <c r="P10" s="3">
        <f ca="1">IF(NOT(ISNUMBER(OFFSET(tblDimMannerisms[[#This Row],[Score]],-1,0))),1,SUM(OFFSET(tblDimMannerisms[[#This Row],[Score]],-1,0),-1/ROWS(tblDimMannerisms[Score])))</f>
        <v>0.63636363636363669</v>
      </c>
      <c r="Q10" s="15" t="s">
        <v>304</v>
      </c>
      <c r="S10" s="3">
        <f ca="1">IF(NOT(ISNUMBER(OFFSET(tblDimInteractionTraits[[#This Row],[Score]],-1,0))),1,SUM(OFFSET(tblDimInteractionTraits[[#This Row],[Score]],-1,0),-1/ROWS(tblDimInteractionTraits[Score])))</f>
        <v>0.3333333333333332</v>
      </c>
      <c r="T10" s="17" t="s">
        <v>305</v>
      </c>
    </row>
    <row r="11" spans="1:20" x14ac:dyDescent="0.2">
      <c r="A11" s="3">
        <f ca="1">IF(NOT(ISNUMBER(OFFSET(tblDimPersonalityTrait[[#This Row],[Score]],-1,0))),1,SUM(OFFSET(tblDimPersonalityTrait[[#This Row],[Score]],-1,0),-1/ROWS(tblDimPersonalityTrait[Score])))</f>
        <v>0.91346153846153877</v>
      </c>
      <c r="B11" s="15" t="s">
        <v>306</v>
      </c>
      <c r="D11" s="3">
        <f ca="1">IF(NOT(ISNUMBER(OFFSET(tblDimIdeal[[#This Row],[Score]],-1,0))),1,SUM(OFFSET(tblDimIdeal[[#This Row],[Score]],-1,0),-1/ROWS(tblDimIdeal[Score])))</f>
        <v>0.88461538461538503</v>
      </c>
      <c r="E11" s="15" t="s">
        <v>307</v>
      </c>
      <c r="G11" s="3">
        <f ca="1">IF(NOT(ISNUMBER(OFFSET(tblDimBond[[#This Row],[Score]],-1,0))),1,SUM(OFFSET(tblDimBond[[#This Row],[Score]],-1,0),-1/ROWS(tblDimBond[Score])))</f>
        <v>0.88461538461538503</v>
      </c>
      <c r="H11" s="15" t="s">
        <v>308</v>
      </c>
      <c r="J11" s="3">
        <f ca="1">IF(NOT(ISNUMBER(OFFSET(tblDimFlaw[[#This Row],[Score]],-1,0))),1,SUM(OFFSET(tblDimFlaw[[#This Row],[Score]],-1,0),-1/ROWS(tblDimFlaw[Score])))</f>
        <v>0.88461538461538503</v>
      </c>
      <c r="K11" s="15" t="s">
        <v>309</v>
      </c>
      <c r="M11" s="3">
        <f ca="1">IF(NOT(ISNUMBER(OFFSET(tblDimTalents[[#This Row],[Score]],-1,0))),1,SUM(OFFSET(tblDimTalents[[#This Row],[Score]],-1,0),-1/ROWS(tblDimTalents[Score])))</f>
        <v>0.5499999999999996</v>
      </c>
      <c r="N11" s="17" t="s">
        <v>310</v>
      </c>
      <c r="P11" s="3">
        <f ca="1">IF(NOT(ISNUMBER(OFFSET(tblDimMannerisms[[#This Row],[Score]],-1,0))),1,SUM(OFFSET(tblDimMannerisms[[#This Row],[Score]],-1,0),-1/ROWS(tblDimMannerisms[Score])))</f>
        <v>0.59090909090909127</v>
      </c>
      <c r="Q11" s="15" t="s">
        <v>311</v>
      </c>
      <c r="S11" s="3">
        <f ca="1">IF(NOT(ISNUMBER(OFFSET(tblDimInteractionTraits[[#This Row],[Score]],-1,0))),1,SUM(OFFSET(tblDimInteractionTraits[[#This Row],[Score]],-1,0),-1/ROWS(tblDimInteractionTraits[Score])))</f>
        <v>0.24999999999999989</v>
      </c>
      <c r="T11" s="17" t="s">
        <v>312</v>
      </c>
    </row>
    <row r="12" spans="1:20" x14ac:dyDescent="0.2">
      <c r="A12" s="3">
        <f ca="1">IF(NOT(ISNUMBER(OFFSET(tblDimPersonalityTrait[[#This Row],[Score]],-1,0))),1,SUM(OFFSET(tblDimPersonalityTrait[[#This Row],[Score]],-1,0),-1/ROWS(tblDimPersonalityTrait[Score])))</f>
        <v>0.90384615384615419</v>
      </c>
      <c r="B12" s="15" t="s">
        <v>313</v>
      </c>
      <c r="D12" s="3">
        <f ca="1">IF(NOT(ISNUMBER(OFFSET(tblDimIdeal[[#This Row],[Score]],-1,0))),1,SUM(OFFSET(tblDimIdeal[[#This Row],[Score]],-1,0),-1/ROWS(tblDimIdeal[Score])))</f>
        <v>0.87179487179487225</v>
      </c>
      <c r="E12" s="15" t="s">
        <v>314</v>
      </c>
      <c r="G12" s="3">
        <f ca="1">IF(NOT(ISNUMBER(OFFSET(tblDimBond[[#This Row],[Score]],-1,0))),1,SUM(OFFSET(tblDimBond[[#This Row],[Score]],-1,0),-1/ROWS(tblDimBond[Score])))</f>
        <v>0.87179487179487225</v>
      </c>
      <c r="H12" s="15" t="s">
        <v>315</v>
      </c>
      <c r="J12" s="3">
        <f ca="1">IF(NOT(ISNUMBER(OFFSET(tblDimFlaw[[#This Row],[Score]],-1,0))),1,SUM(OFFSET(tblDimFlaw[[#This Row],[Score]],-1,0),-1/ROWS(tblDimFlaw[Score])))</f>
        <v>0.87179487179487225</v>
      </c>
      <c r="K12" s="15" t="s">
        <v>316</v>
      </c>
      <c r="M12" s="3">
        <f ca="1">IF(NOT(ISNUMBER(OFFSET(tblDimTalents[[#This Row],[Score]],-1,0))),1,SUM(OFFSET(tblDimTalents[[#This Row],[Score]],-1,0),-1/ROWS(tblDimTalents[Score])))</f>
        <v>0.49999999999999961</v>
      </c>
      <c r="N12" s="17" t="s">
        <v>317</v>
      </c>
      <c r="P12" s="3">
        <f ca="1">IF(NOT(ISNUMBER(OFFSET(tblDimMannerisms[[#This Row],[Score]],-1,0))),1,SUM(OFFSET(tblDimMannerisms[[#This Row],[Score]],-1,0),-1/ROWS(tblDimMannerisms[Score])))</f>
        <v>0.54545454545454586</v>
      </c>
      <c r="Q12" s="15" t="s">
        <v>318</v>
      </c>
      <c r="S12" s="3">
        <f ca="1">IF(NOT(ISNUMBER(OFFSET(tblDimInteractionTraits[[#This Row],[Score]],-1,0))),1,SUM(OFFSET(tblDimInteractionTraits[[#This Row],[Score]],-1,0),-1/ROWS(tblDimInteractionTraits[Score])))</f>
        <v>0.16666666666666657</v>
      </c>
      <c r="T12" s="17" t="s">
        <v>319</v>
      </c>
    </row>
    <row r="13" spans="1:20" x14ac:dyDescent="0.2">
      <c r="A13" s="3">
        <f ca="1">IF(NOT(ISNUMBER(OFFSET(tblDimPersonalityTrait[[#This Row],[Score]],-1,0))),1,SUM(OFFSET(tblDimPersonalityTrait[[#This Row],[Score]],-1,0),-1/ROWS(tblDimPersonalityTrait[Score])))</f>
        <v>0.89423076923076961</v>
      </c>
      <c r="B13" s="15" t="s">
        <v>320</v>
      </c>
      <c r="D13" s="3">
        <f ca="1">IF(NOT(ISNUMBER(OFFSET(tblDimIdeal[[#This Row],[Score]],-1,0))),1,SUM(OFFSET(tblDimIdeal[[#This Row],[Score]],-1,0),-1/ROWS(tblDimIdeal[Score])))</f>
        <v>0.85897435897435948</v>
      </c>
      <c r="E13" s="15" t="s">
        <v>321</v>
      </c>
      <c r="G13" s="3">
        <f ca="1">IF(NOT(ISNUMBER(OFFSET(tblDimBond[[#This Row],[Score]],-1,0))),1,SUM(OFFSET(tblDimBond[[#This Row],[Score]],-1,0),-1/ROWS(tblDimBond[Score])))</f>
        <v>0.85897435897435948</v>
      </c>
      <c r="H13" s="15" t="s">
        <v>322</v>
      </c>
      <c r="J13" s="3">
        <f ca="1">IF(NOT(ISNUMBER(OFFSET(tblDimFlaw[[#This Row],[Score]],-1,0))),1,SUM(OFFSET(tblDimFlaw[[#This Row],[Score]],-1,0),-1/ROWS(tblDimFlaw[Score])))</f>
        <v>0.85897435897435948</v>
      </c>
      <c r="K13" s="15" t="s">
        <v>323</v>
      </c>
      <c r="M13" s="3">
        <f ca="1">IF(NOT(ISNUMBER(OFFSET(tblDimTalents[[#This Row],[Score]],-1,0))),1,SUM(OFFSET(tblDimTalents[[#This Row],[Score]],-1,0),-1/ROWS(tblDimTalents[Score])))</f>
        <v>0.44999999999999962</v>
      </c>
      <c r="N13" s="17" t="s">
        <v>324</v>
      </c>
      <c r="P13" s="3">
        <f ca="1">IF(NOT(ISNUMBER(OFFSET(tblDimMannerisms[[#This Row],[Score]],-1,0))),1,SUM(OFFSET(tblDimMannerisms[[#This Row],[Score]],-1,0),-1/ROWS(tblDimMannerisms[Score])))</f>
        <v>0.50000000000000044</v>
      </c>
      <c r="Q13" s="15" t="s">
        <v>325</v>
      </c>
      <c r="S13" s="3">
        <f ca="1">IF(NOT(ISNUMBER(OFFSET(tblDimInteractionTraits[[#This Row],[Score]],-1,0))),1,SUM(OFFSET(tblDimInteractionTraits[[#This Row],[Score]],-1,0),-1/ROWS(tblDimInteractionTraits[Score])))</f>
        <v>8.3333333333333245E-2</v>
      </c>
      <c r="T13" s="17" t="s">
        <v>326</v>
      </c>
    </row>
    <row r="14" spans="1:20" x14ac:dyDescent="0.2">
      <c r="A14" s="3">
        <f ca="1">IF(NOT(ISNUMBER(OFFSET(tblDimPersonalityTrait[[#This Row],[Score]],-1,0))),1,SUM(OFFSET(tblDimPersonalityTrait[[#This Row],[Score]],-1,0),-1/ROWS(tblDimPersonalityTrait[Score])))</f>
        <v>0.88461538461538503</v>
      </c>
      <c r="B14" s="15" t="s">
        <v>327</v>
      </c>
      <c r="D14" s="3">
        <f ca="1">IF(NOT(ISNUMBER(OFFSET(tblDimIdeal[[#This Row],[Score]],-1,0))),1,SUM(OFFSET(tblDimIdeal[[#This Row],[Score]],-1,0),-1/ROWS(tblDimIdeal[Score])))</f>
        <v>0.8461538461538467</v>
      </c>
      <c r="E14" s="15" t="s">
        <v>328</v>
      </c>
      <c r="G14" s="3">
        <f ca="1">IF(NOT(ISNUMBER(OFFSET(tblDimBond[[#This Row],[Score]],-1,0))),1,SUM(OFFSET(tblDimBond[[#This Row],[Score]],-1,0),-1/ROWS(tblDimBond[Score])))</f>
        <v>0.8461538461538467</v>
      </c>
      <c r="H14" s="15" t="s">
        <v>329</v>
      </c>
      <c r="J14" s="3">
        <f ca="1">IF(NOT(ISNUMBER(OFFSET(tblDimFlaw[[#This Row],[Score]],-1,0))),1,SUM(OFFSET(tblDimFlaw[[#This Row],[Score]],-1,0),-1/ROWS(tblDimFlaw[Score])))</f>
        <v>0.8461538461538467</v>
      </c>
      <c r="K14" s="15" t="s">
        <v>330</v>
      </c>
      <c r="M14" s="3">
        <f ca="1">IF(NOT(ISNUMBER(OFFSET(tblDimTalents[[#This Row],[Score]],-1,0))),1,SUM(OFFSET(tblDimTalents[[#This Row],[Score]],-1,0),-1/ROWS(tblDimTalents[Score])))</f>
        <v>0.39999999999999963</v>
      </c>
      <c r="N14" s="17" t="s">
        <v>331</v>
      </c>
      <c r="P14" s="3">
        <f ca="1">IF(NOT(ISNUMBER(OFFSET(tblDimMannerisms[[#This Row],[Score]],-1,0))),1,SUM(OFFSET(tblDimMannerisms[[#This Row],[Score]],-1,0),-1/ROWS(tblDimMannerisms[Score])))</f>
        <v>0.45454545454545497</v>
      </c>
      <c r="Q14" s="15" t="s">
        <v>332</v>
      </c>
    </row>
    <row r="15" spans="1:20" x14ac:dyDescent="0.2">
      <c r="A15" s="3">
        <f ca="1">IF(NOT(ISNUMBER(OFFSET(tblDimPersonalityTrait[[#This Row],[Score]],-1,0))),1,SUM(OFFSET(tblDimPersonalityTrait[[#This Row],[Score]],-1,0),-1/ROWS(tblDimPersonalityTrait[Score])))</f>
        <v>0.87500000000000044</v>
      </c>
      <c r="B15" s="15" t="s">
        <v>333</v>
      </c>
      <c r="D15" s="3">
        <f ca="1">IF(NOT(ISNUMBER(OFFSET(tblDimIdeal[[#This Row],[Score]],-1,0))),1,SUM(OFFSET(tblDimIdeal[[#This Row],[Score]],-1,0),-1/ROWS(tblDimIdeal[Score])))</f>
        <v>0.83333333333333393</v>
      </c>
      <c r="E15" s="15" t="s">
        <v>334</v>
      </c>
      <c r="G15" s="3">
        <f ca="1">IF(NOT(ISNUMBER(OFFSET(tblDimBond[[#This Row],[Score]],-1,0))),1,SUM(OFFSET(tblDimBond[[#This Row],[Score]],-1,0),-1/ROWS(tblDimBond[Score])))</f>
        <v>0.83333333333333393</v>
      </c>
      <c r="H15" s="15" t="s">
        <v>335</v>
      </c>
      <c r="J15" s="3">
        <f ca="1">IF(NOT(ISNUMBER(OFFSET(tblDimFlaw[[#This Row],[Score]],-1,0))),1,SUM(OFFSET(tblDimFlaw[[#This Row],[Score]],-1,0),-1/ROWS(tblDimFlaw[Score])))</f>
        <v>0.83333333333333393</v>
      </c>
      <c r="K15" s="15" t="s">
        <v>336</v>
      </c>
      <c r="M15" s="3">
        <f ca="1">IF(NOT(ISNUMBER(OFFSET(tblDimTalents[[#This Row],[Score]],-1,0))),1,SUM(OFFSET(tblDimTalents[[#This Row],[Score]],-1,0),-1/ROWS(tblDimTalents[Score])))</f>
        <v>0.34999999999999964</v>
      </c>
      <c r="N15" s="17" t="s">
        <v>337</v>
      </c>
      <c r="P15" s="3">
        <f ca="1">IF(NOT(ISNUMBER(OFFSET(tblDimMannerisms[[#This Row],[Score]],-1,0))),1,SUM(OFFSET(tblDimMannerisms[[#This Row],[Score]],-1,0),-1/ROWS(tblDimMannerisms[Score])))</f>
        <v>0.4090909090909095</v>
      </c>
      <c r="Q15" s="15" t="s">
        <v>338</v>
      </c>
    </row>
    <row r="16" spans="1:20" x14ac:dyDescent="0.2">
      <c r="A16" s="3">
        <f ca="1">IF(NOT(ISNUMBER(OFFSET(tblDimPersonalityTrait[[#This Row],[Score]],-1,0))),1,SUM(OFFSET(tblDimPersonalityTrait[[#This Row],[Score]],-1,0),-1/ROWS(tblDimPersonalityTrait[Score])))</f>
        <v>0.86538461538461586</v>
      </c>
      <c r="B16" s="15" t="s">
        <v>339</v>
      </c>
      <c r="D16" s="3">
        <f ca="1">IF(NOT(ISNUMBER(OFFSET(tblDimIdeal[[#This Row],[Score]],-1,0))),1,SUM(OFFSET(tblDimIdeal[[#This Row],[Score]],-1,0),-1/ROWS(tblDimIdeal[Score])))</f>
        <v>0.82051282051282115</v>
      </c>
      <c r="E16" s="15" t="s">
        <v>340</v>
      </c>
      <c r="G16" s="3">
        <f ca="1">IF(NOT(ISNUMBER(OFFSET(tblDimBond[[#This Row],[Score]],-1,0))),1,SUM(OFFSET(tblDimBond[[#This Row],[Score]],-1,0),-1/ROWS(tblDimBond[Score])))</f>
        <v>0.82051282051282115</v>
      </c>
      <c r="H16" s="15" t="s">
        <v>341</v>
      </c>
      <c r="J16" s="3">
        <f ca="1">IF(NOT(ISNUMBER(OFFSET(tblDimFlaw[[#This Row],[Score]],-1,0))),1,SUM(OFFSET(tblDimFlaw[[#This Row],[Score]],-1,0),-1/ROWS(tblDimFlaw[Score])))</f>
        <v>0.82051282051282115</v>
      </c>
      <c r="K16" s="15" t="s">
        <v>342</v>
      </c>
      <c r="M16" s="3">
        <f ca="1">IF(NOT(ISNUMBER(OFFSET(tblDimTalents[[#This Row],[Score]],-1,0))),1,SUM(OFFSET(tblDimTalents[[#This Row],[Score]],-1,0),-1/ROWS(tblDimTalents[Score])))</f>
        <v>0.29999999999999966</v>
      </c>
      <c r="N16" s="17" t="s">
        <v>343</v>
      </c>
      <c r="P16" s="3">
        <f ca="1">IF(NOT(ISNUMBER(OFFSET(tblDimMannerisms[[#This Row],[Score]],-1,0))),1,SUM(OFFSET(tblDimMannerisms[[#This Row],[Score]],-1,0),-1/ROWS(tblDimMannerisms[Score])))</f>
        <v>0.36363636363636404</v>
      </c>
      <c r="Q16" s="15" t="s">
        <v>344</v>
      </c>
    </row>
    <row r="17" spans="1:17" x14ac:dyDescent="0.2">
      <c r="A17" s="3">
        <f ca="1">IF(NOT(ISNUMBER(OFFSET(tblDimPersonalityTrait[[#This Row],[Score]],-1,0))),1,SUM(OFFSET(tblDimPersonalityTrait[[#This Row],[Score]],-1,0),-1/ROWS(tblDimPersonalityTrait[Score])))</f>
        <v>0.85576923076923128</v>
      </c>
      <c r="B17" s="15" t="s">
        <v>345</v>
      </c>
      <c r="D17" s="3">
        <f ca="1">IF(NOT(ISNUMBER(OFFSET(tblDimIdeal[[#This Row],[Score]],-1,0))),1,SUM(OFFSET(tblDimIdeal[[#This Row],[Score]],-1,0),-1/ROWS(tblDimIdeal[Score])))</f>
        <v>0.80769230769230838</v>
      </c>
      <c r="E17" s="15" t="s">
        <v>346</v>
      </c>
      <c r="G17" s="3">
        <f ca="1">IF(NOT(ISNUMBER(OFFSET(tblDimBond[[#This Row],[Score]],-1,0))),1,SUM(OFFSET(tblDimBond[[#This Row],[Score]],-1,0),-1/ROWS(tblDimBond[Score])))</f>
        <v>0.80769230769230838</v>
      </c>
      <c r="H17" s="15" t="s">
        <v>347</v>
      </c>
      <c r="J17" s="3">
        <f ca="1">IF(NOT(ISNUMBER(OFFSET(tblDimFlaw[[#This Row],[Score]],-1,0))),1,SUM(OFFSET(tblDimFlaw[[#This Row],[Score]],-1,0),-1/ROWS(tblDimFlaw[Score])))</f>
        <v>0.80769230769230838</v>
      </c>
      <c r="K17" s="15" t="s">
        <v>348</v>
      </c>
      <c r="M17" s="3">
        <f ca="1">IF(NOT(ISNUMBER(OFFSET(tblDimTalents[[#This Row],[Score]],-1,0))),1,SUM(OFFSET(tblDimTalents[[#This Row],[Score]],-1,0),-1/ROWS(tblDimTalents[Score])))</f>
        <v>0.24999999999999967</v>
      </c>
      <c r="N17" s="17" t="s">
        <v>349</v>
      </c>
      <c r="P17" s="3">
        <f ca="1">IF(NOT(ISNUMBER(OFFSET(tblDimMannerisms[[#This Row],[Score]],-1,0))),1,SUM(OFFSET(tblDimMannerisms[[#This Row],[Score]],-1,0),-1/ROWS(tblDimMannerisms[Score])))</f>
        <v>0.31818181818181857</v>
      </c>
      <c r="Q17" s="15" t="s">
        <v>350</v>
      </c>
    </row>
    <row r="18" spans="1:17" x14ac:dyDescent="0.2">
      <c r="A18" s="3">
        <f ca="1">IF(NOT(ISNUMBER(OFFSET(tblDimPersonalityTrait[[#This Row],[Score]],-1,0))),1,SUM(OFFSET(tblDimPersonalityTrait[[#This Row],[Score]],-1,0),-1/ROWS(tblDimPersonalityTrait[Score])))</f>
        <v>0.8461538461538467</v>
      </c>
      <c r="B18" s="15" t="s">
        <v>351</v>
      </c>
      <c r="D18" s="3">
        <f ca="1">IF(NOT(ISNUMBER(OFFSET(tblDimIdeal[[#This Row],[Score]],-1,0))),1,SUM(OFFSET(tblDimIdeal[[#This Row],[Score]],-1,0),-1/ROWS(tblDimIdeal[Score])))</f>
        <v>0.7948717948717956</v>
      </c>
      <c r="E18" s="15" t="s">
        <v>352</v>
      </c>
      <c r="G18" s="3">
        <f ca="1">IF(NOT(ISNUMBER(OFFSET(tblDimBond[[#This Row],[Score]],-1,0))),1,SUM(OFFSET(tblDimBond[[#This Row],[Score]],-1,0),-1/ROWS(tblDimBond[Score])))</f>
        <v>0.7948717948717956</v>
      </c>
      <c r="H18" s="15" t="s">
        <v>353</v>
      </c>
      <c r="J18" s="3">
        <f ca="1">IF(NOT(ISNUMBER(OFFSET(tblDimFlaw[[#This Row],[Score]],-1,0))),1,SUM(OFFSET(tblDimFlaw[[#This Row],[Score]],-1,0),-1/ROWS(tblDimFlaw[Score])))</f>
        <v>0.7948717948717956</v>
      </c>
      <c r="K18" s="15" t="s">
        <v>354</v>
      </c>
      <c r="M18" s="3">
        <f ca="1">IF(NOT(ISNUMBER(OFFSET(tblDimTalents[[#This Row],[Score]],-1,0))),1,SUM(OFFSET(tblDimTalents[[#This Row],[Score]],-1,0),-1/ROWS(tblDimTalents[Score])))</f>
        <v>0.19999999999999968</v>
      </c>
      <c r="N18" s="17" t="s">
        <v>355</v>
      </c>
      <c r="P18" s="3">
        <f ca="1">IF(NOT(ISNUMBER(OFFSET(tblDimMannerisms[[#This Row],[Score]],-1,0))),1,SUM(OFFSET(tblDimMannerisms[[#This Row],[Score]],-1,0),-1/ROWS(tblDimMannerisms[Score])))</f>
        <v>0.2727272727272731</v>
      </c>
      <c r="Q18" s="15" t="s">
        <v>356</v>
      </c>
    </row>
    <row r="19" spans="1:17" x14ac:dyDescent="0.2">
      <c r="A19" s="3">
        <f ca="1">IF(NOT(ISNUMBER(OFFSET(tblDimPersonalityTrait[[#This Row],[Score]],-1,0))),1,SUM(OFFSET(tblDimPersonalityTrait[[#This Row],[Score]],-1,0),-1/ROWS(tblDimPersonalityTrait[Score])))</f>
        <v>0.83653846153846212</v>
      </c>
      <c r="B19" s="15" t="s">
        <v>357</v>
      </c>
      <c r="D19" s="3">
        <f ca="1">IF(NOT(ISNUMBER(OFFSET(tblDimIdeal[[#This Row],[Score]],-1,0))),1,SUM(OFFSET(tblDimIdeal[[#This Row],[Score]],-1,0),-1/ROWS(tblDimIdeal[Score])))</f>
        <v>0.78205128205128283</v>
      </c>
      <c r="E19" s="15" t="s">
        <v>358</v>
      </c>
      <c r="G19" s="3">
        <f ca="1">IF(NOT(ISNUMBER(OFFSET(tblDimBond[[#This Row],[Score]],-1,0))),1,SUM(OFFSET(tblDimBond[[#This Row],[Score]],-1,0),-1/ROWS(tblDimBond[Score])))</f>
        <v>0.78205128205128283</v>
      </c>
      <c r="H19" s="15" t="s">
        <v>359</v>
      </c>
      <c r="J19" s="3">
        <f ca="1">IF(NOT(ISNUMBER(OFFSET(tblDimFlaw[[#This Row],[Score]],-1,0))),1,SUM(OFFSET(tblDimFlaw[[#This Row],[Score]],-1,0),-1/ROWS(tblDimFlaw[Score])))</f>
        <v>0.78205128205128283</v>
      </c>
      <c r="K19" s="15" t="s">
        <v>360</v>
      </c>
      <c r="M19" s="3">
        <f ca="1">IF(NOT(ISNUMBER(OFFSET(tblDimTalents[[#This Row],[Score]],-1,0))),1,SUM(OFFSET(tblDimTalents[[#This Row],[Score]],-1,0),-1/ROWS(tblDimTalents[Score])))</f>
        <v>0.14999999999999969</v>
      </c>
      <c r="N19" s="17" t="s">
        <v>361</v>
      </c>
      <c r="P19" s="3">
        <f ca="1">IF(NOT(ISNUMBER(OFFSET(tblDimMannerisms[[#This Row],[Score]],-1,0))),1,SUM(OFFSET(tblDimMannerisms[[#This Row],[Score]],-1,0),-1/ROWS(tblDimMannerisms[Score])))</f>
        <v>0.22727272727272763</v>
      </c>
      <c r="Q19" s="15" t="s">
        <v>362</v>
      </c>
    </row>
    <row r="20" spans="1:17" x14ac:dyDescent="0.2">
      <c r="A20" s="3">
        <f ca="1">IF(NOT(ISNUMBER(OFFSET(tblDimPersonalityTrait[[#This Row],[Score]],-1,0))),1,SUM(OFFSET(tblDimPersonalityTrait[[#This Row],[Score]],-1,0),-1/ROWS(tblDimPersonalityTrait[Score])))</f>
        <v>0.82692307692307754</v>
      </c>
      <c r="B20" s="15" t="s">
        <v>363</v>
      </c>
      <c r="D20" s="3">
        <f ca="1">IF(NOT(ISNUMBER(OFFSET(tblDimIdeal[[#This Row],[Score]],-1,0))),1,SUM(OFFSET(tblDimIdeal[[#This Row],[Score]],-1,0),-1/ROWS(tblDimIdeal[Score])))</f>
        <v>0.76923076923077005</v>
      </c>
      <c r="E20" s="15" t="s">
        <v>364</v>
      </c>
      <c r="G20" s="3">
        <f ca="1">IF(NOT(ISNUMBER(OFFSET(tblDimBond[[#This Row],[Score]],-1,0))),1,SUM(OFFSET(tblDimBond[[#This Row],[Score]],-1,0),-1/ROWS(tblDimBond[Score])))</f>
        <v>0.76923076923077005</v>
      </c>
      <c r="H20" s="15" t="s">
        <v>365</v>
      </c>
      <c r="J20" s="3">
        <f ca="1">IF(NOT(ISNUMBER(OFFSET(tblDimFlaw[[#This Row],[Score]],-1,0))),1,SUM(OFFSET(tblDimFlaw[[#This Row],[Score]],-1,0),-1/ROWS(tblDimFlaw[Score])))</f>
        <v>0.76923076923077005</v>
      </c>
      <c r="K20" s="15" t="s">
        <v>366</v>
      </c>
      <c r="M20" s="3">
        <f ca="1">IF(NOT(ISNUMBER(OFFSET(tblDimTalents[[#This Row],[Score]],-1,0))),1,SUM(OFFSET(tblDimTalents[[#This Row],[Score]],-1,0),-1/ROWS(tblDimTalents[Score])))</f>
        <v>9.9999999999999686E-2</v>
      </c>
      <c r="N20" s="17" t="s">
        <v>367</v>
      </c>
      <c r="P20" s="3">
        <f ca="1">IF(NOT(ISNUMBER(OFFSET(tblDimMannerisms[[#This Row],[Score]],-1,0))),1,SUM(OFFSET(tblDimMannerisms[[#This Row],[Score]],-1,0),-1/ROWS(tblDimMannerisms[Score])))</f>
        <v>0.18181818181818216</v>
      </c>
      <c r="Q20" s="15" t="s">
        <v>368</v>
      </c>
    </row>
    <row r="21" spans="1:17" x14ac:dyDescent="0.2">
      <c r="A21" s="3">
        <f ca="1">IF(NOT(ISNUMBER(OFFSET(tblDimPersonalityTrait[[#This Row],[Score]],-1,0))),1,SUM(OFFSET(tblDimPersonalityTrait[[#This Row],[Score]],-1,0),-1/ROWS(tblDimPersonalityTrait[Score])))</f>
        <v>0.81730769230769296</v>
      </c>
      <c r="B21" s="15" t="s">
        <v>369</v>
      </c>
      <c r="D21" s="3">
        <f ca="1">IF(NOT(ISNUMBER(OFFSET(tblDimIdeal[[#This Row],[Score]],-1,0))),1,SUM(OFFSET(tblDimIdeal[[#This Row],[Score]],-1,0),-1/ROWS(tblDimIdeal[Score])))</f>
        <v>0.75641025641025728</v>
      </c>
      <c r="E21" s="15" t="s">
        <v>370</v>
      </c>
      <c r="G21" s="3">
        <f ca="1">IF(NOT(ISNUMBER(OFFSET(tblDimBond[[#This Row],[Score]],-1,0))),1,SUM(OFFSET(tblDimBond[[#This Row],[Score]],-1,0),-1/ROWS(tblDimBond[Score])))</f>
        <v>0.75641025641025728</v>
      </c>
      <c r="H21" s="15" t="s">
        <v>371</v>
      </c>
      <c r="J21" s="3">
        <f ca="1">IF(NOT(ISNUMBER(OFFSET(tblDimFlaw[[#This Row],[Score]],-1,0))),1,SUM(OFFSET(tblDimFlaw[[#This Row],[Score]],-1,0),-1/ROWS(tblDimFlaw[Score])))</f>
        <v>0.75641025641025728</v>
      </c>
      <c r="K21" s="15" t="s">
        <v>372</v>
      </c>
      <c r="M21" s="3">
        <f ca="1">IF(NOT(ISNUMBER(OFFSET(tblDimTalents[[#This Row],[Score]],-1,0))),1,SUM(OFFSET(tblDimTalents[[#This Row],[Score]],-1,0),-1/ROWS(tblDimTalents[Score])))</f>
        <v>4.9999999999999684E-2</v>
      </c>
      <c r="N21" s="17" t="s">
        <v>373</v>
      </c>
      <c r="P21" s="3">
        <f ca="1">IF(NOT(ISNUMBER(OFFSET(tblDimMannerisms[[#This Row],[Score]],-1,0))),1,SUM(OFFSET(tblDimMannerisms[[#This Row],[Score]],-1,0),-1/ROWS(tblDimMannerisms[Score])))</f>
        <v>0.13636363636363669</v>
      </c>
      <c r="Q21" s="17" t="s">
        <v>374</v>
      </c>
    </row>
    <row r="22" spans="1:17" x14ac:dyDescent="0.2">
      <c r="A22" s="3">
        <f ca="1">IF(NOT(ISNUMBER(OFFSET(tblDimPersonalityTrait[[#This Row],[Score]],-1,0))),1,SUM(OFFSET(tblDimPersonalityTrait[[#This Row],[Score]],-1,0),-1/ROWS(tblDimPersonalityTrait[Score])))</f>
        <v>0.80769230769230838</v>
      </c>
      <c r="B22" s="15" t="s">
        <v>375</v>
      </c>
      <c r="D22" s="3">
        <f ca="1">IF(NOT(ISNUMBER(OFFSET(tblDimIdeal[[#This Row],[Score]],-1,0))),1,SUM(OFFSET(tblDimIdeal[[#This Row],[Score]],-1,0),-1/ROWS(tblDimIdeal[Score])))</f>
        <v>0.7435897435897445</v>
      </c>
      <c r="E22" s="15" t="s">
        <v>376</v>
      </c>
      <c r="G22" s="3">
        <f ca="1">IF(NOT(ISNUMBER(OFFSET(tblDimBond[[#This Row],[Score]],-1,0))),1,SUM(OFFSET(tblDimBond[[#This Row],[Score]],-1,0),-1/ROWS(tblDimBond[Score])))</f>
        <v>0.7435897435897445</v>
      </c>
      <c r="H22" s="15" t="s">
        <v>377</v>
      </c>
      <c r="J22" s="3">
        <f ca="1">IF(NOT(ISNUMBER(OFFSET(tblDimFlaw[[#This Row],[Score]],-1,0))),1,SUM(OFFSET(tblDimFlaw[[#This Row],[Score]],-1,0),-1/ROWS(tblDimFlaw[Score])))</f>
        <v>0.7435897435897445</v>
      </c>
      <c r="K22" s="15" t="s">
        <v>378</v>
      </c>
      <c r="P22" s="3">
        <f ca="1">IF(NOT(ISNUMBER(OFFSET(tblDimMannerisms[[#This Row],[Score]],-1,0))),1,SUM(OFFSET(tblDimMannerisms[[#This Row],[Score]],-1,0),-1/ROWS(tblDimMannerisms[Score])))</f>
        <v>9.0909090909091231E-2</v>
      </c>
      <c r="Q22" s="17" t="s">
        <v>379</v>
      </c>
    </row>
    <row r="23" spans="1:17" x14ac:dyDescent="0.2">
      <c r="A23" s="3">
        <f ca="1">IF(NOT(ISNUMBER(OFFSET(tblDimPersonalityTrait[[#This Row],[Score]],-1,0))),1,SUM(OFFSET(tblDimPersonalityTrait[[#This Row],[Score]],-1,0),-1/ROWS(tblDimPersonalityTrait[Score])))</f>
        <v>0.79807692307692379</v>
      </c>
      <c r="B23" s="15" t="s">
        <v>380</v>
      </c>
      <c r="D23" s="3">
        <f ca="1">IF(NOT(ISNUMBER(OFFSET(tblDimIdeal[[#This Row],[Score]],-1,0))),1,SUM(OFFSET(tblDimIdeal[[#This Row],[Score]],-1,0),-1/ROWS(tblDimIdeal[Score])))</f>
        <v>0.73076923076923173</v>
      </c>
      <c r="E23" s="15" t="s">
        <v>381</v>
      </c>
      <c r="G23" s="3">
        <f ca="1">IF(NOT(ISNUMBER(OFFSET(tblDimBond[[#This Row],[Score]],-1,0))),1,SUM(OFFSET(tblDimBond[[#This Row],[Score]],-1,0),-1/ROWS(tblDimBond[Score])))</f>
        <v>0.73076923076923173</v>
      </c>
      <c r="H23" s="15" t="s">
        <v>382</v>
      </c>
      <c r="J23" s="3">
        <f ca="1">IF(NOT(ISNUMBER(OFFSET(tblDimFlaw[[#This Row],[Score]],-1,0))),1,SUM(OFFSET(tblDimFlaw[[#This Row],[Score]],-1,0),-1/ROWS(tblDimFlaw[Score])))</f>
        <v>0.73076923076923173</v>
      </c>
      <c r="K23" s="15" t="s">
        <v>383</v>
      </c>
      <c r="P23" s="3">
        <f ca="1">IF(NOT(ISNUMBER(OFFSET(tblDimMannerisms[[#This Row],[Score]],-1,0))),1,SUM(OFFSET(tblDimMannerisms[[#This Row],[Score]],-1,0),-1/ROWS(tblDimMannerisms[Score])))</f>
        <v>4.5454545454545775E-2</v>
      </c>
      <c r="Q23" s="17" t="s">
        <v>379</v>
      </c>
    </row>
    <row r="24" spans="1:17" x14ac:dyDescent="0.2">
      <c r="A24" s="3">
        <f ca="1">IF(NOT(ISNUMBER(OFFSET(tblDimPersonalityTrait[[#This Row],[Score]],-1,0))),1,SUM(OFFSET(tblDimPersonalityTrait[[#This Row],[Score]],-1,0),-1/ROWS(tblDimPersonalityTrait[Score])))</f>
        <v>0.78846153846153921</v>
      </c>
      <c r="B24" s="15" t="s">
        <v>384</v>
      </c>
      <c r="D24" s="3">
        <f ca="1">IF(NOT(ISNUMBER(OFFSET(tblDimIdeal[[#This Row],[Score]],-1,0))),1,SUM(OFFSET(tblDimIdeal[[#This Row],[Score]],-1,0),-1/ROWS(tblDimIdeal[Score])))</f>
        <v>0.71794871794871895</v>
      </c>
      <c r="E24" s="15" t="s">
        <v>385</v>
      </c>
      <c r="G24" s="3">
        <f ca="1">IF(NOT(ISNUMBER(OFFSET(tblDimBond[[#This Row],[Score]],-1,0))),1,SUM(OFFSET(tblDimBond[[#This Row],[Score]],-1,0),-1/ROWS(tblDimBond[Score])))</f>
        <v>0.71794871794871895</v>
      </c>
      <c r="H24" s="15" t="s">
        <v>386</v>
      </c>
      <c r="J24" s="3">
        <f ca="1">IF(NOT(ISNUMBER(OFFSET(tblDimFlaw[[#This Row],[Score]],-1,0))),1,SUM(OFFSET(tblDimFlaw[[#This Row],[Score]],-1,0),-1/ROWS(tblDimFlaw[Score])))</f>
        <v>0.71794871794871895</v>
      </c>
      <c r="K24" s="15" t="s">
        <v>387</v>
      </c>
    </row>
    <row r="25" spans="1:17" x14ac:dyDescent="0.2">
      <c r="A25" s="3">
        <f ca="1">IF(NOT(ISNUMBER(OFFSET(tblDimPersonalityTrait[[#This Row],[Score]],-1,0))),1,SUM(OFFSET(tblDimPersonalityTrait[[#This Row],[Score]],-1,0),-1/ROWS(tblDimPersonalityTrait[Score])))</f>
        <v>0.77884615384615463</v>
      </c>
      <c r="B25" s="15" t="s">
        <v>388</v>
      </c>
      <c r="D25" s="3">
        <f ca="1">IF(NOT(ISNUMBER(OFFSET(tblDimIdeal[[#This Row],[Score]],-1,0))),1,SUM(OFFSET(tblDimIdeal[[#This Row],[Score]],-1,0),-1/ROWS(tblDimIdeal[Score])))</f>
        <v>0.70512820512820618</v>
      </c>
      <c r="E25" s="15" t="s">
        <v>389</v>
      </c>
      <c r="G25" s="3">
        <f ca="1">IF(NOT(ISNUMBER(OFFSET(tblDimBond[[#This Row],[Score]],-1,0))),1,SUM(OFFSET(tblDimBond[[#This Row],[Score]],-1,0),-1/ROWS(tblDimBond[Score])))</f>
        <v>0.70512820512820618</v>
      </c>
      <c r="H25" s="15" t="s">
        <v>390</v>
      </c>
      <c r="J25" s="3">
        <f ca="1">IF(NOT(ISNUMBER(OFFSET(tblDimFlaw[[#This Row],[Score]],-1,0))),1,SUM(OFFSET(tblDimFlaw[[#This Row],[Score]],-1,0),-1/ROWS(tblDimFlaw[Score])))</f>
        <v>0.70512820512820618</v>
      </c>
      <c r="K25" s="15" t="s">
        <v>391</v>
      </c>
    </row>
    <row r="26" spans="1:17" x14ac:dyDescent="0.2">
      <c r="A26" s="3">
        <f ca="1">IF(NOT(ISNUMBER(OFFSET(tblDimPersonalityTrait[[#This Row],[Score]],-1,0))),1,SUM(OFFSET(tblDimPersonalityTrait[[#This Row],[Score]],-1,0),-1/ROWS(tblDimPersonalityTrait[Score])))</f>
        <v>0.76923076923077005</v>
      </c>
      <c r="B26" s="15" t="s">
        <v>392</v>
      </c>
      <c r="D26" s="3">
        <f ca="1">IF(NOT(ISNUMBER(OFFSET(tblDimIdeal[[#This Row],[Score]],-1,0))),1,SUM(OFFSET(tblDimIdeal[[#This Row],[Score]],-1,0),-1/ROWS(tblDimIdeal[Score])))</f>
        <v>0.6923076923076934</v>
      </c>
      <c r="E26" s="15" t="s">
        <v>393</v>
      </c>
      <c r="G26" s="3">
        <f ca="1">IF(NOT(ISNUMBER(OFFSET(tblDimBond[[#This Row],[Score]],-1,0))),1,SUM(OFFSET(tblDimBond[[#This Row],[Score]],-1,0),-1/ROWS(tblDimBond[Score])))</f>
        <v>0.6923076923076934</v>
      </c>
      <c r="H26" s="15" t="s">
        <v>394</v>
      </c>
      <c r="J26" s="3">
        <f ca="1">IF(NOT(ISNUMBER(OFFSET(tblDimFlaw[[#This Row],[Score]],-1,0))),1,SUM(OFFSET(tblDimFlaw[[#This Row],[Score]],-1,0),-1/ROWS(tblDimFlaw[Score])))</f>
        <v>0.6923076923076934</v>
      </c>
      <c r="K26" s="15" t="s">
        <v>395</v>
      </c>
    </row>
    <row r="27" spans="1:17" x14ac:dyDescent="0.2">
      <c r="A27" s="3">
        <f ca="1">IF(NOT(ISNUMBER(OFFSET(tblDimPersonalityTrait[[#This Row],[Score]],-1,0))),1,SUM(OFFSET(tblDimPersonalityTrait[[#This Row],[Score]],-1,0),-1/ROWS(tblDimPersonalityTrait[Score])))</f>
        <v>0.75961538461538547</v>
      </c>
      <c r="B27" s="15" t="s">
        <v>396</v>
      </c>
      <c r="D27" s="3">
        <f ca="1">IF(NOT(ISNUMBER(OFFSET(tblDimIdeal[[#This Row],[Score]],-1,0))),1,SUM(OFFSET(tblDimIdeal[[#This Row],[Score]],-1,0),-1/ROWS(tblDimIdeal[Score])))</f>
        <v>0.67948717948718063</v>
      </c>
      <c r="E27" s="15" t="s">
        <v>397</v>
      </c>
      <c r="G27" s="3">
        <f ca="1">IF(NOT(ISNUMBER(OFFSET(tblDimBond[[#This Row],[Score]],-1,0))),1,SUM(OFFSET(tblDimBond[[#This Row],[Score]],-1,0),-1/ROWS(tblDimBond[Score])))</f>
        <v>0.67948717948718063</v>
      </c>
      <c r="H27" s="15" t="s">
        <v>398</v>
      </c>
      <c r="J27" s="3">
        <f ca="1">IF(NOT(ISNUMBER(OFFSET(tblDimFlaw[[#This Row],[Score]],-1,0))),1,SUM(OFFSET(tblDimFlaw[[#This Row],[Score]],-1,0),-1/ROWS(tblDimFlaw[Score])))</f>
        <v>0.67948717948718063</v>
      </c>
      <c r="K27" s="15" t="s">
        <v>399</v>
      </c>
    </row>
    <row r="28" spans="1:17" x14ac:dyDescent="0.2">
      <c r="A28" s="3">
        <f ca="1">IF(NOT(ISNUMBER(OFFSET(tblDimPersonalityTrait[[#This Row],[Score]],-1,0))),1,SUM(OFFSET(tblDimPersonalityTrait[[#This Row],[Score]],-1,0),-1/ROWS(tblDimPersonalityTrait[Score])))</f>
        <v>0.75000000000000089</v>
      </c>
      <c r="B28" s="15" t="s">
        <v>400</v>
      </c>
      <c r="D28" s="3">
        <f ca="1">IF(NOT(ISNUMBER(OFFSET(tblDimIdeal[[#This Row],[Score]],-1,0))),1,SUM(OFFSET(tblDimIdeal[[#This Row],[Score]],-1,0),-1/ROWS(tblDimIdeal[Score])))</f>
        <v>0.66666666666666785</v>
      </c>
      <c r="E28" s="15" t="s">
        <v>401</v>
      </c>
      <c r="G28" s="3">
        <f ca="1">IF(NOT(ISNUMBER(OFFSET(tblDimBond[[#This Row],[Score]],-1,0))),1,SUM(OFFSET(tblDimBond[[#This Row],[Score]],-1,0),-1/ROWS(tblDimBond[Score])))</f>
        <v>0.66666666666666785</v>
      </c>
      <c r="H28" s="15" t="s">
        <v>402</v>
      </c>
      <c r="J28" s="3">
        <f ca="1">IF(NOT(ISNUMBER(OFFSET(tblDimFlaw[[#This Row],[Score]],-1,0))),1,SUM(OFFSET(tblDimFlaw[[#This Row],[Score]],-1,0),-1/ROWS(tblDimFlaw[Score])))</f>
        <v>0.66666666666666785</v>
      </c>
      <c r="K28" s="15" t="s">
        <v>403</v>
      </c>
    </row>
    <row r="29" spans="1:17" x14ac:dyDescent="0.2">
      <c r="A29" s="3">
        <f ca="1">IF(NOT(ISNUMBER(OFFSET(tblDimPersonalityTrait[[#This Row],[Score]],-1,0))),1,SUM(OFFSET(tblDimPersonalityTrait[[#This Row],[Score]],-1,0),-1/ROWS(tblDimPersonalityTrait[Score])))</f>
        <v>0.74038461538461631</v>
      </c>
      <c r="B29" s="15" t="s">
        <v>404</v>
      </c>
      <c r="D29" s="3">
        <f ca="1">IF(NOT(ISNUMBER(OFFSET(tblDimIdeal[[#This Row],[Score]],-1,0))),1,SUM(OFFSET(tblDimIdeal[[#This Row],[Score]],-1,0),-1/ROWS(tblDimIdeal[Score])))</f>
        <v>0.65384615384615508</v>
      </c>
      <c r="E29" s="15" t="s">
        <v>405</v>
      </c>
      <c r="G29" s="3">
        <f ca="1">IF(NOT(ISNUMBER(OFFSET(tblDimBond[[#This Row],[Score]],-1,0))),1,SUM(OFFSET(tblDimBond[[#This Row],[Score]],-1,0),-1/ROWS(tblDimBond[Score])))</f>
        <v>0.65384615384615508</v>
      </c>
      <c r="H29" s="15" t="s">
        <v>406</v>
      </c>
      <c r="J29" s="3">
        <f ca="1">IF(NOT(ISNUMBER(OFFSET(tblDimFlaw[[#This Row],[Score]],-1,0))),1,SUM(OFFSET(tblDimFlaw[[#This Row],[Score]],-1,0),-1/ROWS(tblDimFlaw[Score])))</f>
        <v>0.65384615384615508</v>
      </c>
      <c r="K29" s="15" t="s">
        <v>407</v>
      </c>
    </row>
    <row r="30" spans="1:17" x14ac:dyDescent="0.2">
      <c r="A30" s="3">
        <f ca="1">IF(NOT(ISNUMBER(OFFSET(tblDimPersonalityTrait[[#This Row],[Score]],-1,0))),1,SUM(OFFSET(tblDimPersonalityTrait[[#This Row],[Score]],-1,0),-1/ROWS(tblDimPersonalityTrait[Score])))</f>
        <v>0.73076923076923173</v>
      </c>
      <c r="B30" s="15" t="s">
        <v>408</v>
      </c>
      <c r="D30" s="3">
        <f ca="1">IF(NOT(ISNUMBER(OFFSET(tblDimIdeal[[#This Row],[Score]],-1,0))),1,SUM(OFFSET(tblDimIdeal[[#This Row],[Score]],-1,0),-1/ROWS(tblDimIdeal[Score])))</f>
        <v>0.6410256410256423</v>
      </c>
      <c r="E30" s="15" t="s">
        <v>409</v>
      </c>
      <c r="G30" s="3">
        <f ca="1">IF(NOT(ISNUMBER(OFFSET(tblDimBond[[#This Row],[Score]],-1,0))),1,SUM(OFFSET(tblDimBond[[#This Row],[Score]],-1,0),-1/ROWS(tblDimBond[Score])))</f>
        <v>0.6410256410256423</v>
      </c>
      <c r="H30" s="15" t="s">
        <v>410</v>
      </c>
      <c r="J30" s="3">
        <f ca="1">IF(NOT(ISNUMBER(OFFSET(tblDimFlaw[[#This Row],[Score]],-1,0))),1,SUM(OFFSET(tblDimFlaw[[#This Row],[Score]],-1,0),-1/ROWS(tblDimFlaw[Score])))</f>
        <v>0.6410256410256423</v>
      </c>
      <c r="K30" s="15" t="s">
        <v>411</v>
      </c>
    </row>
    <row r="31" spans="1:17" x14ac:dyDescent="0.2">
      <c r="A31" s="3">
        <f ca="1">IF(NOT(ISNUMBER(OFFSET(tblDimPersonalityTrait[[#This Row],[Score]],-1,0))),1,SUM(OFFSET(tblDimPersonalityTrait[[#This Row],[Score]],-1,0),-1/ROWS(tblDimPersonalityTrait[Score])))</f>
        <v>0.72115384615384714</v>
      </c>
      <c r="B31" s="15" t="s">
        <v>412</v>
      </c>
      <c r="D31" s="3">
        <f ca="1">IF(NOT(ISNUMBER(OFFSET(tblDimIdeal[[#This Row],[Score]],-1,0))),1,SUM(OFFSET(tblDimIdeal[[#This Row],[Score]],-1,0),-1/ROWS(tblDimIdeal[Score])))</f>
        <v>0.62820512820512953</v>
      </c>
      <c r="E31" s="15" t="s">
        <v>413</v>
      </c>
      <c r="G31" s="3">
        <f ca="1">IF(NOT(ISNUMBER(OFFSET(tblDimBond[[#This Row],[Score]],-1,0))),1,SUM(OFFSET(tblDimBond[[#This Row],[Score]],-1,0),-1/ROWS(tblDimBond[Score])))</f>
        <v>0.62820512820512953</v>
      </c>
      <c r="H31" s="15" t="s">
        <v>414</v>
      </c>
      <c r="J31" s="3">
        <f ca="1">IF(NOT(ISNUMBER(OFFSET(tblDimFlaw[[#This Row],[Score]],-1,0))),1,SUM(OFFSET(tblDimFlaw[[#This Row],[Score]],-1,0),-1/ROWS(tblDimFlaw[Score])))</f>
        <v>0.62820512820512953</v>
      </c>
      <c r="K31" s="15" t="s">
        <v>415</v>
      </c>
    </row>
    <row r="32" spans="1:17" x14ac:dyDescent="0.2">
      <c r="A32" s="3">
        <f ca="1">IF(NOT(ISNUMBER(OFFSET(tblDimPersonalityTrait[[#This Row],[Score]],-1,0))),1,SUM(OFFSET(tblDimPersonalityTrait[[#This Row],[Score]],-1,0),-1/ROWS(tblDimPersonalityTrait[Score])))</f>
        <v>0.71153846153846256</v>
      </c>
      <c r="B32" s="15" t="s">
        <v>416</v>
      </c>
      <c r="D32" s="3">
        <f ca="1">IF(NOT(ISNUMBER(OFFSET(tblDimIdeal[[#This Row],[Score]],-1,0))),1,SUM(OFFSET(tblDimIdeal[[#This Row],[Score]],-1,0),-1/ROWS(tblDimIdeal[Score])))</f>
        <v>0.61538461538461675</v>
      </c>
      <c r="E32" s="15" t="s">
        <v>417</v>
      </c>
      <c r="G32" s="3">
        <f ca="1">IF(NOT(ISNUMBER(OFFSET(tblDimBond[[#This Row],[Score]],-1,0))),1,SUM(OFFSET(tblDimBond[[#This Row],[Score]],-1,0),-1/ROWS(tblDimBond[Score])))</f>
        <v>0.61538461538461675</v>
      </c>
      <c r="H32" s="15" t="s">
        <v>418</v>
      </c>
      <c r="J32" s="3">
        <f ca="1">IF(NOT(ISNUMBER(OFFSET(tblDimFlaw[[#This Row],[Score]],-1,0))),1,SUM(OFFSET(tblDimFlaw[[#This Row],[Score]],-1,0),-1/ROWS(tblDimFlaw[Score])))</f>
        <v>0.61538461538461675</v>
      </c>
      <c r="K32" s="15" t="s">
        <v>419</v>
      </c>
    </row>
    <row r="33" spans="1:11" x14ac:dyDescent="0.2">
      <c r="A33" s="3">
        <f ca="1">IF(NOT(ISNUMBER(OFFSET(tblDimPersonalityTrait[[#This Row],[Score]],-1,0))),1,SUM(OFFSET(tblDimPersonalityTrait[[#This Row],[Score]],-1,0),-1/ROWS(tblDimPersonalityTrait[Score])))</f>
        <v>0.70192307692307798</v>
      </c>
      <c r="B33" s="15" t="s">
        <v>420</v>
      </c>
      <c r="D33" s="3">
        <f ca="1">IF(NOT(ISNUMBER(OFFSET(tblDimIdeal[[#This Row],[Score]],-1,0))),1,SUM(OFFSET(tblDimIdeal[[#This Row],[Score]],-1,0),-1/ROWS(tblDimIdeal[Score])))</f>
        <v>0.60256410256410398</v>
      </c>
      <c r="E33" s="15" t="s">
        <v>421</v>
      </c>
      <c r="G33" s="3">
        <f ca="1">IF(NOT(ISNUMBER(OFFSET(tblDimBond[[#This Row],[Score]],-1,0))),1,SUM(OFFSET(tblDimBond[[#This Row],[Score]],-1,0),-1/ROWS(tblDimBond[Score])))</f>
        <v>0.60256410256410398</v>
      </c>
      <c r="H33" s="15" t="s">
        <v>422</v>
      </c>
      <c r="J33" s="3">
        <f ca="1">IF(NOT(ISNUMBER(OFFSET(tblDimFlaw[[#This Row],[Score]],-1,0))),1,SUM(OFFSET(tblDimFlaw[[#This Row],[Score]],-1,0),-1/ROWS(tblDimFlaw[Score])))</f>
        <v>0.60256410256410398</v>
      </c>
      <c r="K33" s="15" t="s">
        <v>423</v>
      </c>
    </row>
    <row r="34" spans="1:11" x14ac:dyDescent="0.2">
      <c r="A34" s="3">
        <f ca="1">IF(NOT(ISNUMBER(OFFSET(tblDimPersonalityTrait[[#This Row],[Score]],-1,0))),1,SUM(OFFSET(tblDimPersonalityTrait[[#This Row],[Score]],-1,0),-1/ROWS(tblDimPersonalityTrait[Score])))</f>
        <v>0.6923076923076934</v>
      </c>
      <c r="B34" s="15" t="s">
        <v>424</v>
      </c>
      <c r="D34" s="3">
        <f ca="1">IF(NOT(ISNUMBER(OFFSET(tblDimIdeal[[#This Row],[Score]],-1,0))),1,SUM(OFFSET(tblDimIdeal[[#This Row],[Score]],-1,0),-1/ROWS(tblDimIdeal[Score])))</f>
        <v>0.5897435897435912</v>
      </c>
      <c r="E34" s="15" t="s">
        <v>425</v>
      </c>
      <c r="G34" s="3">
        <f ca="1">IF(NOT(ISNUMBER(OFFSET(tblDimBond[[#This Row],[Score]],-1,0))),1,SUM(OFFSET(tblDimBond[[#This Row],[Score]],-1,0),-1/ROWS(tblDimBond[Score])))</f>
        <v>0.5897435897435912</v>
      </c>
      <c r="H34" s="15" t="s">
        <v>426</v>
      </c>
      <c r="J34" s="3">
        <f ca="1">IF(NOT(ISNUMBER(OFFSET(tblDimFlaw[[#This Row],[Score]],-1,0))),1,SUM(OFFSET(tblDimFlaw[[#This Row],[Score]],-1,0),-1/ROWS(tblDimFlaw[Score])))</f>
        <v>0.5897435897435912</v>
      </c>
      <c r="K34" s="15" t="s">
        <v>427</v>
      </c>
    </row>
    <row r="35" spans="1:11" x14ac:dyDescent="0.2">
      <c r="A35" s="3">
        <f ca="1">IF(NOT(ISNUMBER(OFFSET(tblDimPersonalityTrait[[#This Row],[Score]],-1,0))),1,SUM(OFFSET(tblDimPersonalityTrait[[#This Row],[Score]],-1,0),-1/ROWS(tblDimPersonalityTrait[Score])))</f>
        <v>0.68269230769230882</v>
      </c>
      <c r="B35" s="15" t="s">
        <v>428</v>
      </c>
      <c r="D35" s="3">
        <f ca="1">IF(NOT(ISNUMBER(OFFSET(tblDimIdeal[[#This Row],[Score]],-1,0))),1,SUM(OFFSET(tblDimIdeal[[#This Row],[Score]],-1,0),-1/ROWS(tblDimIdeal[Score])))</f>
        <v>0.57692307692307843</v>
      </c>
      <c r="E35" s="15" t="s">
        <v>429</v>
      </c>
      <c r="G35" s="3">
        <f ca="1">IF(NOT(ISNUMBER(OFFSET(tblDimBond[[#This Row],[Score]],-1,0))),1,SUM(OFFSET(tblDimBond[[#This Row],[Score]],-1,0),-1/ROWS(tblDimBond[Score])))</f>
        <v>0.57692307692307843</v>
      </c>
      <c r="H35" s="15" t="s">
        <v>430</v>
      </c>
      <c r="J35" s="3">
        <f ca="1">IF(NOT(ISNUMBER(OFFSET(tblDimFlaw[[#This Row],[Score]],-1,0))),1,SUM(OFFSET(tblDimFlaw[[#This Row],[Score]],-1,0),-1/ROWS(tblDimFlaw[Score])))</f>
        <v>0.57692307692307843</v>
      </c>
      <c r="K35" s="15" t="s">
        <v>431</v>
      </c>
    </row>
    <row r="36" spans="1:11" x14ac:dyDescent="0.2">
      <c r="A36" s="3">
        <f ca="1">IF(NOT(ISNUMBER(OFFSET(tblDimPersonalityTrait[[#This Row],[Score]],-1,0))),1,SUM(OFFSET(tblDimPersonalityTrait[[#This Row],[Score]],-1,0),-1/ROWS(tblDimPersonalityTrait[Score])))</f>
        <v>0.67307692307692424</v>
      </c>
      <c r="B36" s="15" t="s">
        <v>432</v>
      </c>
      <c r="D36" s="3">
        <f ca="1">IF(NOT(ISNUMBER(OFFSET(tblDimIdeal[[#This Row],[Score]],-1,0))),1,SUM(OFFSET(tblDimIdeal[[#This Row],[Score]],-1,0),-1/ROWS(tblDimIdeal[Score])))</f>
        <v>0.56410256410256565</v>
      </c>
      <c r="E36" s="15" t="s">
        <v>433</v>
      </c>
      <c r="G36" s="3">
        <f ca="1">IF(NOT(ISNUMBER(OFFSET(tblDimBond[[#This Row],[Score]],-1,0))),1,SUM(OFFSET(tblDimBond[[#This Row],[Score]],-1,0),-1/ROWS(tblDimBond[Score])))</f>
        <v>0.56410256410256565</v>
      </c>
      <c r="H36" s="15" t="s">
        <v>434</v>
      </c>
      <c r="J36" s="3">
        <f ca="1">IF(NOT(ISNUMBER(OFFSET(tblDimFlaw[[#This Row],[Score]],-1,0))),1,SUM(OFFSET(tblDimFlaw[[#This Row],[Score]],-1,0),-1/ROWS(tblDimFlaw[Score])))</f>
        <v>0.56410256410256565</v>
      </c>
      <c r="K36" s="15" t="s">
        <v>435</v>
      </c>
    </row>
    <row r="37" spans="1:11" x14ac:dyDescent="0.2">
      <c r="A37" s="3">
        <f ca="1">IF(NOT(ISNUMBER(OFFSET(tblDimPersonalityTrait[[#This Row],[Score]],-1,0))),1,SUM(OFFSET(tblDimPersonalityTrait[[#This Row],[Score]],-1,0),-1/ROWS(tblDimPersonalityTrait[Score])))</f>
        <v>0.66346153846153966</v>
      </c>
      <c r="B37" s="15" t="s">
        <v>436</v>
      </c>
      <c r="D37" s="3">
        <f ca="1">IF(NOT(ISNUMBER(OFFSET(tblDimIdeal[[#This Row],[Score]],-1,0))),1,SUM(OFFSET(tblDimIdeal[[#This Row],[Score]],-1,0),-1/ROWS(tblDimIdeal[Score])))</f>
        <v>0.55128205128205288</v>
      </c>
      <c r="E37" s="15" t="s">
        <v>437</v>
      </c>
      <c r="G37" s="3">
        <f ca="1">IF(NOT(ISNUMBER(OFFSET(tblDimBond[[#This Row],[Score]],-1,0))),1,SUM(OFFSET(tblDimBond[[#This Row],[Score]],-1,0),-1/ROWS(tblDimBond[Score])))</f>
        <v>0.55128205128205288</v>
      </c>
      <c r="H37" s="15" t="s">
        <v>438</v>
      </c>
      <c r="J37" s="3">
        <f ca="1">IF(NOT(ISNUMBER(OFFSET(tblDimFlaw[[#This Row],[Score]],-1,0))),1,SUM(OFFSET(tblDimFlaw[[#This Row],[Score]],-1,0),-1/ROWS(tblDimFlaw[Score])))</f>
        <v>0.55128205128205288</v>
      </c>
      <c r="K37" s="15" t="s">
        <v>439</v>
      </c>
    </row>
    <row r="38" spans="1:11" x14ac:dyDescent="0.2">
      <c r="A38" s="3">
        <f ca="1">IF(NOT(ISNUMBER(OFFSET(tblDimPersonalityTrait[[#This Row],[Score]],-1,0))),1,SUM(OFFSET(tblDimPersonalityTrait[[#This Row],[Score]],-1,0),-1/ROWS(tblDimPersonalityTrait[Score])))</f>
        <v>0.65384615384615508</v>
      </c>
      <c r="B38" s="15" t="s">
        <v>440</v>
      </c>
      <c r="D38" s="3">
        <f ca="1">IF(NOT(ISNUMBER(OFFSET(tblDimIdeal[[#This Row],[Score]],-1,0))),1,SUM(OFFSET(tblDimIdeal[[#This Row],[Score]],-1,0),-1/ROWS(tblDimIdeal[Score])))</f>
        <v>0.5384615384615401</v>
      </c>
      <c r="E38" s="15" t="s">
        <v>441</v>
      </c>
      <c r="G38" s="3">
        <f ca="1">IF(NOT(ISNUMBER(OFFSET(tblDimBond[[#This Row],[Score]],-1,0))),1,SUM(OFFSET(tblDimBond[[#This Row],[Score]],-1,0),-1/ROWS(tblDimBond[Score])))</f>
        <v>0.5384615384615401</v>
      </c>
      <c r="H38" s="15" t="s">
        <v>442</v>
      </c>
      <c r="J38" s="3">
        <f ca="1">IF(NOT(ISNUMBER(OFFSET(tblDimFlaw[[#This Row],[Score]],-1,0))),1,SUM(OFFSET(tblDimFlaw[[#This Row],[Score]],-1,0),-1/ROWS(tblDimFlaw[Score])))</f>
        <v>0.5384615384615401</v>
      </c>
      <c r="K38" s="15" t="s">
        <v>443</v>
      </c>
    </row>
    <row r="39" spans="1:11" x14ac:dyDescent="0.2">
      <c r="A39" s="3">
        <f ca="1">IF(NOT(ISNUMBER(OFFSET(tblDimPersonalityTrait[[#This Row],[Score]],-1,0))),1,SUM(OFFSET(tblDimPersonalityTrait[[#This Row],[Score]],-1,0),-1/ROWS(tblDimPersonalityTrait[Score])))</f>
        <v>0.64423076923077049</v>
      </c>
      <c r="B39" s="15" t="s">
        <v>444</v>
      </c>
      <c r="D39" s="3">
        <f ca="1">IF(NOT(ISNUMBER(OFFSET(tblDimIdeal[[#This Row],[Score]],-1,0))),1,SUM(OFFSET(tblDimIdeal[[#This Row],[Score]],-1,0),-1/ROWS(tblDimIdeal[Score])))</f>
        <v>0.52564102564102733</v>
      </c>
      <c r="E39" s="15" t="s">
        <v>445</v>
      </c>
      <c r="G39" s="3">
        <f ca="1">IF(NOT(ISNUMBER(OFFSET(tblDimBond[[#This Row],[Score]],-1,0))),1,SUM(OFFSET(tblDimBond[[#This Row],[Score]],-1,0),-1/ROWS(tblDimBond[Score])))</f>
        <v>0.52564102564102733</v>
      </c>
      <c r="H39" s="15" t="s">
        <v>446</v>
      </c>
      <c r="J39" s="3">
        <f ca="1">IF(NOT(ISNUMBER(OFFSET(tblDimFlaw[[#This Row],[Score]],-1,0))),1,SUM(OFFSET(tblDimFlaw[[#This Row],[Score]],-1,0),-1/ROWS(tblDimFlaw[Score])))</f>
        <v>0.52564102564102733</v>
      </c>
      <c r="K39" s="15" t="s">
        <v>447</v>
      </c>
    </row>
    <row r="40" spans="1:11" x14ac:dyDescent="0.2">
      <c r="A40" s="3">
        <f ca="1">IF(NOT(ISNUMBER(OFFSET(tblDimPersonalityTrait[[#This Row],[Score]],-1,0))),1,SUM(OFFSET(tblDimPersonalityTrait[[#This Row],[Score]],-1,0),-1/ROWS(tblDimPersonalityTrait[Score])))</f>
        <v>0.63461538461538591</v>
      </c>
      <c r="B40" s="15" t="s">
        <v>448</v>
      </c>
      <c r="D40" s="3">
        <f ca="1">IF(NOT(ISNUMBER(OFFSET(tblDimIdeal[[#This Row],[Score]],-1,0))),1,SUM(OFFSET(tblDimIdeal[[#This Row],[Score]],-1,0),-1/ROWS(tblDimIdeal[Score])))</f>
        <v>0.51282051282051455</v>
      </c>
      <c r="E40" s="15" t="s">
        <v>449</v>
      </c>
      <c r="G40" s="3">
        <f ca="1">IF(NOT(ISNUMBER(OFFSET(tblDimBond[[#This Row],[Score]],-1,0))),1,SUM(OFFSET(tblDimBond[[#This Row],[Score]],-1,0),-1/ROWS(tblDimBond[Score])))</f>
        <v>0.51282051282051455</v>
      </c>
      <c r="H40" s="15" t="s">
        <v>450</v>
      </c>
      <c r="J40" s="3">
        <f ca="1">IF(NOT(ISNUMBER(OFFSET(tblDimFlaw[[#This Row],[Score]],-1,0))),1,SUM(OFFSET(tblDimFlaw[[#This Row],[Score]],-1,0),-1/ROWS(tblDimFlaw[Score])))</f>
        <v>0.51282051282051455</v>
      </c>
      <c r="K40" s="15" t="s">
        <v>451</v>
      </c>
    </row>
    <row r="41" spans="1:11" x14ac:dyDescent="0.2">
      <c r="A41" s="3">
        <f ca="1">IF(NOT(ISNUMBER(OFFSET(tblDimPersonalityTrait[[#This Row],[Score]],-1,0))),1,SUM(OFFSET(tblDimPersonalityTrait[[#This Row],[Score]],-1,0),-1/ROWS(tblDimPersonalityTrait[Score])))</f>
        <v>0.62500000000000133</v>
      </c>
      <c r="B41" s="15" t="s">
        <v>452</v>
      </c>
      <c r="D41" s="3">
        <f ca="1">IF(NOT(ISNUMBER(OFFSET(tblDimIdeal[[#This Row],[Score]],-1,0))),1,SUM(OFFSET(tblDimIdeal[[#This Row],[Score]],-1,0),-1/ROWS(tblDimIdeal[Score])))</f>
        <v>0.50000000000000178</v>
      </c>
      <c r="E41" s="15" t="s">
        <v>453</v>
      </c>
      <c r="G41" s="3">
        <f ca="1">IF(NOT(ISNUMBER(OFFSET(tblDimBond[[#This Row],[Score]],-1,0))),1,SUM(OFFSET(tblDimBond[[#This Row],[Score]],-1,0),-1/ROWS(tblDimBond[Score])))</f>
        <v>0.50000000000000178</v>
      </c>
      <c r="H41" s="15" t="s">
        <v>454</v>
      </c>
      <c r="J41" s="3">
        <f ca="1">IF(NOT(ISNUMBER(OFFSET(tblDimFlaw[[#This Row],[Score]],-1,0))),1,SUM(OFFSET(tblDimFlaw[[#This Row],[Score]],-1,0),-1/ROWS(tblDimFlaw[Score])))</f>
        <v>0.50000000000000178</v>
      </c>
      <c r="K41" s="15" t="s">
        <v>455</v>
      </c>
    </row>
    <row r="42" spans="1:11" x14ac:dyDescent="0.2">
      <c r="A42" s="3">
        <f ca="1">IF(NOT(ISNUMBER(OFFSET(tblDimPersonalityTrait[[#This Row],[Score]],-1,0))),1,SUM(OFFSET(tblDimPersonalityTrait[[#This Row],[Score]],-1,0),-1/ROWS(tblDimPersonalityTrait[Score])))</f>
        <v>0.61538461538461675</v>
      </c>
      <c r="B42" s="15" t="s">
        <v>456</v>
      </c>
      <c r="D42" s="3">
        <f ca="1">IF(NOT(ISNUMBER(OFFSET(tblDimIdeal[[#This Row],[Score]],-1,0))),1,SUM(OFFSET(tblDimIdeal[[#This Row],[Score]],-1,0),-1/ROWS(tblDimIdeal[Score])))</f>
        <v>0.48717948717948895</v>
      </c>
      <c r="E42" s="15" t="s">
        <v>457</v>
      </c>
      <c r="G42" s="3">
        <f ca="1">IF(NOT(ISNUMBER(OFFSET(tblDimBond[[#This Row],[Score]],-1,0))),1,SUM(OFFSET(tblDimBond[[#This Row],[Score]],-1,0),-1/ROWS(tblDimBond[Score])))</f>
        <v>0.48717948717948895</v>
      </c>
      <c r="H42" s="15" t="s">
        <v>458</v>
      </c>
      <c r="J42" s="3">
        <f ca="1">IF(NOT(ISNUMBER(OFFSET(tblDimFlaw[[#This Row],[Score]],-1,0))),1,SUM(OFFSET(tblDimFlaw[[#This Row],[Score]],-1,0),-1/ROWS(tblDimFlaw[Score])))</f>
        <v>0.48717948717948895</v>
      </c>
      <c r="K42" s="15" t="s">
        <v>459</v>
      </c>
    </row>
    <row r="43" spans="1:11" x14ac:dyDescent="0.2">
      <c r="A43" s="3">
        <f ca="1">IF(NOT(ISNUMBER(OFFSET(tblDimPersonalityTrait[[#This Row],[Score]],-1,0))),1,SUM(OFFSET(tblDimPersonalityTrait[[#This Row],[Score]],-1,0),-1/ROWS(tblDimPersonalityTrait[Score])))</f>
        <v>0.60576923076923217</v>
      </c>
      <c r="B43" s="15" t="s">
        <v>460</v>
      </c>
      <c r="D43" s="3">
        <f ca="1">IF(NOT(ISNUMBER(OFFSET(tblDimIdeal[[#This Row],[Score]],-1,0))),1,SUM(OFFSET(tblDimIdeal[[#This Row],[Score]],-1,0),-1/ROWS(tblDimIdeal[Score])))</f>
        <v>0.47435897435897612</v>
      </c>
      <c r="E43" s="15" t="s">
        <v>461</v>
      </c>
      <c r="G43" s="3">
        <f ca="1">IF(NOT(ISNUMBER(OFFSET(tblDimBond[[#This Row],[Score]],-1,0))),1,SUM(OFFSET(tblDimBond[[#This Row],[Score]],-1,0),-1/ROWS(tblDimBond[Score])))</f>
        <v>0.47435897435897612</v>
      </c>
      <c r="H43" s="15" t="s">
        <v>462</v>
      </c>
      <c r="J43" s="3">
        <f ca="1">IF(NOT(ISNUMBER(OFFSET(tblDimFlaw[[#This Row],[Score]],-1,0))),1,SUM(OFFSET(tblDimFlaw[[#This Row],[Score]],-1,0),-1/ROWS(tblDimFlaw[Score])))</f>
        <v>0.47435897435897612</v>
      </c>
      <c r="K43" s="15" t="s">
        <v>463</v>
      </c>
    </row>
    <row r="44" spans="1:11" x14ac:dyDescent="0.2">
      <c r="A44" s="3">
        <f ca="1">IF(NOT(ISNUMBER(OFFSET(tblDimPersonalityTrait[[#This Row],[Score]],-1,0))),1,SUM(OFFSET(tblDimPersonalityTrait[[#This Row],[Score]],-1,0),-1/ROWS(tblDimPersonalityTrait[Score])))</f>
        <v>0.59615384615384759</v>
      </c>
      <c r="B44" s="15" t="s">
        <v>464</v>
      </c>
      <c r="D44" s="3">
        <f ca="1">IF(NOT(ISNUMBER(OFFSET(tblDimIdeal[[#This Row],[Score]],-1,0))),1,SUM(OFFSET(tblDimIdeal[[#This Row],[Score]],-1,0),-1/ROWS(tblDimIdeal[Score])))</f>
        <v>0.46153846153846328</v>
      </c>
      <c r="E44" s="15" t="s">
        <v>465</v>
      </c>
      <c r="G44" s="3">
        <f ca="1">IF(NOT(ISNUMBER(OFFSET(tblDimBond[[#This Row],[Score]],-1,0))),1,SUM(OFFSET(tblDimBond[[#This Row],[Score]],-1,0),-1/ROWS(tblDimBond[Score])))</f>
        <v>0.46153846153846328</v>
      </c>
      <c r="H44" s="15" t="s">
        <v>466</v>
      </c>
      <c r="J44" s="3">
        <f ca="1">IF(NOT(ISNUMBER(OFFSET(tblDimFlaw[[#This Row],[Score]],-1,0))),1,SUM(OFFSET(tblDimFlaw[[#This Row],[Score]],-1,0),-1/ROWS(tblDimFlaw[Score])))</f>
        <v>0.46153846153846328</v>
      </c>
      <c r="K44" s="15" t="s">
        <v>467</v>
      </c>
    </row>
    <row r="45" spans="1:11" x14ac:dyDescent="0.2">
      <c r="A45" s="3">
        <f ca="1">IF(NOT(ISNUMBER(OFFSET(tblDimPersonalityTrait[[#This Row],[Score]],-1,0))),1,SUM(OFFSET(tblDimPersonalityTrait[[#This Row],[Score]],-1,0),-1/ROWS(tblDimPersonalityTrait[Score])))</f>
        <v>0.58653846153846301</v>
      </c>
      <c r="B45" s="15" t="s">
        <v>468</v>
      </c>
      <c r="D45" s="3">
        <f ca="1">IF(NOT(ISNUMBER(OFFSET(tblDimIdeal[[#This Row],[Score]],-1,0))),1,SUM(OFFSET(tblDimIdeal[[#This Row],[Score]],-1,0),-1/ROWS(tblDimIdeal[Score])))</f>
        <v>0.44871794871795045</v>
      </c>
      <c r="E45" s="15" t="s">
        <v>469</v>
      </c>
      <c r="G45" s="3">
        <f ca="1">IF(NOT(ISNUMBER(OFFSET(tblDimBond[[#This Row],[Score]],-1,0))),1,SUM(OFFSET(tblDimBond[[#This Row],[Score]],-1,0),-1/ROWS(tblDimBond[Score])))</f>
        <v>0.44871794871795045</v>
      </c>
      <c r="H45" s="15" t="s">
        <v>470</v>
      </c>
      <c r="J45" s="3">
        <f ca="1">IF(NOT(ISNUMBER(OFFSET(tblDimFlaw[[#This Row],[Score]],-1,0))),1,SUM(OFFSET(tblDimFlaw[[#This Row],[Score]],-1,0),-1/ROWS(tblDimFlaw[Score])))</f>
        <v>0.44871794871795045</v>
      </c>
      <c r="K45" s="15" t="s">
        <v>471</v>
      </c>
    </row>
    <row r="46" spans="1:11" x14ac:dyDescent="0.2">
      <c r="A46" s="3">
        <f ca="1">IF(NOT(ISNUMBER(OFFSET(tblDimPersonalityTrait[[#This Row],[Score]],-1,0))),1,SUM(OFFSET(tblDimPersonalityTrait[[#This Row],[Score]],-1,0),-1/ROWS(tblDimPersonalityTrait[Score])))</f>
        <v>0.57692307692307843</v>
      </c>
      <c r="B46" s="15" t="s">
        <v>472</v>
      </c>
      <c r="D46" s="3">
        <f ca="1">IF(NOT(ISNUMBER(OFFSET(tblDimIdeal[[#This Row],[Score]],-1,0))),1,SUM(OFFSET(tblDimIdeal[[#This Row],[Score]],-1,0),-1/ROWS(tblDimIdeal[Score])))</f>
        <v>0.43589743589743762</v>
      </c>
      <c r="E46" s="15" t="s">
        <v>473</v>
      </c>
      <c r="G46" s="3">
        <f ca="1">IF(NOT(ISNUMBER(OFFSET(tblDimBond[[#This Row],[Score]],-1,0))),1,SUM(OFFSET(tblDimBond[[#This Row],[Score]],-1,0),-1/ROWS(tblDimBond[Score])))</f>
        <v>0.43589743589743762</v>
      </c>
      <c r="H46" s="15" t="s">
        <v>474</v>
      </c>
      <c r="J46" s="3">
        <f ca="1">IF(NOT(ISNUMBER(OFFSET(tblDimFlaw[[#This Row],[Score]],-1,0))),1,SUM(OFFSET(tblDimFlaw[[#This Row],[Score]],-1,0),-1/ROWS(tblDimFlaw[Score])))</f>
        <v>0.43589743589743762</v>
      </c>
      <c r="K46" s="15" t="s">
        <v>475</v>
      </c>
    </row>
    <row r="47" spans="1:11" x14ac:dyDescent="0.2">
      <c r="A47" s="3">
        <f ca="1">IF(NOT(ISNUMBER(OFFSET(tblDimPersonalityTrait[[#This Row],[Score]],-1,0))),1,SUM(OFFSET(tblDimPersonalityTrait[[#This Row],[Score]],-1,0),-1/ROWS(tblDimPersonalityTrait[Score])))</f>
        <v>0.56730769230769384</v>
      </c>
      <c r="B47" s="15" t="s">
        <v>476</v>
      </c>
      <c r="D47" s="3">
        <f ca="1">IF(NOT(ISNUMBER(OFFSET(tblDimIdeal[[#This Row],[Score]],-1,0))),1,SUM(OFFSET(tblDimIdeal[[#This Row],[Score]],-1,0),-1/ROWS(tblDimIdeal[Score])))</f>
        <v>0.42307692307692479</v>
      </c>
      <c r="E47" s="15" t="s">
        <v>477</v>
      </c>
      <c r="G47" s="3">
        <f ca="1">IF(NOT(ISNUMBER(OFFSET(tblDimBond[[#This Row],[Score]],-1,0))),1,SUM(OFFSET(tblDimBond[[#This Row],[Score]],-1,0),-1/ROWS(tblDimBond[Score])))</f>
        <v>0.42307692307692479</v>
      </c>
      <c r="H47" s="15" t="s">
        <v>478</v>
      </c>
      <c r="J47" s="3">
        <f ca="1">IF(NOT(ISNUMBER(OFFSET(tblDimFlaw[[#This Row],[Score]],-1,0))),1,SUM(OFFSET(tblDimFlaw[[#This Row],[Score]],-1,0),-1/ROWS(tblDimFlaw[Score])))</f>
        <v>0.42307692307692479</v>
      </c>
      <c r="K47" s="15" t="s">
        <v>479</v>
      </c>
    </row>
    <row r="48" spans="1:11" x14ac:dyDescent="0.2">
      <c r="A48" s="3">
        <f ca="1">IF(NOT(ISNUMBER(OFFSET(tblDimPersonalityTrait[[#This Row],[Score]],-1,0))),1,SUM(OFFSET(tblDimPersonalityTrait[[#This Row],[Score]],-1,0),-1/ROWS(tblDimPersonalityTrait[Score])))</f>
        <v>0.55769230769230926</v>
      </c>
      <c r="B48" s="15" t="s">
        <v>480</v>
      </c>
      <c r="D48" s="3">
        <f ca="1">IF(NOT(ISNUMBER(OFFSET(tblDimIdeal[[#This Row],[Score]],-1,0))),1,SUM(OFFSET(tblDimIdeal[[#This Row],[Score]],-1,0),-1/ROWS(tblDimIdeal[Score])))</f>
        <v>0.41025641025641196</v>
      </c>
      <c r="E48" s="15" t="s">
        <v>481</v>
      </c>
      <c r="G48" s="3">
        <f ca="1">IF(NOT(ISNUMBER(OFFSET(tblDimBond[[#This Row],[Score]],-1,0))),1,SUM(OFFSET(tblDimBond[[#This Row],[Score]],-1,0),-1/ROWS(tblDimBond[Score])))</f>
        <v>0.41025641025641196</v>
      </c>
      <c r="H48" s="15" t="s">
        <v>482</v>
      </c>
      <c r="J48" s="3">
        <f ca="1">IF(NOT(ISNUMBER(OFFSET(tblDimFlaw[[#This Row],[Score]],-1,0))),1,SUM(OFFSET(tblDimFlaw[[#This Row],[Score]],-1,0),-1/ROWS(tblDimFlaw[Score])))</f>
        <v>0.41025641025641196</v>
      </c>
      <c r="K48" s="15" t="s">
        <v>483</v>
      </c>
    </row>
    <row r="49" spans="1:11" x14ac:dyDescent="0.2">
      <c r="A49" s="3">
        <f ca="1">IF(NOT(ISNUMBER(OFFSET(tblDimPersonalityTrait[[#This Row],[Score]],-1,0))),1,SUM(OFFSET(tblDimPersonalityTrait[[#This Row],[Score]],-1,0),-1/ROWS(tblDimPersonalityTrait[Score])))</f>
        <v>0.54807692307692468</v>
      </c>
      <c r="B49" s="15" t="s">
        <v>484</v>
      </c>
      <c r="D49" s="3">
        <f ca="1">IF(NOT(ISNUMBER(OFFSET(tblDimIdeal[[#This Row],[Score]],-1,0))),1,SUM(OFFSET(tblDimIdeal[[#This Row],[Score]],-1,0),-1/ROWS(tblDimIdeal[Score])))</f>
        <v>0.39743589743589913</v>
      </c>
      <c r="E49" s="15" t="s">
        <v>485</v>
      </c>
      <c r="G49" s="3">
        <f ca="1">IF(NOT(ISNUMBER(OFFSET(tblDimBond[[#This Row],[Score]],-1,0))),1,SUM(OFFSET(tblDimBond[[#This Row],[Score]],-1,0),-1/ROWS(tblDimBond[Score])))</f>
        <v>0.39743589743589913</v>
      </c>
      <c r="H49" s="15" t="s">
        <v>486</v>
      </c>
      <c r="J49" s="3">
        <f ca="1">IF(NOT(ISNUMBER(OFFSET(tblDimFlaw[[#This Row],[Score]],-1,0))),1,SUM(OFFSET(tblDimFlaw[[#This Row],[Score]],-1,0),-1/ROWS(tblDimFlaw[Score])))</f>
        <v>0.39743589743589913</v>
      </c>
      <c r="K49" s="15" t="s">
        <v>487</v>
      </c>
    </row>
    <row r="50" spans="1:11" x14ac:dyDescent="0.2">
      <c r="A50" s="3">
        <f ca="1">IF(NOT(ISNUMBER(OFFSET(tblDimPersonalityTrait[[#This Row],[Score]],-1,0))),1,SUM(OFFSET(tblDimPersonalityTrait[[#This Row],[Score]],-1,0),-1/ROWS(tblDimPersonalityTrait[Score])))</f>
        <v>0.5384615384615401</v>
      </c>
      <c r="B50" s="15" t="s">
        <v>488</v>
      </c>
      <c r="D50" s="3">
        <f ca="1">IF(NOT(ISNUMBER(OFFSET(tblDimIdeal[[#This Row],[Score]],-1,0))),1,SUM(OFFSET(tblDimIdeal[[#This Row],[Score]],-1,0),-1/ROWS(tblDimIdeal[Score])))</f>
        <v>0.3846153846153863</v>
      </c>
      <c r="E50" s="15" t="s">
        <v>489</v>
      </c>
      <c r="G50" s="3">
        <f ca="1">IF(NOT(ISNUMBER(OFFSET(tblDimBond[[#This Row],[Score]],-1,0))),1,SUM(OFFSET(tblDimBond[[#This Row],[Score]],-1,0),-1/ROWS(tblDimBond[Score])))</f>
        <v>0.3846153846153863</v>
      </c>
      <c r="H50" s="15" t="s">
        <v>490</v>
      </c>
      <c r="J50" s="3">
        <f ca="1">IF(NOT(ISNUMBER(OFFSET(tblDimFlaw[[#This Row],[Score]],-1,0))),1,SUM(OFFSET(tblDimFlaw[[#This Row],[Score]],-1,0),-1/ROWS(tblDimFlaw[Score])))</f>
        <v>0.3846153846153863</v>
      </c>
      <c r="K50" s="15" t="s">
        <v>491</v>
      </c>
    </row>
    <row r="51" spans="1:11" x14ac:dyDescent="0.2">
      <c r="A51" s="3">
        <f ca="1">IF(NOT(ISNUMBER(OFFSET(tblDimPersonalityTrait[[#This Row],[Score]],-1,0))),1,SUM(OFFSET(tblDimPersonalityTrait[[#This Row],[Score]],-1,0),-1/ROWS(tblDimPersonalityTrait[Score])))</f>
        <v>0.52884615384615552</v>
      </c>
      <c r="B51" s="15" t="s">
        <v>492</v>
      </c>
      <c r="D51" s="3">
        <f ca="1">IF(NOT(ISNUMBER(OFFSET(tblDimIdeal[[#This Row],[Score]],-1,0))),1,SUM(OFFSET(tblDimIdeal[[#This Row],[Score]],-1,0),-1/ROWS(tblDimIdeal[Score])))</f>
        <v>0.37179487179487347</v>
      </c>
      <c r="E51" s="15" t="s">
        <v>493</v>
      </c>
      <c r="G51" s="3">
        <f ca="1">IF(NOT(ISNUMBER(OFFSET(tblDimBond[[#This Row],[Score]],-1,0))),1,SUM(OFFSET(tblDimBond[[#This Row],[Score]],-1,0),-1/ROWS(tblDimBond[Score])))</f>
        <v>0.37179487179487347</v>
      </c>
      <c r="H51" s="15" t="s">
        <v>494</v>
      </c>
      <c r="J51" s="3">
        <f ca="1">IF(NOT(ISNUMBER(OFFSET(tblDimFlaw[[#This Row],[Score]],-1,0))),1,SUM(OFFSET(tblDimFlaw[[#This Row],[Score]],-1,0),-1/ROWS(tblDimFlaw[Score])))</f>
        <v>0.37179487179487347</v>
      </c>
      <c r="K51" s="15" t="s">
        <v>495</v>
      </c>
    </row>
    <row r="52" spans="1:11" x14ac:dyDescent="0.2">
      <c r="A52" s="3">
        <f ca="1">IF(NOT(ISNUMBER(OFFSET(tblDimPersonalityTrait[[#This Row],[Score]],-1,0))),1,SUM(OFFSET(tblDimPersonalityTrait[[#This Row],[Score]],-1,0),-1/ROWS(tblDimPersonalityTrait[Score])))</f>
        <v>0.51923076923077094</v>
      </c>
      <c r="B52" s="15" t="s">
        <v>496</v>
      </c>
      <c r="D52" s="3">
        <f ca="1">IF(NOT(ISNUMBER(OFFSET(tblDimIdeal[[#This Row],[Score]],-1,0))),1,SUM(OFFSET(tblDimIdeal[[#This Row],[Score]],-1,0),-1/ROWS(tblDimIdeal[Score])))</f>
        <v>0.35897435897436064</v>
      </c>
      <c r="E52" s="15" t="s">
        <v>497</v>
      </c>
      <c r="G52" s="3">
        <f ca="1">IF(NOT(ISNUMBER(OFFSET(tblDimBond[[#This Row],[Score]],-1,0))),1,SUM(OFFSET(tblDimBond[[#This Row],[Score]],-1,0),-1/ROWS(tblDimBond[Score])))</f>
        <v>0.35897435897436064</v>
      </c>
      <c r="H52" s="15" t="s">
        <v>498</v>
      </c>
      <c r="J52" s="3">
        <f ca="1">IF(NOT(ISNUMBER(OFFSET(tblDimFlaw[[#This Row],[Score]],-1,0))),1,SUM(OFFSET(tblDimFlaw[[#This Row],[Score]],-1,0),-1/ROWS(tblDimFlaw[Score])))</f>
        <v>0.35897435897436064</v>
      </c>
      <c r="K52" s="15" t="s">
        <v>499</v>
      </c>
    </row>
    <row r="53" spans="1:11" x14ac:dyDescent="0.2">
      <c r="A53" s="3">
        <f ca="1">IF(NOT(ISNUMBER(OFFSET(tblDimPersonalityTrait[[#This Row],[Score]],-1,0))),1,SUM(OFFSET(tblDimPersonalityTrait[[#This Row],[Score]],-1,0),-1/ROWS(tblDimPersonalityTrait[Score])))</f>
        <v>0.50961538461538636</v>
      </c>
      <c r="B53" s="15" t="s">
        <v>500</v>
      </c>
      <c r="D53" s="3">
        <f ca="1">IF(NOT(ISNUMBER(OFFSET(tblDimIdeal[[#This Row],[Score]],-1,0))),1,SUM(OFFSET(tblDimIdeal[[#This Row],[Score]],-1,0),-1/ROWS(tblDimIdeal[Score])))</f>
        <v>0.34615384615384781</v>
      </c>
      <c r="E53" s="15" t="s">
        <v>501</v>
      </c>
      <c r="G53" s="3">
        <f ca="1">IF(NOT(ISNUMBER(OFFSET(tblDimBond[[#This Row],[Score]],-1,0))),1,SUM(OFFSET(tblDimBond[[#This Row],[Score]],-1,0),-1/ROWS(tblDimBond[Score])))</f>
        <v>0.34615384615384781</v>
      </c>
      <c r="H53" s="15" t="s">
        <v>502</v>
      </c>
      <c r="J53" s="3">
        <f ca="1">IF(NOT(ISNUMBER(OFFSET(tblDimFlaw[[#This Row],[Score]],-1,0))),1,SUM(OFFSET(tblDimFlaw[[#This Row],[Score]],-1,0),-1/ROWS(tblDimFlaw[Score])))</f>
        <v>0.34615384615384781</v>
      </c>
      <c r="K53" s="15" t="s">
        <v>503</v>
      </c>
    </row>
    <row r="54" spans="1:11" x14ac:dyDescent="0.2">
      <c r="A54" s="3">
        <f ca="1">IF(NOT(ISNUMBER(OFFSET(tblDimPersonalityTrait[[#This Row],[Score]],-1,0))),1,SUM(OFFSET(tblDimPersonalityTrait[[#This Row],[Score]],-1,0),-1/ROWS(tblDimPersonalityTrait[Score])))</f>
        <v>0.50000000000000178</v>
      </c>
      <c r="B54" s="15" t="s">
        <v>504</v>
      </c>
      <c r="D54" s="3">
        <f ca="1">IF(NOT(ISNUMBER(OFFSET(tblDimIdeal[[#This Row],[Score]],-1,0))),1,SUM(OFFSET(tblDimIdeal[[#This Row],[Score]],-1,0),-1/ROWS(tblDimIdeal[Score])))</f>
        <v>0.33333333333333498</v>
      </c>
      <c r="E54" s="15" t="s">
        <v>505</v>
      </c>
      <c r="G54" s="3">
        <f ca="1">IF(NOT(ISNUMBER(OFFSET(tblDimBond[[#This Row],[Score]],-1,0))),1,SUM(OFFSET(tblDimBond[[#This Row],[Score]],-1,0),-1/ROWS(tblDimBond[Score])))</f>
        <v>0.33333333333333498</v>
      </c>
      <c r="H54" s="15" t="s">
        <v>506</v>
      </c>
      <c r="J54" s="3">
        <f ca="1">IF(NOT(ISNUMBER(OFFSET(tblDimFlaw[[#This Row],[Score]],-1,0))),1,SUM(OFFSET(tblDimFlaw[[#This Row],[Score]],-1,0),-1/ROWS(tblDimFlaw[Score])))</f>
        <v>0.33333333333333498</v>
      </c>
      <c r="K54" s="15" t="s">
        <v>507</v>
      </c>
    </row>
    <row r="55" spans="1:11" x14ac:dyDescent="0.2">
      <c r="A55" s="3">
        <f ca="1">IF(NOT(ISNUMBER(OFFSET(tblDimPersonalityTrait[[#This Row],[Score]],-1,0))),1,SUM(OFFSET(tblDimPersonalityTrait[[#This Row],[Score]],-1,0),-1/ROWS(tblDimPersonalityTrait[Score])))</f>
        <v>0.49038461538461714</v>
      </c>
      <c r="B55" s="15" t="s">
        <v>508</v>
      </c>
      <c r="D55" s="3">
        <f ca="1">IF(NOT(ISNUMBER(OFFSET(tblDimIdeal[[#This Row],[Score]],-1,0))),1,SUM(OFFSET(tblDimIdeal[[#This Row],[Score]],-1,0),-1/ROWS(tblDimIdeal[Score])))</f>
        <v>0.32051282051282215</v>
      </c>
      <c r="E55" s="15" t="s">
        <v>509</v>
      </c>
      <c r="G55" s="3">
        <f ca="1">IF(NOT(ISNUMBER(OFFSET(tblDimBond[[#This Row],[Score]],-1,0))),1,SUM(OFFSET(tblDimBond[[#This Row],[Score]],-1,0),-1/ROWS(tblDimBond[Score])))</f>
        <v>0.32051282051282215</v>
      </c>
      <c r="H55" s="15" t="s">
        <v>510</v>
      </c>
      <c r="J55" s="3">
        <f ca="1">IF(NOT(ISNUMBER(OFFSET(tblDimFlaw[[#This Row],[Score]],-1,0))),1,SUM(OFFSET(tblDimFlaw[[#This Row],[Score]],-1,0),-1/ROWS(tblDimFlaw[Score])))</f>
        <v>0.32051282051282215</v>
      </c>
      <c r="K55" s="15" t="s">
        <v>511</v>
      </c>
    </row>
    <row r="56" spans="1:11" x14ac:dyDescent="0.2">
      <c r="A56" s="3">
        <f ca="1">IF(NOT(ISNUMBER(OFFSET(tblDimPersonalityTrait[[#This Row],[Score]],-1,0))),1,SUM(OFFSET(tblDimPersonalityTrait[[#This Row],[Score]],-1,0),-1/ROWS(tblDimPersonalityTrait[Score])))</f>
        <v>0.4807692307692325</v>
      </c>
      <c r="B56" s="15" t="s">
        <v>512</v>
      </c>
      <c r="D56" s="3">
        <f ca="1">IF(NOT(ISNUMBER(OFFSET(tblDimIdeal[[#This Row],[Score]],-1,0))),1,SUM(OFFSET(tblDimIdeal[[#This Row],[Score]],-1,0),-1/ROWS(tblDimIdeal[Score])))</f>
        <v>0.30769230769230932</v>
      </c>
      <c r="E56" s="15" t="s">
        <v>513</v>
      </c>
      <c r="G56" s="3">
        <f ca="1">IF(NOT(ISNUMBER(OFFSET(tblDimBond[[#This Row],[Score]],-1,0))),1,SUM(OFFSET(tblDimBond[[#This Row],[Score]],-1,0),-1/ROWS(tblDimBond[Score])))</f>
        <v>0.30769230769230932</v>
      </c>
      <c r="H56" s="15" t="s">
        <v>514</v>
      </c>
      <c r="J56" s="3">
        <f ca="1">IF(NOT(ISNUMBER(OFFSET(tblDimFlaw[[#This Row],[Score]],-1,0))),1,SUM(OFFSET(tblDimFlaw[[#This Row],[Score]],-1,0),-1/ROWS(tblDimFlaw[Score])))</f>
        <v>0.30769230769230932</v>
      </c>
      <c r="K56" s="15" t="s">
        <v>515</v>
      </c>
    </row>
    <row r="57" spans="1:11" x14ac:dyDescent="0.2">
      <c r="A57" s="3">
        <f ca="1">IF(NOT(ISNUMBER(OFFSET(tblDimPersonalityTrait[[#This Row],[Score]],-1,0))),1,SUM(OFFSET(tblDimPersonalityTrait[[#This Row],[Score]],-1,0),-1/ROWS(tblDimPersonalityTrait[Score])))</f>
        <v>0.47115384615384787</v>
      </c>
      <c r="B57" s="15" t="s">
        <v>516</v>
      </c>
      <c r="D57" s="3">
        <f ca="1">IF(NOT(ISNUMBER(OFFSET(tblDimIdeal[[#This Row],[Score]],-1,0))),1,SUM(OFFSET(tblDimIdeal[[#This Row],[Score]],-1,0),-1/ROWS(tblDimIdeal[Score])))</f>
        <v>0.29487179487179649</v>
      </c>
      <c r="E57" s="15" t="s">
        <v>517</v>
      </c>
      <c r="G57" s="3">
        <f ca="1">IF(NOT(ISNUMBER(OFFSET(tblDimBond[[#This Row],[Score]],-1,0))),1,SUM(OFFSET(tblDimBond[[#This Row],[Score]],-1,0),-1/ROWS(tblDimBond[Score])))</f>
        <v>0.29487179487179649</v>
      </c>
      <c r="H57" s="15" t="s">
        <v>518</v>
      </c>
      <c r="J57" s="3">
        <f ca="1">IF(NOT(ISNUMBER(OFFSET(tblDimFlaw[[#This Row],[Score]],-1,0))),1,SUM(OFFSET(tblDimFlaw[[#This Row],[Score]],-1,0),-1/ROWS(tblDimFlaw[Score])))</f>
        <v>0.29487179487179649</v>
      </c>
      <c r="K57" s="15" t="s">
        <v>519</v>
      </c>
    </row>
    <row r="58" spans="1:11" x14ac:dyDescent="0.2">
      <c r="A58" s="3">
        <f ca="1">IF(NOT(ISNUMBER(OFFSET(tblDimPersonalityTrait[[#This Row],[Score]],-1,0))),1,SUM(OFFSET(tblDimPersonalityTrait[[#This Row],[Score]],-1,0),-1/ROWS(tblDimPersonalityTrait[Score])))</f>
        <v>0.46153846153846323</v>
      </c>
      <c r="B58" s="15" t="s">
        <v>520</v>
      </c>
      <c r="D58" s="3">
        <f ca="1">IF(NOT(ISNUMBER(OFFSET(tblDimIdeal[[#This Row],[Score]],-1,0))),1,SUM(OFFSET(tblDimIdeal[[#This Row],[Score]],-1,0),-1/ROWS(tblDimIdeal[Score])))</f>
        <v>0.28205128205128366</v>
      </c>
      <c r="E58" s="15" t="s">
        <v>521</v>
      </c>
      <c r="G58" s="3">
        <f ca="1">IF(NOT(ISNUMBER(OFFSET(tblDimBond[[#This Row],[Score]],-1,0))),1,SUM(OFFSET(tblDimBond[[#This Row],[Score]],-1,0),-1/ROWS(tblDimBond[Score])))</f>
        <v>0.28205128205128366</v>
      </c>
      <c r="H58" s="15" t="s">
        <v>522</v>
      </c>
      <c r="J58" s="3">
        <f ca="1">IF(NOT(ISNUMBER(OFFSET(tblDimFlaw[[#This Row],[Score]],-1,0))),1,SUM(OFFSET(tblDimFlaw[[#This Row],[Score]],-1,0),-1/ROWS(tblDimFlaw[Score])))</f>
        <v>0.28205128205128366</v>
      </c>
      <c r="K58" s="15" t="s">
        <v>523</v>
      </c>
    </row>
    <row r="59" spans="1:11" x14ac:dyDescent="0.2">
      <c r="A59" s="3">
        <f ca="1">IF(NOT(ISNUMBER(OFFSET(tblDimPersonalityTrait[[#This Row],[Score]],-1,0))),1,SUM(OFFSET(tblDimPersonalityTrait[[#This Row],[Score]],-1,0),-1/ROWS(tblDimPersonalityTrait[Score])))</f>
        <v>0.45192307692307859</v>
      </c>
      <c r="B59" s="15" t="s">
        <v>524</v>
      </c>
      <c r="D59" s="3">
        <f ca="1">IF(NOT(ISNUMBER(OFFSET(tblDimIdeal[[#This Row],[Score]],-1,0))),1,SUM(OFFSET(tblDimIdeal[[#This Row],[Score]],-1,0),-1/ROWS(tblDimIdeal[Score])))</f>
        <v>0.26923076923077083</v>
      </c>
      <c r="E59" s="15" t="s">
        <v>525</v>
      </c>
      <c r="G59" s="3">
        <f ca="1">IF(NOT(ISNUMBER(OFFSET(tblDimBond[[#This Row],[Score]],-1,0))),1,SUM(OFFSET(tblDimBond[[#This Row],[Score]],-1,0),-1/ROWS(tblDimBond[Score])))</f>
        <v>0.26923076923077083</v>
      </c>
      <c r="H59" s="15" t="s">
        <v>526</v>
      </c>
      <c r="J59" s="3">
        <f ca="1">IF(NOT(ISNUMBER(OFFSET(tblDimFlaw[[#This Row],[Score]],-1,0))),1,SUM(OFFSET(tblDimFlaw[[#This Row],[Score]],-1,0),-1/ROWS(tblDimFlaw[Score])))</f>
        <v>0.26923076923077083</v>
      </c>
      <c r="K59" s="15" t="s">
        <v>527</v>
      </c>
    </row>
    <row r="60" spans="1:11" x14ac:dyDescent="0.2">
      <c r="A60" s="3">
        <f ca="1">IF(NOT(ISNUMBER(OFFSET(tblDimPersonalityTrait[[#This Row],[Score]],-1,0))),1,SUM(OFFSET(tblDimPersonalityTrait[[#This Row],[Score]],-1,0),-1/ROWS(tblDimPersonalityTrait[Score])))</f>
        <v>0.44230769230769396</v>
      </c>
      <c r="B60" s="15" t="s">
        <v>528</v>
      </c>
      <c r="D60" s="3">
        <f ca="1">IF(NOT(ISNUMBER(OFFSET(tblDimIdeal[[#This Row],[Score]],-1,0))),1,SUM(OFFSET(tblDimIdeal[[#This Row],[Score]],-1,0),-1/ROWS(tblDimIdeal[Score])))</f>
        <v>0.256410256410258</v>
      </c>
      <c r="E60" s="15" t="s">
        <v>529</v>
      </c>
      <c r="G60" s="3">
        <f ca="1">IF(NOT(ISNUMBER(OFFSET(tblDimBond[[#This Row],[Score]],-1,0))),1,SUM(OFFSET(tblDimBond[[#This Row],[Score]],-1,0),-1/ROWS(tblDimBond[Score])))</f>
        <v>0.256410256410258</v>
      </c>
      <c r="H60" s="15" t="s">
        <v>530</v>
      </c>
      <c r="J60" s="3">
        <f ca="1">IF(NOT(ISNUMBER(OFFSET(tblDimFlaw[[#This Row],[Score]],-1,0))),1,SUM(OFFSET(tblDimFlaw[[#This Row],[Score]],-1,0),-1/ROWS(tblDimFlaw[Score])))</f>
        <v>0.256410256410258</v>
      </c>
      <c r="K60" s="15" t="s">
        <v>531</v>
      </c>
    </row>
    <row r="61" spans="1:11" x14ac:dyDescent="0.2">
      <c r="A61" s="3">
        <f ca="1">IF(NOT(ISNUMBER(OFFSET(tblDimPersonalityTrait[[#This Row],[Score]],-1,0))),1,SUM(OFFSET(tblDimPersonalityTrait[[#This Row],[Score]],-1,0),-1/ROWS(tblDimPersonalityTrait[Score])))</f>
        <v>0.43269230769230932</v>
      </c>
      <c r="B61" s="15" t="s">
        <v>532</v>
      </c>
      <c r="D61" s="3">
        <f ca="1">IF(NOT(ISNUMBER(OFFSET(tblDimIdeal[[#This Row],[Score]],-1,0))),1,SUM(OFFSET(tblDimIdeal[[#This Row],[Score]],-1,0),-1/ROWS(tblDimIdeal[Score])))</f>
        <v>0.24358974358974517</v>
      </c>
      <c r="E61" s="15" t="s">
        <v>533</v>
      </c>
      <c r="G61" s="3">
        <f ca="1">IF(NOT(ISNUMBER(OFFSET(tblDimBond[[#This Row],[Score]],-1,0))),1,SUM(OFFSET(tblDimBond[[#This Row],[Score]],-1,0),-1/ROWS(tblDimBond[Score])))</f>
        <v>0.24358974358974517</v>
      </c>
      <c r="H61" s="15" t="s">
        <v>534</v>
      </c>
      <c r="J61" s="3">
        <f ca="1">IF(NOT(ISNUMBER(OFFSET(tblDimFlaw[[#This Row],[Score]],-1,0))),1,SUM(OFFSET(tblDimFlaw[[#This Row],[Score]],-1,0),-1/ROWS(tblDimFlaw[Score])))</f>
        <v>0.24358974358974517</v>
      </c>
      <c r="K61" s="15" t="s">
        <v>535</v>
      </c>
    </row>
    <row r="62" spans="1:11" x14ac:dyDescent="0.2">
      <c r="A62" s="3">
        <f ca="1">IF(NOT(ISNUMBER(OFFSET(tblDimPersonalityTrait[[#This Row],[Score]],-1,0))),1,SUM(OFFSET(tblDimPersonalityTrait[[#This Row],[Score]],-1,0),-1/ROWS(tblDimPersonalityTrait[Score])))</f>
        <v>0.42307692307692468</v>
      </c>
      <c r="B62" s="15" t="s">
        <v>536</v>
      </c>
      <c r="D62" s="3">
        <f ca="1">IF(NOT(ISNUMBER(OFFSET(tblDimIdeal[[#This Row],[Score]],-1,0))),1,SUM(OFFSET(tblDimIdeal[[#This Row],[Score]],-1,0),-1/ROWS(tblDimIdeal[Score])))</f>
        <v>0.23076923076923234</v>
      </c>
      <c r="E62" s="15" t="s">
        <v>537</v>
      </c>
      <c r="G62" s="3">
        <f ca="1">IF(NOT(ISNUMBER(OFFSET(tblDimBond[[#This Row],[Score]],-1,0))),1,SUM(OFFSET(tblDimBond[[#This Row],[Score]],-1,0),-1/ROWS(tblDimBond[Score])))</f>
        <v>0.23076923076923234</v>
      </c>
      <c r="H62" s="15" t="s">
        <v>538</v>
      </c>
      <c r="J62" s="3">
        <f ca="1">IF(NOT(ISNUMBER(OFFSET(tblDimFlaw[[#This Row],[Score]],-1,0))),1,SUM(OFFSET(tblDimFlaw[[#This Row],[Score]],-1,0),-1/ROWS(tblDimFlaw[Score])))</f>
        <v>0.23076923076923234</v>
      </c>
      <c r="K62" s="15" t="s">
        <v>539</v>
      </c>
    </row>
    <row r="63" spans="1:11" x14ac:dyDescent="0.2">
      <c r="A63" s="3">
        <f ca="1">IF(NOT(ISNUMBER(OFFSET(tblDimPersonalityTrait[[#This Row],[Score]],-1,0))),1,SUM(OFFSET(tblDimPersonalityTrait[[#This Row],[Score]],-1,0),-1/ROWS(tblDimPersonalityTrait[Score])))</f>
        <v>0.41346153846154005</v>
      </c>
      <c r="B63" s="15" t="s">
        <v>540</v>
      </c>
      <c r="D63" s="3">
        <f ca="1">IF(NOT(ISNUMBER(OFFSET(tblDimIdeal[[#This Row],[Score]],-1,0))),1,SUM(OFFSET(tblDimIdeal[[#This Row],[Score]],-1,0),-1/ROWS(tblDimIdeal[Score])))</f>
        <v>0.21794871794871951</v>
      </c>
      <c r="E63" s="15" t="s">
        <v>541</v>
      </c>
      <c r="G63" s="3">
        <f ca="1">IF(NOT(ISNUMBER(OFFSET(tblDimBond[[#This Row],[Score]],-1,0))),1,SUM(OFFSET(tblDimBond[[#This Row],[Score]],-1,0),-1/ROWS(tblDimBond[Score])))</f>
        <v>0.21794871794871951</v>
      </c>
      <c r="H63" s="15" t="s">
        <v>542</v>
      </c>
      <c r="J63" s="3">
        <f ca="1">IF(NOT(ISNUMBER(OFFSET(tblDimFlaw[[#This Row],[Score]],-1,0))),1,SUM(OFFSET(tblDimFlaw[[#This Row],[Score]],-1,0),-1/ROWS(tblDimFlaw[Score])))</f>
        <v>0.21794871794871951</v>
      </c>
      <c r="K63" s="15" t="s">
        <v>543</v>
      </c>
    </row>
    <row r="64" spans="1:11" x14ac:dyDescent="0.2">
      <c r="A64" s="3">
        <f ca="1">IF(NOT(ISNUMBER(OFFSET(tblDimPersonalityTrait[[#This Row],[Score]],-1,0))),1,SUM(OFFSET(tblDimPersonalityTrait[[#This Row],[Score]],-1,0),-1/ROWS(tblDimPersonalityTrait[Score])))</f>
        <v>0.40384615384615541</v>
      </c>
      <c r="B64" s="15" t="s">
        <v>544</v>
      </c>
      <c r="D64" s="3">
        <f ca="1">IF(NOT(ISNUMBER(OFFSET(tblDimIdeal[[#This Row],[Score]],-1,0))),1,SUM(OFFSET(tblDimIdeal[[#This Row],[Score]],-1,0),-1/ROWS(tblDimIdeal[Score])))</f>
        <v>0.20512820512820668</v>
      </c>
      <c r="E64" s="15" t="s">
        <v>545</v>
      </c>
      <c r="G64" s="3">
        <f ca="1">IF(NOT(ISNUMBER(OFFSET(tblDimBond[[#This Row],[Score]],-1,0))),1,SUM(OFFSET(tblDimBond[[#This Row],[Score]],-1,0),-1/ROWS(tblDimBond[Score])))</f>
        <v>0.20512820512820668</v>
      </c>
      <c r="H64" s="15" t="s">
        <v>546</v>
      </c>
      <c r="J64" s="3">
        <f ca="1">IF(NOT(ISNUMBER(OFFSET(tblDimFlaw[[#This Row],[Score]],-1,0))),1,SUM(OFFSET(tblDimFlaw[[#This Row],[Score]],-1,0),-1/ROWS(tblDimFlaw[Score])))</f>
        <v>0.20512820512820668</v>
      </c>
      <c r="K64" s="15" t="s">
        <v>547</v>
      </c>
    </row>
    <row r="65" spans="1:11" x14ac:dyDescent="0.2">
      <c r="A65" s="3">
        <f ca="1">IF(NOT(ISNUMBER(OFFSET(tblDimPersonalityTrait[[#This Row],[Score]],-1,0))),1,SUM(OFFSET(tblDimPersonalityTrait[[#This Row],[Score]],-1,0),-1/ROWS(tblDimPersonalityTrait[Score])))</f>
        <v>0.39423076923077077</v>
      </c>
      <c r="B65" s="15" t="s">
        <v>548</v>
      </c>
      <c r="D65" s="3">
        <f ca="1">IF(NOT(ISNUMBER(OFFSET(tblDimIdeal[[#This Row],[Score]],-1,0))),1,SUM(OFFSET(tblDimIdeal[[#This Row],[Score]],-1,0),-1/ROWS(tblDimIdeal[Score])))</f>
        <v>0.19230769230769384</v>
      </c>
      <c r="E65" s="15" t="s">
        <v>549</v>
      </c>
      <c r="G65" s="3">
        <f ca="1">IF(NOT(ISNUMBER(OFFSET(tblDimBond[[#This Row],[Score]],-1,0))),1,SUM(OFFSET(tblDimBond[[#This Row],[Score]],-1,0),-1/ROWS(tblDimBond[Score])))</f>
        <v>0.19230769230769384</v>
      </c>
      <c r="H65" s="15" t="s">
        <v>550</v>
      </c>
      <c r="J65" s="3">
        <f ca="1">IF(NOT(ISNUMBER(OFFSET(tblDimFlaw[[#This Row],[Score]],-1,0))),1,SUM(OFFSET(tblDimFlaw[[#This Row],[Score]],-1,0),-1/ROWS(tblDimFlaw[Score])))</f>
        <v>0.19230769230769384</v>
      </c>
      <c r="K65" s="15" t="s">
        <v>551</v>
      </c>
    </row>
    <row r="66" spans="1:11" x14ac:dyDescent="0.2">
      <c r="A66" s="3">
        <f ca="1">IF(NOT(ISNUMBER(OFFSET(tblDimPersonalityTrait[[#This Row],[Score]],-1,0))),1,SUM(OFFSET(tblDimPersonalityTrait[[#This Row],[Score]],-1,0),-1/ROWS(tblDimPersonalityTrait[Score])))</f>
        <v>0.38461538461538614</v>
      </c>
      <c r="B66" s="15" t="s">
        <v>552</v>
      </c>
      <c r="D66" s="3">
        <f ca="1">IF(NOT(ISNUMBER(OFFSET(tblDimIdeal[[#This Row],[Score]],-1,0))),1,SUM(OFFSET(tblDimIdeal[[#This Row],[Score]],-1,0),-1/ROWS(tblDimIdeal[Score])))</f>
        <v>0.17948717948718101</v>
      </c>
      <c r="E66" s="15" t="s">
        <v>553</v>
      </c>
      <c r="G66" s="3">
        <f ca="1">IF(NOT(ISNUMBER(OFFSET(tblDimBond[[#This Row],[Score]],-1,0))),1,SUM(OFFSET(tblDimBond[[#This Row],[Score]],-1,0),-1/ROWS(tblDimBond[Score])))</f>
        <v>0.17948717948718101</v>
      </c>
      <c r="H66" s="15" t="s">
        <v>554</v>
      </c>
      <c r="J66" s="3">
        <f ca="1">IF(NOT(ISNUMBER(OFFSET(tblDimFlaw[[#This Row],[Score]],-1,0))),1,SUM(OFFSET(tblDimFlaw[[#This Row],[Score]],-1,0),-1/ROWS(tblDimFlaw[Score])))</f>
        <v>0.17948717948718101</v>
      </c>
      <c r="K66" s="15" t="s">
        <v>555</v>
      </c>
    </row>
    <row r="67" spans="1:11" x14ac:dyDescent="0.2">
      <c r="A67" s="3">
        <f ca="1">IF(NOT(ISNUMBER(OFFSET(tblDimPersonalityTrait[[#This Row],[Score]],-1,0))),1,SUM(OFFSET(tblDimPersonalityTrait[[#This Row],[Score]],-1,0),-1/ROWS(tblDimPersonalityTrait[Score])))</f>
        <v>0.3750000000000015</v>
      </c>
      <c r="B67" s="15" t="s">
        <v>556</v>
      </c>
      <c r="D67" s="3">
        <f ca="1">IF(NOT(ISNUMBER(OFFSET(tblDimIdeal[[#This Row],[Score]],-1,0))),1,SUM(OFFSET(tblDimIdeal[[#This Row],[Score]],-1,0),-1/ROWS(tblDimIdeal[Score])))</f>
        <v>0.16666666666666818</v>
      </c>
      <c r="E67" s="15" t="s">
        <v>557</v>
      </c>
      <c r="G67" s="3">
        <f ca="1">IF(NOT(ISNUMBER(OFFSET(tblDimBond[[#This Row],[Score]],-1,0))),1,SUM(OFFSET(tblDimBond[[#This Row],[Score]],-1,0),-1/ROWS(tblDimBond[Score])))</f>
        <v>0.16666666666666818</v>
      </c>
      <c r="H67" s="15" t="s">
        <v>558</v>
      </c>
      <c r="J67" s="3">
        <f ca="1">IF(NOT(ISNUMBER(OFFSET(tblDimFlaw[[#This Row],[Score]],-1,0))),1,SUM(OFFSET(tblDimFlaw[[#This Row],[Score]],-1,0),-1/ROWS(tblDimFlaw[Score])))</f>
        <v>0.16666666666666818</v>
      </c>
      <c r="K67" s="15" t="s">
        <v>559</v>
      </c>
    </row>
    <row r="68" spans="1:11" x14ac:dyDescent="0.2">
      <c r="A68" s="3">
        <f ca="1">IF(NOT(ISNUMBER(OFFSET(tblDimPersonalityTrait[[#This Row],[Score]],-1,0))),1,SUM(OFFSET(tblDimPersonalityTrait[[#This Row],[Score]],-1,0),-1/ROWS(tblDimPersonalityTrait[Score])))</f>
        <v>0.36538461538461686</v>
      </c>
      <c r="B68" s="15" t="s">
        <v>560</v>
      </c>
      <c r="D68" s="3">
        <f ca="1">IF(NOT(ISNUMBER(OFFSET(tblDimIdeal[[#This Row],[Score]],-1,0))),1,SUM(OFFSET(tblDimIdeal[[#This Row],[Score]],-1,0),-1/ROWS(tblDimIdeal[Score])))</f>
        <v>0.15384615384615535</v>
      </c>
      <c r="E68" s="15" t="s">
        <v>561</v>
      </c>
      <c r="G68" s="3">
        <f ca="1">IF(NOT(ISNUMBER(OFFSET(tblDimBond[[#This Row],[Score]],-1,0))),1,SUM(OFFSET(tblDimBond[[#This Row],[Score]],-1,0),-1/ROWS(tblDimBond[Score])))</f>
        <v>0.15384615384615535</v>
      </c>
      <c r="H68" s="15" t="s">
        <v>562</v>
      </c>
      <c r="J68" s="3">
        <f ca="1">IF(NOT(ISNUMBER(OFFSET(tblDimFlaw[[#This Row],[Score]],-1,0))),1,SUM(OFFSET(tblDimFlaw[[#This Row],[Score]],-1,0),-1/ROWS(tblDimFlaw[Score])))</f>
        <v>0.15384615384615535</v>
      </c>
      <c r="K68" s="15" t="s">
        <v>563</v>
      </c>
    </row>
    <row r="69" spans="1:11" x14ac:dyDescent="0.2">
      <c r="A69" s="3">
        <f ca="1">IF(NOT(ISNUMBER(OFFSET(tblDimPersonalityTrait[[#This Row],[Score]],-1,0))),1,SUM(OFFSET(tblDimPersonalityTrait[[#This Row],[Score]],-1,0),-1/ROWS(tblDimPersonalityTrait[Score])))</f>
        <v>0.35576923076923223</v>
      </c>
      <c r="B69" s="15" t="s">
        <v>564</v>
      </c>
      <c r="D69" s="3">
        <f ca="1">IF(NOT(ISNUMBER(OFFSET(tblDimIdeal[[#This Row],[Score]],-1,0))),1,SUM(OFFSET(tblDimIdeal[[#This Row],[Score]],-1,0),-1/ROWS(tblDimIdeal[Score])))</f>
        <v>0.14102564102564252</v>
      </c>
      <c r="E69" s="15" t="s">
        <v>565</v>
      </c>
      <c r="G69" s="3">
        <f ca="1">IF(NOT(ISNUMBER(OFFSET(tblDimBond[[#This Row],[Score]],-1,0))),1,SUM(OFFSET(tblDimBond[[#This Row],[Score]],-1,0),-1/ROWS(tblDimBond[Score])))</f>
        <v>0.14102564102564252</v>
      </c>
      <c r="H69" s="15" t="s">
        <v>566</v>
      </c>
      <c r="J69" s="3">
        <f ca="1">IF(NOT(ISNUMBER(OFFSET(tblDimFlaw[[#This Row],[Score]],-1,0))),1,SUM(OFFSET(tblDimFlaw[[#This Row],[Score]],-1,0),-1/ROWS(tblDimFlaw[Score])))</f>
        <v>0.14102564102564252</v>
      </c>
      <c r="K69" s="15" t="s">
        <v>567</v>
      </c>
    </row>
    <row r="70" spans="1:11" x14ac:dyDescent="0.2">
      <c r="A70" s="3">
        <f ca="1">IF(NOT(ISNUMBER(OFFSET(tblDimPersonalityTrait[[#This Row],[Score]],-1,0))),1,SUM(OFFSET(tblDimPersonalityTrait[[#This Row],[Score]],-1,0),-1/ROWS(tblDimPersonalityTrait[Score])))</f>
        <v>0.34615384615384759</v>
      </c>
      <c r="B70" s="15" t="s">
        <v>568</v>
      </c>
      <c r="D70" s="3">
        <f ca="1">IF(NOT(ISNUMBER(OFFSET(tblDimIdeal[[#This Row],[Score]],-1,0))),1,SUM(OFFSET(tblDimIdeal[[#This Row],[Score]],-1,0),-1/ROWS(tblDimIdeal[Score])))</f>
        <v>0.12820512820512969</v>
      </c>
      <c r="E70" s="15" t="s">
        <v>569</v>
      </c>
      <c r="G70" s="3">
        <f ca="1">IF(NOT(ISNUMBER(OFFSET(tblDimBond[[#This Row],[Score]],-1,0))),1,SUM(OFFSET(tblDimBond[[#This Row],[Score]],-1,0),-1/ROWS(tblDimBond[Score])))</f>
        <v>0.12820512820512969</v>
      </c>
      <c r="H70" s="15" t="s">
        <v>570</v>
      </c>
      <c r="J70" s="3">
        <f ca="1">IF(NOT(ISNUMBER(OFFSET(tblDimFlaw[[#This Row],[Score]],-1,0))),1,SUM(OFFSET(tblDimFlaw[[#This Row],[Score]],-1,0),-1/ROWS(tblDimFlaw[Score])))</f>
        <v>0.12820512820512969</v>
      </c>
      <c r="K70" s="15" t="s">
        <v>571</v>
      </c>
    </row>
    <row r="71" spans="1:11" x14ac:dyDescent="0.2">
      <c r="A71" s="3">
        <f ca="1">IF(NOT(ISNUMBER(OFFSET(tblDimPersonalityTrait[[#This Row],[Score]],-1,0))),1,SUM(OFFSET(tblDimPersonalityTrait[[#This Row],[Score]],-1,0),-1/ROWS(tblDimPersonalityTrait[Score])))</f>
        <v>0.33653846153846295</v>
      </c>
      <c r="B71" s="15" t="s">
        <v>572</v>
      </c>
      <c r="D71" s="3">
        <f ca="1">IF(NOT(ISNUMBER(OFFSET(tblDimIdeal[[#This Row],[Score]],-1,0))),1,SUM(OFFSET(tblDimIdeal[[#This Row],[Score]],-1,0),-1/ROWS(tblDimIdeal[Score])))</f>
        <v>0.11538461538461688</v>
      </c>
      <c r="E71" s="15" t="s">
        <v>573</v>
      </c>
      <c r="G71" s="3">
        <f ca="1">IF(NOT(ISNUMBER(OFFSET(tblDimBond[[#This Row],[Score]],-1,0))),1,SUM(OFFSET(tblDimBond[[#This Row],[Score]],-1,0),-1/ROWS(tblDimBond[Score])))</f>
        <v>0.11538461538461688</v>
      </c>
      <c r="H71" s="15" t="s">
        <v>574</v>
      </c>
      <c r="J71" s="3">
        <f ca="1">IF(NOT(ISNUMBER(OFFSET(tblDimFlaw[[#This Row],[Score]],-1,0))),1,SUM(OFFSET(tblDimFlaw[[#This Row],[Score]],-1,0),-1/ROWS(tblDimFlaw[Score])))</f>
        <v>0.11538461538461688</v>
      </c>
      <c r="K71" s="15" t="s">
        <v>575</v>
      </c>
    </row>
    <row r="72" spans="1:11" x14ac:dyDescent="0.2">
      <c r="A72" s="3">
        <f ca="1">IF(NOT(ISNUMBER(OFFSET(tblDimPersonalityTrait[[#This Row],[Score]],-1,0))),1,SUM(OFFSET(tblDimPersonalityTrait[[#This Row],[Score]],-1,0),-1/ROWS(tblDimPersonalityTrait[Score])))</f>
        <v>0.32692307692307832</v>
      </c>
      <c r="B72" s="15" t="s">
        <v>576</v>
      </c>
      <c r="D72" s="3">
        <f ca="1">IF(NOT(ISNUMBER(OFFSET(tblDimIdeal[[#This Row],[Score]],-1,0))),1,SUM(OFFSET(tblDimIdeal[[#This Row],[Score]],-1,0),-1/ROWS(tblDimIdeal[Score])))</f>
        <v>0.10256410256410406</v>
      </c>
      <c r="E72" s="15" t="s">
        <v>577</v>
      </c>
      <c r="G72" s="3">
        <f ca="1">IF(NOT(ISNUMBER(OFFSET(tblDimBond[[#This Row],[Score]],-1,0))),1,SUM(OFFSET(tblDimBond[[#This Row],[Score]],-1,0),-1/ROWS(tblDimBond[Score])))</f>
        <v>0.10256410256410406</v>
      </c>
      <c r="H72" s="15" t="s">
        <v>578</v>
      </c>
      <c r="J72" s="3">
        <f ca="1">IF(NOT(ISNUMBER(OFFSET(tblDimFlaw[[#This Row],[Score]],-1,0))),1,SUM(OFFSET(tblDimFlaw[[#This Row],[Score]],-1,0),-1/ROWS(tblDimFlaw[Score])))</f>
        <v>0.10256410256410406</v>
      </c>
      <c r="K72" s="15" t="s">
        <v>579</v>
      </c>
    </row>
    <row r="73" spans="1:11" x14ac:dyDescent="0.2">
      <c r="A73" s="3">
        <f ca="1">IF(NOT(ISNUMBER(OFFSET(tblDimPersonalityTrait[[#This Row],[Score]],-1,0))),1,SUM(OFFSET(tblDimPersonalityTrait[[#This Row],[Score]],-1,0),-1/ROWS(tblDimPersonalityTrait[Score])))</f>
        <v>0.31730769230769368</v>
      </c>
      <c r="B73" s="15" t="s">
        <v>580</v>
      </c>
      <c r="D73" s="3">
        <f ca="1">IF(NOT(ISNUMBER(OFFSET(tblDimIdeal[[#This Row],[Score]],-1,0))),1,SUM(OFFSET(tblDimIdeal[[#This Row],[Score]],-1,0),-1/ROWS(tblDimIdeal[Score])))</f>
        <v>8.9743589743591243E-2</v>
      </c>
      <c r="E73" s="15" t="s">
        <v>581</v>
      </c>
      <c r="G73" s="3">
        <f ca="1">IF(NOT(ISNUMBER(OFFSET(tblDimBond[[#This Row],[Score]],-1,0))),1,SUM(OFFSET(tblDimBond[[#This Row],[Score]],-1,0),-1/ROWS(tblDimBond[Score])))</f>
        <v>8.9743589743591243E-2</v>
      </c>
      <c r="H73" s="15" t="s">
        <v>582</v>
      </c>
      <c r="J73" s="3">
        <f ca="1">IF(NOT(ISNUMBER(OFFSET(tblDimFlaw[[#This Row],[Score]],-1,0))),1,SUM(OFFSET(tblDimFlaw[[#This Row],[Score]],-1,0),-1/ROWS(tblDimFlaw[Score])))</f>
        <v>8.9743589743591243E-2</v>
      </c>
      <c r="K73" s="15" t="s">
        <v>583</v>
      </c>
    </row>
    <row r="74" spans="1:11" x14ac:dyDescent="0.2">
      <c r="A74" s="3">
        <f ca="1">IF(NOT(ISNUMBER(OFFSET(tblDimPersonalityTrait[[#This Row],[Score]],-1,0))),1,SUM(OFFSET(tblDimPersonalityTrait[[#This Row],[Score]],-1,0),-1/ROWS(tblDimPersonalityTrait[Score])))</f>
        <v>0.30769230769230904</v>
      </c>
      <c r="B74" s="15" t="s">
        <v>584</v>
      </c>
      <c r="D74" s="3">
        <f ca="1">IF(NOT(ISNUMBER(OFFSET(tblDimIdeal[[#This Row],[Score]],-1,0))),1,SUM(OFFSET(tblDimIdeal[[#This Row],[Score]],-1,0),-1/ROWS(tblDimIdeal[Score])))</f>
        <v>7.6923076923078426E-2</v>
      </c>
      <c r="E74" s="15" t="s">
        <v>585</v>
      </c>
      <c r="G74" s="3">
        <f ca="1">IF(NOT(ISNUMBER(OFFSET(tblDimBond[[#This Row],[Score]],-1,0))),1,SUM(OFFSET(tblDimBond[[#This Row],[Score]],-1,0),-1/ROWS(tblDimBond[Score])))</f>
        <v>7.6923076923078426E-2</v>
      </c>
      <c r="H74" s="15" t="s">
        <v>586</v>
      </c>
      <c r="J74" s="3">
        <f ca="1">IF(NOT(ISNUMBER(OFFSET(tblDimFlaw[[#This Row],[Score]],-1,0))),1,SUM(OFFSET(tblDimFlaw[[#This Row],[Score]],-1,0),-1/ROWS(tblDimFlaw[Score])))</f>
        <v>7.6923076923078426E-2</v>
      </c>
      <c r="K74" s="15" t="s">
        <v>587</v>
      </c>
    </row>
    <row r="75" spans="1:11" x14ac:dyDescent="0.2">
      <c r="A75" s="3">
        <f ca="1">IF(NOT(ISNUMBER(OFFSET(tblDimPersonalityTrait[[#This Row],[Score]],-1,0))),1,SUM(OFFSET(tblDimPersonalityTrait[[#This Row],[Score]],-1,0),-1/ROWS(tblDimPersonalityTrait[Score])))</f>
        <v>0.2980769230769244</v>
      </c>
      <c r="B75" s="15" t="s">
        <v>588</v>
      </c>
      <c r="D75" s="3">
        <f ca="1">IF(NOT(ISNUMBER(OFFSET(tblDimIdeal[[#This Row],[Score]],-1,0))),1,SUM(OFFSET(tblDimIdeal[[#This Row],[Score]],-1,0),-1/ROWS(tblDimIdeal[Score])))</f>
        <v>6.410256410256561E-2</v>
      </c>
      <c r="E75" s="15" t="s">
        <v>589</v>
      </c>
      <c r="G75" s="3">
        <f ca="1">IF(NOT(ISNUMBER(OFFSET(tblDimBond[[#This Row],[Score]],-1,0))),1,SUM(OFFSET(tblDimBond[[#This Row],[Score]],-1,0),-1/ROWS(tblDimBond[Score])))</f>
        <v>6.410256410256561E-2</v>
      </c>
      <c r="H75" s="15" t="s">
        <v>590</v>
      </c>
      <c r="J75" s="3">
        <f ca="1">IF(NOT(ISNUMBER(OFFSET(tblDimFlaw[[#This Row],[Score]],-1,0))),1,SUM(OFFSET(tblDimFlaw[[#This Row],[Score]],-1,0),-1/ROWS(tblDimFlaw[Score])))</f>
        <v>6.410256410256561E-2</v>
      </c>
      <c r="K75" s="15" t="s">
        <v>591</v>
      </c>
    </row>
    <row r="76" spans="1:11" x14ac:dyDescent="0.2">
      <c r="A76" s="3">
        <f ca="1">IF(NOT(ISNUMBER(OFFSET(tblDimPersonalityTrait[[#This Row],[Score]],-1,0))),1,SUM(OFFSET(tblDimPersonalityTrait[[#This Row],[Score]],-1,0),-1/ROWS(tblDimPersonalityTrait[Score])))</f>
        <v>0.28846153846153977</v>
      </c>
      <c r="B76" s="15" t="s">
        <v>592</v>
      </c>
      <c r="D76" s="3">
        <f ca="1">IF(NOT(ISNUMBER(OFFSET(tblDimIdeal[[#This Row],[Score]],-1,0))),1,SUM(OFFSET(tblDimIdeal[[#This Row],[Score]],-1,0),-1/ROWS(tblDimIdeal[Score])))</f>
        <v>5.1282051282052793E-2</v>
      </c>
      <c r="E76" s="15" t="s">
        <v>593</v>
      </c>
      <c r="G76" s="3">
        <f ca="1">IF(NOT(ISNUMBER(OFFSET(tblDimBond[[#This Row],[Score]],-1,0))),1,SUM(OFFSET(tblDimBond[[#This Row],[Score]],-1,0),-1/ROWS(tblDimBond[Score])))</f>
        <v>5.1282051282052793E-2</v>
      </c>
      <c r="H76" s="15" t="s">
        <v>594</v>
      </c>
      <c r="J76" s="3">
        <f ca="1">IF(NOT(ISNUMBER(OFFSET(tblDimFlaw[[#This Row],[Score]],-1,0))),1,SUM(OFFSET(tblDimFlaw[[#This Row],[Score]],-1,0),-1/ROWS(tblDimFlaw[Score])))</f>
        <v>5.1282051282052793E-2</v>
      </c>
      <c r="K76" s="15" t="s">
        <v>595</v>
      </c>
    </row>
    <row r="77" spans="1:11" x14ac:dyDescent="0.2">
      <c r="A77" s="3">
        <f ca="1">IF(NOT(ISNUMBER(OFFSET(tblDimPersonalityTrait[[#This Row],[Score]],-1,0))),1,SUM(OFFSET(tblDimPersonalityTrait[[#This Row],[Score]],-1,0),-1/ROWS(tblDimPersonalityTrait[Score])))</f>
        <v>0.27884615384615513</v>
      </c>
      <c r="B77" s="15" t="s">
        <v>596</v>
      </c>
      <c r="D77" s="3">
        <f ca="1">IF(NOT(ISNUMBER(OFFSET(tblDimIdeal[[#This Row],[Score]],-1,0))),1,SUM(OFFSET(tblDimIdeal[[#This Row],[Score]],-1,0),-1/ROWS(tblDimIdeal[Score])))</f>
        <v>3.8461538461539976E-2</v>
      </c>
      <c r="E77" s="15" t="s">
        <v>597</v>
      </c>
      <c r="G77" s="3">
        <f ca="1">IF(NOT(ISNUMBER(OFFSET(tblDimBond[[#This Row],[Score]],-1,0))),1,SUM(OFFSET(tblDimBond[[#This Row],[Score]],-1,0),-1/ROWS(tblDimBond[Score])))</f>
        <v>3.8461538461539976E-2</v>
      </c>
      <c r="H77" s="15" t="s">
        <v>598</v>
      </c>
      <c r="J77" s="3">
        <f ca="1">IF(NOT(ISNUMBER(OFFSET(tblDimFlaw[[#This Row],[Score]],-1,0))),1,SUM(OFFSET(tblDimFlaw[[#This Row],[Score]],-1,0),-1/ROWS(tblDimFlaw[Score])))</f>
        <v>3.8461538461539976E-2</v>
      </c>
      <c r="K77" s="15" t="s">
        <v>599</v>
      </c>
    </row>
    <row r="78" spans="1:11" x14ac:dyDescent="0.2">
      <c r="A78" s="3">
        <f ca="1">IF(NOT(ISNUMBER(OFFSET(tblDimPersonalityTrait[[#This Row],[Score]],-1,0))),1,SUM(OFFSET(tblDimPersonalityTrait[[#This Row],[Score]],-1,0),-1/ROWS(tblDimPersonalityTrait[Score])))</f>
        <v>0.26923076923077049</v>
      </c>
      <c r="B78" s="15" t="s">
        <v>600</v>
      </c>
      <c r="D78" s="3">
        <f ca="1">IF(NOT(ISNUMBER(OFFSET(tblDimIdeal[[#This Row],[Score]],-1,0))),1,SUM(OFFSET(tblDimIdeal[[#This Row],[Score]],-1,0),-1/ROWS(tblDimIdeal[Score])))</f>
        <v>2.5641025641027156E-2</v>
      </c>
      <c r="E78" s="15" t="s">
        <v>601</v>
      </c>
      <c r="G78" s="3">
        <f ca="1">IF(NOT(ISNUMBER(OFFSET(tblDimBond[[#This Row],[Score]],-1,0))),1,SUM(OFFSET(tblDimBond[[#This Row],[Score]],-1,0),-1/ROWS(tblDimBond[Score])))</f>
        <v>2.5641025641027156E-2</v>
      </c>
      <c r="H78" s="15" t="s">
        <v>602</v>
      </c>
      <c r="J78" s="3">
        <f ca="1">IF(NOT(ISNUMBER(OFFSET(tblDimFlaw[[#This Row],[Score]],-1,0))),1,SUM(OFFSET(tblDimFlaw[[#This Row],[Score]],-1,0),-1/ROWS(tblDimFlaw[Score])))</f>
        <v>2.5641025641027156E-2</v>
      </c>
      <c r="K78" s="15" t="s">
        <v>603</v>
      </c>
    </row>
    <row r="79" spans="1:11" x14ac:dyDescent="0.2">
      <c r="A79" s="3">
        <f ca="1">IF(NOT(ISNUMBER(OFFSET(tblDimPersonalityTrait[[#This Row],[Score]],-1,0))),1,SUM(OFFSET(tblDimPersonalityTrait[[#This Row],[Score]],-1,0),-1/ROWS(tblDimPersonalityTrait[Score])))</f>
        <v>0.25961538461538586</v>
      </c>
      <c r="B79" s="15" t="s">
        <v>604</v>
      </c>
      <c r="D79" s="3">
        <f ca="1">IF(NOT(ISNUMBER(OFFSET(tblDimIdeal[[#This Row],[Score]],-1,0))),1,SUM(OFFSET(tblDimIdeal[[#This Row],[Score]],-1,0),-1/ROWS(tblDimIdeal[Score])))</f>
        <v>1.2820512820514336E-2</v>
      </c>
      <c r="E79" s="15" t="s">
        <v>605</v>
      </c>
      <c r="G79" s="3">
        <f ca="1">IF(NOT(ISNUMBER(OFFSET(tblDimBond[[#This Row],[Score]],-1,0))),1,SUM(OFFSET(tblDimBond[[#This Row],[Score]],-1,0),-1/ROWS(tblDimBond[Score])))</f>
        <v>1.2820512820514336E-2</v>
      </c>
      <c r="H79" s="15" t="s">
        <v>606</v>
      </c>
      <c r="J79" s="3">
        <f ca="1">IF(NOT(ISNUMBER(OFFSET(tblDimFlaw[[#This Row],[Score]],-1,0))),1,SUM(OFFSET(tblDimFlaw[[#This Row],[Score]],-1,0),-1/ROWS(tblDimFlaw[Score])))</f>
        <v>1.2820512820514336E-2</v>
      </c>
      <c r="K79" s="15" t="s">
        <v>607</v>
      </c>
    </row>
    <row r="80" spans="1:11" x14ac:dyDescent="0.2">
      <c r="A80" s="3">
        <f ca="1">IF(NOT(ISNUMBER(OFFSET(tblDimPersonalityTrait[[#This Row],[Score]],-1,0))),1,SUM(OFFSET(tblDimPersonalityTrait[[#This Row],[Score]],-1,0),-1/ROWS(tblDimPersonalityTrait[Score])))</f>
        <v>0.25000000000000122</v>
      </c>
      <c r="B80" s="15" t="s">
        <v>608</v>
      </c>
    </row>
    <row r="81" spans="1:2" x14ac:dyDescent="0.2">
      <c r="A81" s="3">
        <f ca="1">IF(NOT(ISNUMBER(OFFSET(tblDimPersonalityTrait[[#This Row],[Score]],-1,0))),1,SUM(OFFSET(tblDimPersonalityTrait[[#This Row],[Score]],-1,0),-1/ROWS(tblDimPersonalityTrait[Score])))</f>
        <v>0.24038461538461661</v>
      </c>
      <c r="B81" s="15" t="s">
        <v>609</v>
      </c>
    </row>
    <row r="82" spans="1:2" x14ac:dyDescent="0.2">
      <c r="A82" s="3">
        <f ca="1">IF(NOT(ISNUMBER(OFFSET(tblDimPersonalityTrait[[#This Row],[Score]],-1,0))),1,SUM(OFFSET(tblDimPersonalityTrait[[#This Row],[Score]],-1,0),-1/ROWS(tblDimPersonalityTrait[Score])))</f>
        <v>0.230769230769232</v>
      </c>
      <c r="B82" s="15" t="s">
        <v>610</v>
      </c>
    </row>
    <row r="83" spans="1:2" x14ac:dyDescent="0.2">
      <c r="A83" s="3">
        <f ca="1">IF(NOT(ISNUMBER(OFFSET(tblDimPersonalityTrait[[#This Row],[Score]],-1,0))),1,SUM(OFFSET(tblDimPersonalityTrait[[#This Row],[Score]],-1,0),-1/ROWS(tblDimPersonalityTrait[Score])))</f>
        <v>0.22115384615384739</v>
      </c>
      <c r="B83" s="15" t="s">
        <v>611</v>
      </c>
    </row>
    <row r="84" spans="1:2" x14ac:dyDescent="0.2">
      <c r="A84" s="3">
        <f ca="1">IF(NOT(ISNUMBER(OFFSET(tblDimPersonalityTrait[[#This Row],[Score]],-1,0))),1,SUM(OFFSET(tblDimPersonalityTrait[[#This Row],[Score]],-1,0),-1/ROWS(tblDimPersonalityTrait[Score])))</f>
        <v>0.21153846153846279</v>
      </c>
      <c r="B84" s="15" t="s">
        <v>612</v>
      </c>
    </row>
    <row r="85" spans="1:2" x14ac:dyDescent="0.2">
      <c r="A85" s="3">
        <f ca="1">IF(NOT(ISNUMBER(OFFSET(tblDimPersonalityTrait[[#This Row],[Score]],-1,0))),1,SUM(OFFSET(tblDimPersonalityTrait[[#This Row],[Score]],-1,0),-1/ROWS(tblDimPersonalityTrait[Score])))</f>
        <v>0.20192307692307818</v>
      </c>
      <c r="B85" s="15" t="s">
        <v>613</v>
      </c>
    </row>
    <row r="86" spans="1:2" x14ac:dyDescent="0.2">
      <c r="A86" s="3">
        <f ca="1">IF(NOT(ISNUMBER(OFFSET(tblDimPersonalityTrait[[#This Row],[Score]],-1,0))),1,SUM(OFFSET(tblDimPersonalityTrait[[#This Row],[Score]],-1,0),-1/ROWS(tblDimPersonalityTrait[Score])))</f>
        <v>0.19230769230769357</v>
      </c>
      <c r="B86" s="15" t="s">
        <v>614</v>
      </c>
    </row>
    <row r="87" spans="1:2" x14ac:dyDescent="0.2">
      <c r="A87" s="3">
        <f ca="1">IF(NOT(ISNUMBER(OFFSET(tblDimPersonalityTrait[[#This Row],[Score]],-1,0))),1,SUM(OFFSET(tblDimPersonalityTrait[[#This Row],[Score]],-1,0),-1/ROWS(tblDimPersonalityTrait[Score])))</f>
        <v>0.18269230769230896</v>
      </c>
      <c r="B87" s="15" t="s">
        <v>615</v>
      </c>
    </row>
    <row r="88" spans="1:2" x14ac:dyDescent="0.2">
      <c r="A88" s="3">
        <f ca="1">IF(NOT(ISNUMBER(OFFSET(tblDimPersonalityTrait[[#This Row],[Score]],-1,0))),1,SUM(OFFSET(tblDimPersonalityTrait[[#This Row],[Score]],-1,0),-1/ROWS(tblDimPersonalityTrait[Score])))</f>
        <v>0.17307692307692435</v>
      </c>
      <c r="B88" s="15" t="s">
        <v>616</v>
      </c>
    </row>
    <row r="89" spans="1:2" x14ac:dyDescent="0.2">
      <c r="A89" s="3">
        <f ca="1">IF(NOT(ISNUMBER(OFFSET(tblDimPersonalityTrait[[#This Row],[Score]],-1,0))),1,SUM(OFFSET(tblDimPersonalityTrait[[#This Row],[Score]],-1,0),-1/ROWS(tblDimPersonalityTrait[Score])))</f>
        <v>0.16346153846153974</v>
      </c>
      <c r="B89" s="15" t="s">
        <v>617</v>
      </c>
    </row>
    <row r="90" spans="1:2" x14ac:dyDescent="0.2">
      <c r="A90" s="3">
        <f ca="1">IF(NOT(ISNUMBER(OFFSET(tblDimPersonalityTrait[[#This Row],[Score]],-1,0))),1,SUM(OFFSET(tblDimPersonalityTrait[[#This Row],[Score]],-1,0),-1/ROWS(tblDimPersonalityTrait[Score])))</f>
        <v>0.15384615384615513</v>
      </c>
      <c r="B90" s="15" t="s">
        <v>618</v>
      </c>
    </row>
    <row r="91" spans="1:2" x14ac:dyDescent="0.2">
      <c r="A91" s="3">
        <f ca="1">IF(NOT(ISNUMBER(OFFSET(tblDimPersonalityTrait[[#This Row],[Score]],-1,0))),1,SUM(OFFSET(tblDimPersonalityTrait[[#This Row],[Score]],-1,0),-1/ROWS(tblDimPersonalityTrait[Score])))</f>
        <v>0.14423076923077052</v>
      </c>
      <c r="B91" s="15" t="s">
        <v>619</v>
      </c>
    </row>
    <row r="92" spans="1:2" x14ac:dyDescent="0.2">
      <c r="A92" s="3">
        <f ca="1">IF(NOT(ISNUMBER(OFFSET(tblDimPersonalityTrait[[#This Row],[Score]],-1,0))),1,SUM(OFFSET(tblDimPersonalityTrait[[#This Row],[Score]],-1,0),-1/ROWS(tblDimPersonalityTrait[Score])))</f>
        <v>0.13461538461538591</v>
      </c>
      <c r="B92" s="15" t="s">
        <v>620</v>
      </c>
    </row>
    <row r="93" spans="1:2" x14ac:dyDescent="0.2">
      <c r="A93" s="3">
        <f ca="1">IF(NOT(ISNUMBER(OFFSET(tblDimPersonalityTrait[[#This Row],[Score]],-1,0))),1,SUM(OFFSET(tblDimPersonalityTrait[[#This Row],[Score]],-1,0),-1/ROWS(tblDimPersonalityTrait[Score])))</f>
        <v>0.1250000000000013</v>
      </c>
      <c r="B93" s="15" t="s">
        <v>621</v>
      </c>
    </row>
    <row r="94" spans="1:2" x14ac:dyDescent="0.2">
      <c r="A94" s="3">
        <f ca="1">IF(NOT(ISNUMBER(OFFSET(tblDimPersonalityTrait[[#This Row],[Score]],-1,0))),1,SUM(OFFSET(tblDimPersonalityTrait[[#This Row],[Score]],-1,0),-1/ROWS(tblDimPersonalityTrait[Score])))</f>
        <v>0.1153846153846167</v>
      </c>
      <c r="B94" s="15" t="s">
        <v>622</v>
      </c>
    </row>
    <row r="95" spans="1:2" x14ac:dyDescent="0.2">
      <c r="A95" s="3">
        <f ca="1">IF(NOT(ISNUMBER(OFFSET(tblDimPersonalityTrait[[#This Row],[Score]],-1,0))),1,SUM(OFFSET(tblDimPersonalityTrait[[#This Row],[Score]],-1,0),-1/ROWS(tblDimPersonalityTrait[Score])))</f>
        <v>0.10576923076923209</v>
      </c>
      <c r="B95" s="15" t="s">
        <v>623</v>
      </c>
    </row>
    <row r="96" spans="1:2" x14ac:dyDescent="0.2">
      <c r="A96" s="3">
        <f ca="1">IF(NOT(ISNUMBER(OFFSET(tblDimPersonalityTrait[[#This Row],[Score]],-1,0))),1,SUM(OFFSET(tblDimPersonalityTrait[[#This Row],[Score]],-1,0),-1/ROWS(tblDimPersonalityTrait[Score])))</f>
        <v>9.6153846153847478E-2</v>
      </c>
      <c r="B96" s="15" t="s">
        <v>624</v>
      </c>
    </row>
    <row r="97" spans="1:2" x14ac:dyDescent="0.2">
      <c r="A97" s="3">
        <f ca="1">IF(NOT(ISNUMBER(OFFSET(tblDimPersonalityTrait[[#This Row],[Score]],-1,0))),1,SUM(OFFSET(tblDimPersonalityTrait[[#This Row],[Score]],-1,0),-1/ROWS(tblDimPersonalityTrait[Score])))</f>
        <v>8.6538461538462869E-2</v>
      </c>
      <c r="B97" s="15" t="s">
        <v>625</v>
      </c>
    </row>
    <row r="98" spans="1:2" x14ac:dyDescent="0.2">
      <c r="A98" s="3">
        <f ca="1">IF(NOT(ISNUMBER(OFFSET(tblDimPersonalityTrait[[#This Row],[Score]],-1,0))),1,SUM(OFFSET(tblDimPersonalityTrait[[#This Row],[Score]],-1,0),-1/ROWS(tblDimPersonalityTrait[Score])))</f>
        <v>7.692307692307826E-2</v>
      </c>
      <c r="B98" s="15" t="s">
        <v>626</v>
      </c>
    </row>
    <row r="99" spans="1:2" x14ac:dyDescent="0.2">
      <c r="A99" s="3">
        <f ca="1">IF(NOT(ISNUMBER(OFFSET(tblDimPersonalityTrait[[#This Row],[Score]],-1,0))),1,SUM(OFFSET(tblDimPersonalityTrait[[#This Row],[Score]],-1,0),-1/ROWS(tblDimPersonalityTrait[Score])))</f>
        <v>6.7307692307693651E-2</v>
      </c>
      <c r="B99" s="15" t="s">
        <v>627</v>
      </c>
    </row>
    <row r="100" spans="1:2" x14ac:dyDescent="0.2">
      <c r="A100" s="3">
        <f ca="1">IF(NOT(ISNUMBER(OFFSET(tblDimPersonalityTrait[[#This Row],[Score]],-1,0))),1,SUM(OFFSET(tblDimPersonalityTrait[[#This Row],[Score]],-1,0),-1/ROWS(tblDimPersonalityTrait[Score])))</f>
        <v>5.7692307692309035E-2</v>
      </c>
      <c r="B100" s="15" t="s">
        <v>628</v>
      </c>
    </row>
    <row r="101" spans="1:2" x14ac:dyDescent="0.2">
      <c r="A101" s="3">
        <f ca="1">IF(NOT(ISNUMBER(OFFSET(tblDimPersonalityTrait[[#This Row],[Score]],-1,0))),1,SUM(OFFSET(tblDimPersonalityTrait[[#This Row],[Score]],-1,0),-1/ROWS(tblDimPersonalityTrait[Score])))</f>
        <v>4.8076923076924419E-2</v>
      </c>
      <c r="B101" s="15" t="s">
        <v>629</v>
      </c>
    </row>
    <row r="102" spans="1:2" x14ac:dyDescent="0.2">
      <c r="A102" s="3">
        <f ca="1">IF(NOT(ISNUMBER(OFFSET(tblDimPersonalityTrait[[#This Row],[Score]],-1,0))),1,SUM(OFFSET(tblDimPersonalityTrait[[#This Row],[Score]],-1,0),-1/ROWS(tblDimPersonalityTrait[Score])))</f>
        <v>3.8461538461539803E-2</v>
      </c>
      <c r="B102" s="15" t="s">
        <v>630</v>
      </c>
    </row>
    <row r="103" spans="1:2" x14ac:dyDescent="0.2">
      <c r="A103" s="3">
        <f ca="1">IF(NOT(ISNUMBER(OFFSET(tblDimPersonalityTrait[[#This Row],[Score]],-1,0))),1,SUM(OFFSET(tblDimPersonalityTrait[[#This Row],[Score]],-1,0),-1/ROWS(tblDimPersonalityTrait[Score])))</f>
        <v>2.8846153846155187E-2</v>
      </c>
      <c r="B103" s="15" t="s">
        <v>631</v>
      </c>
    </row>
    <row r="104" spans="1:2" x14ac:dyDescent="0.2">
      <c r="A104" s="3">
        <f ca="1">IF(NOT(ISNUMBER(OFFSET(tblDimPersonalityTrait[[#This Row],[Score]],-1,0))),1,SUM(OFFSET(tblDimPersonalityTrait[[#This Row],[Score]],-1,0),-1/ROWS(tblDimPersonalityTrait[Score])))</f>
        <v>1.9230769230770571E-2</v>
      </c>
      <c r="B104" s="15" t="s">
        <v>632</v>
      </c>
    </row>
    <row r="105" spans="1:2" x14ac:dyDescent="0.2">
      <c r="A105" s="3">
        <f ca="1">IF(NOT(ISNUMBER(OFFSET(tblDimPersonalityTrait[[#This Row],[Score]],-1,0))),1,SUM(OFFSET(tblDimPersonalityTrait[[#This Row],[Score]],-1,0),-1/ROWS(tblDimPersonalityTrait[Score])))</f>
        <v>9.6153846153859551E-3</v>
      </c>
      <c r="B105" s="15" t="s">
        <v>633</v>
      </c>
    </row>
  </sheetData>
  <pageMargins left="0.7" right="0.7" top="0.75" bottom="0.75" header="0.3" footer="0.3"/>
  <tableParts count="7">
    <tablePart r:id="rId1"/>
    <tablePart r:id="rId2"/>
    <tablePart r:id="rId3"/>
    <tablePart r:id="rId4"/>
    <tablePart r:id="rId5"/>
    <tablePart r:id="rId6"/>
    <tablePart r:id="rId7"/>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K47"/>
  <sheetViews>
    <sheetView zoomScale="75" zoomScaleNormal="75" zoomScalePageLayoutView="75" workbookViewId="0">
      <selection activeCell="D13" sqref="D13"/>
    </sheetView>
  </sheetViews>
  <sheetFormatPr baseColWidth="10" defaultColWidth="9" defaultRowHeight="15" x14ac:dyDescent="0.2"/>
  <cols>
    <col min="1" max="1" width="8" style="3" bestFit="1" customWidth="1"/>
    <col min="2" max="2" width="13.3984375" style="15" bestFit="1" customWidth="1"/>
    <col min="3" max="3" width="2" style="15" customWidth="1"/>
    <col min="4" max="4" width="8" style="37" bestFit="1" customWidth="1"/>
    <col min="5" max="5" width="112.19921875" style="21" bestFit="1" customWidth="1"/>
    <col min="6" max="6" width="9" style="21"/>
    <col min="7" max="7" width="8" style="37" bestFit="1" customWidth="1"/>
    <col min="8" max="8" width="106.19921875" style="21" bestFit="1" customWidth="1"/>
    <col min="9" max="9" width="9" style="21"/>
    <col min="10" max="10" width="8" style="37" bestFit="1" customWidth="1"/>
    <col min="11" max="11" width="108.796875" style="21" bestFit="1" customWidth="1"/>
    <col min="12" max="16384" width="9" style="21"/>
  </cols>
  <sheetData>
    <row r="1" spans="1:11" x14ac:dyDescent="0.2">
      <c r="A1" s="3" t="s">
        <v>0</v>
      </c>
      <c r="B1" s="15" t="s">
        <v>57</v>
      </c>
      <c r="D1" s="3" t="s">
        <v>0</v>
      </c>
      <c r="E1" s="15" t="s">
        <v>634</v>
      </c>
      <c r="F1" s="15"/>
      <c r="G1" s="3" t="s">
        <v>0</v>
      </c>
      <c r="H1" s="15" t="s">
        <v>635</v>
      </c>
      <c r="I1" s="15"/>
      <c r="J1" s="3" t="s">
        <v>0</v>
      </c>
      <c r="K1" s="15" t="s">
        <v>636</v>
      </c>
    </row>
    <row r="2" spans="1:11" x14ac:dyDescent="0.2">
      <c r="A2" s="34">
        <f ca="1">IF(NOT(ISNUMBER(OFFSET(tblDimBackground[[#This Row],[Score]],-1,0))),1,SUM(OFFSET(tblDimBackground[[#This Row],[Score]],-1,0),-1/ROWS(tblDimBackground[Score])))</f>
        <v>1</v>
      </c>
      <c r="B2" s="15" t="s">
        <v>637</v>
      </c>
      <c r="D2" s="34">
        <f ca="1">IF(NOT(ISNUMBER(OFFSET(tblDimAcolyteReason[[#This Row],[Score]],-1,0))),1,SUM(OFFSET(tblDimAcolyteReason[[#This Row],[Score]],-1,0),-1/ROWS(tblDimAcolyteReason[Score])))</f>
        <v>1</v>
      </c>
      <c r="E2" s="15" t="s">
        <v>638</v>
      </c>
      <c r="F2" s="15"/>
      <c r="G2" s="34">
        <f ca="1">IF(NOT(ISNUMBER(OFFSET(tblDimHermitReason[[#This Row],[Score]],-1,0))),1,SUM(OFFSET(tblDimHermitReason[[#This Row],[Score]],-1,0),-1/ROWS(tblDimHermitReason[Score])))</f>
        <v>1</v>
      </c>
      <c r="H2" s="15" t="s">
        <v>639</v>
      </c>
      <c r="I2" s="15"/>
      <c r="J2" s="34">
        <f ca="1">IF(NOT(ISNUMBER(OFFSET(tblDimUrchinReason[[#This Row],[Score]],-1,0))),1,SUM(OFFSET(tblDimUrchinReason[[#This Row],[Score]],-1,0),-1/ROWS(tblDimUrchinReason[Score])))</f>
        <v>1</v>
      </c>
      <c r="K2" s="15" t="s">
        <v>640</v>
      </c>
    </row>
    <row r="3" spans="1:11" x14ac:dyDescent="0.2">
      <c r="A3" s="3">
        <f ca="1">IF(NOT(ISNUMBER(OFFSET(tblDimBackground[[#This Row],[Score]],-1,0))),1,SUM(OFFSET(tblDimBackground[[#This Row],[Score]],-1,0),-1/ROWS(tblDimBackground[Score])))</f>
        <v>0.92307692307692313</v>
      </c>
      <c r="B3" s="15" t="s">
        <v>641</v>
      </c>
      <c r="D3" s="3">
        <f ca="1">IF(NOT(ISNUMBER(OFFSET(tblDimAcolyteReason[[#This Row],[Score]],-1,0))),1,SUM(OFFSET(tblDimAcolyteReason[[#This Row],[Score]],-1,0),-1/ROWS(tblDimAcolyteReason[Score])))</f>
        <v>0.83333333333333337</v>
      </c>
      <c r="E3" s="15" t="s">
        <v>642</v>
      </c>
      <c r="F3" s="15"/>
      <c r="G3" s="3">
        <f ca="1">IF(NOT(ISNUMBER(OFFSET(tblDimHermitReason[[#This Row],[Score]],-1,0))),1,SUM(OFFSET(tblDimHermitReason[[#This Row],[Score]],-1,0),-1/ROWS(tblDimHermitReason[Score])))</f>
        <v>0.83333333333333337</v>
      </c>
      <c r="H3" s="15" t="s">
        <v>643</v>
      </c>
      <c r="I3" s="15"/>
      <c r="J3" s="3">
        <f ca="1">IF(NOT(ISNUMBER(OFFSET(tblDimUrchinReason[[#This Row],[Score]],-1,0))),1,SUM(OFFSET(tblDimUrchinReason[[#This Row],[Score]],-1,0),-1/ROWS(tblDimUrchinReason[Score])))</f>
        <v>0.83333333333333337</v>
      </c>
      <c r="K3" s="15" t="s">
        <v>644</v>
      </c>
    </row>
    <row r="4" spans="1:11" x14ac:dyDescent="0.2">
      <c r="A4" s="3">
        <f ca="1">IF(NOT(ISNUMBER(OFFSET(tblDimBackground[[#This Row],[Score]],-1,0))),1,SUM(OFFSET(tblDimBackground[[#This Row],[Score]],-1,0),-1/ROWS(tblDimBackground[Score])))</f>
        <v>0.84615384615384626</v>
      </c>
      <c r="B4" s="15" t="s">
        <v>645</v>
      </c>
      <c r="D4" s="3">
        <f ca="1">IF(NOT(ISNUMBER(OFFSET(tblDimAcolyteReason[[#This Row],[Score]],-1,0))),1,SUM(OFFSET(tblDimAcolyteReason[[#This Row],[Score]],-1,0),-1/ROWS(tblDimAcolyteReason[Score])))</f>
        <v>0.66666666666666674</v>
      </c>
      <c r="E4" s="15" t="s">
        <v>646</v>
      </c>
      <c r="F4" s="15"/>
      <c r="G4" s="3">
        <f ca="1">IF(NOT(ISNUMBER(OFFSET(tblDimHermitReason[[#This Row],[Score]],-1,0))),1,SUM(OFFSET(tblDimHermitReason[[#This Row],[Score]],-1,0),-1/ROWS(tblDimHermitReason[Score])))</f>
        <v>0.66666666666666674</v>
      </c>
      <c r="H4" s="15" t="s">
        <v>647</v>
      </c>
      <c r="I4" s="15"/>
      <c r="J4" s="3">
        <f ca="1">IF(NOT(ISNUMBER(OFFSET(tblDimUrchinReason[[#This Row],[Score]],-1,0))),1,SUM(OFFSET(tblDimUrchinReason[[#This Row],[Score]],-1,0),-1/ROWS(tblDimUrchinReason[Score])))</f>
        <v>0.66666666666666674</v>
      </c>
      <c r="K4" s="15" t="s">
        <v>648</v>
      </c>
    </row>
    <row r="5" spans="1:11" x14ac:dyDescent="0.2">
      <c r="A5" s="3">
        <f ca="1">IF(NOT(ISNUMBER(OFFSET(tblDimBackground[[#This Row],[Score]],-1,0))),1,SUM(OFFSET(tblDimBackground[[#This Row],[Score]],-1,0),-1/ROWS(tblDimBackground[Score])))</f>
        <v>0.76923076923076938</v>
      </c>
      <c r="B5" s="15" t="s">
        <v>649</v>
      </c>
      <c r="D5" s="3">
        <f ca="1">IF(NOT(ISNUMBER(OFFSET(tblDimAcolyteReason[[#This Row],[Score]],-1,0))),1,SUM(OFFSET(tblDimAcolyteReason[[#This Row],[Score]],-1,0),-1/ROWS(tblDimAcolyteReason[Score])))</f>
        <v>0.50000000000000011</v>
      </c>
      <c r="E5" s="15" t="s">
        <v>650</v>
      </c>
      <c r="F5" s="15"/>
      <c r="G5" s="3">
        <f ca="1">IF(NOT(ISNUMBER(OFFSET(tblDimHermitReason[[#This Row],[Score]],-1,0))),1,SUM(OFFSET(tblDimHermitReason[[#This Row],[Score]],-1,0),-1/ROWS(tblDimHermitReason[Score])))</f>
        <v>0.50000000000000011</v>
      </c>
      <c r="H5" s="15" t="s">
        <v>651</v>
      </c>
      <c r="I5" s="15"/>
      <c r="J5" s="3">
        <f ca="1">IF(NOT(ISNUMBER(OFFSET(tblDimUrchinReason[[#This Row],[Score]],-1,0))),1,SUM(OFFSET(tblDimUrchinReason[[#This Row],[Score]],-1,0),-1/ROWS(tblDimUrchinReason[Score])))</f>
        <v>0.50000000000000011</v>
      </c>
      <c r="K5" s="15" t="s">
        <v>652</v>
      </c>
    </row>
    <row r="6" spans="1:11" x14ac:dyDescent="0.2">
      <c r="A6" s="3">
        <f ca="1">IF(NOT(ISNUMBER(OFFSET(tblDimBackground[[#This Row],[Score]],-1,0))),1,SUM(OFFSET(tblDimBackground[[#This Row],[Score]],-1,0),-1/ROWS(tblDimBackground[Score])))</f>
        <v>0.69230769230769251</v>
      </c>
      <c r="B6" s="15" t="s">
        <v>653</v>
      </c>
      <c r="D6" s="3">
        <f ca="1">IF(NOT(ISNUMBER(OFFSET(tblDimAcolyteReason[[#This Row],[Score]],-1,0))),1,SUM(OFFSET(tblDimAcolyteReason[[#This Row],[Score]],-1,0),-1/ROWS(tblDimAcolyteReason[Score])))</f>
        <v>0.33333333333333348</v>
      </c>
      <c r="E6" s="15" t="s">
        <v>654</v>
      </c>
      <c r="F6" s="15"/>
      <c r="G6" s="3">
        <f ca="1">IF(NOT(ISNUMBER(OFFSET(tblDimHermitReason[[#This Row],[Score]],-1,0))),1,SUM(OFFSET(tblDimHermitReason[[#This Row],[Score]],-1,0),-1/ROWS(tblDimHermitReason[Score])))</f>
        <v>0.33333333333333348</v>
      </c>
      <c r="H6" s="15" t="s">
        <v>655</v>
      </c>
      <c r="I6" s="15"/>
      <c r="J6" s="3">
        <f ca="1">IF(NOT(ISNUMBER(OFFSET(tblDimUrchinReason[[#This Row],[Score]],-1,0))),1,SUM(OFFSET(tblDimUrchinReason[[#This Row],[Score]],-1,0),-1/ROWS(tblDimUrchinReason[Score])))</f>
        <v>0.33333333333333348</v>
      </c>
      <c r="K6" s="15" t="s">
        <v>656</v>
      </c>
    </row>
    <row r="7" spans="1:11" x14ac:dyDescent="0.2">
      <c r="A7" s="3">
        <f ca="1">IF(NOT(ISNUMBER(OFFSET(tblDimBackground[[#This Row],[Score]],-1,0))),1,SUM(OFFSET(tblDimBackground[[#This Row],[Score]],-1,0),-1/ROWS(tblDimBackground[Score])))</f>
        <v>0.61538461538461564</v>
      </c>
      <c r="B7" s="15" t="s">
        <v>657</v>
      </c>
      <c r="D7" s="3">
        <f ca="1">IF(NOT(ISNUMBER(OFFSET(tblDimAcolyteReason[[#This Row],[Score]],-1,0))),1,SUM(OFFSET(tblDimAcolyteReason[[#This Row],[Score]],-1,0),-1/ROWS(tblDimAcolyteReason[Score])))</f>
        <v>0.16666666666666682</v>
      </c>
      <c r="E7" s="15" t="s">
        <v>658</v>
      </c>
      <c r="F7" s="15"/>
      <c r="G7" s="3">
        <f ca="1">IF(NOT(ISNUMBER(OFFSET(tblDimHermitReason[[#This Row],[Score]],-1,0))),1,SUM(OFFSET(tblDimHermitReason[[#This Row],[Score]],-1,0),-1/ROWS(tblDimHermitReason[Score])))</f>
        <v>0.16666666666666682</v>
      </c>
      <c r="H7" s="15" t="s">
        <v>659</v>
      </c>
      <c r="I7" s="15"/>
      <c r="J7" s="3">
        <f ca="1">IF(NOT(ISNUMBER(OFFSET(tblDimUrchinReason[[#This Row],[Score]],-1,0))),1,SUM(OFFSET(tblDimUrchinReason[[#This Row],[Score]],-1,0),-1/ROWS(tblDimUrchinReason[Score])))</f>
        <v>0.16666666666666682</v>
      </c>
      <c r="K7" s="15" t="s">
        <v>660</v>
      </c>
    </row>
    <row r="8" spans="1:11" x14ac:dyDescent="0.2">
      <c r="A8" s="3">
        <f ca="1">IF(NOT(ISNUMBER(OFFSET(tblDimBackground[[#This Row],[Score]],-1,0))),1,SUM(OFFSET(tblDimBackground[[#This Row],[Score]],-1,0),-1/ROWS(tblDimBackground[Score])))</f>
        <v>0.53846153846153877</v>
      </c>
      <c r="B8" s="15" t="s">
        <v>661</v>
      </c>
      <c r="D8" s="3"/>
      <c r="E8" s="15"/>
      <c r="F8" s="15"/>
      <c r="G8" s="3"/>
      <c r="H8" s="15"/>
      <c r="I8" s="15"/>
      <c r="J8" s="3"/>
      <c r="K8" s="15"/>
    </row>
    <row r="9" spans="1:11" x14ac:dyDescent="0.2">
      <c r="A9" s="3">
        <f ca="1">IF(NOT(ISNUMBER(OFFSET(tblDimBackground[[#This Row],[Score]],-1,0))),1,SUM(OFFSET(tblDimBackground[[#This Row],[Score]],-1,0),-1/ROWS(tblDimBackground[Score])))</f>
        <v>0.46153846153846184</v>
      </c>
      <c r="B9" s="15" t="s">
        <v>662</v>
      </c>
      <c r="D9" s="3" t="s">
        <v>0</v>
      </c>
      <c r="E9" s="15" t="s">
        <v>663</v>
      </c>
      <c r="F9" s="15"/>
      <c r="G9" s="3" t="s">
        <v>0</v>
      </c>
      <c r="H9" s="15" t="s">
        <v>664</v>
      </c>
      <c r="I9" s="15"/>
      <c r="J9" s="3"/>
      <c r="K9" s="15"/>
    </row>
    <row r="10" spans="1:11" x14ac:dyDescent="0.2">
      <c r="A10" s="3">
        <f ca="1">IF(NOT(ISNUMBER(OFFSET(tblDimBackground[[#This Row],[Score]],-1,0))),1,SUM(OFFSET(tblDimBackground[[#This Row],[Score]],-1,0),-1/ROWS(tblDimBackground[Score])))</f>
        <v>0.38461538461538491</v>
      </c>
      <c r="B10" s="15" t="s">
        <v>665</v>
      </c>
      <c r="D10" s="34">
        <f ca="1">IF(NOT(ISNUMBER(OFFSET(tblDimCharlatanReason[[#This Row],[Score]],-1,0))),1,SUM(OFFSET(tblDimCharlatanReason[[#This Row],[Score]],-1,0),-1/ROWS(tblDimCharlatanReason[Score])))</f>
        <v>1</v>
      </c>
      <c r="E10" s="15" t="s">
        <v>666</v>
      </c>
      <c r="F10" s="15"/>
      <c r="G10" s="34">
        <f ca="1">IF(NOT(ISNUMBER(OFFSET(tblDimNobleReason[[#This Row],[Score]],-1,0))),1,SUM(OFFSET(tblDimNobleReason[[#This Row],[Score]],-1,0),-1/ROWS(tblDimNobleReason[Score])))</f>
        <v>1</v>
      </c>
      <c r="H10" s="15" t="s">
        <v>667</v>
      </c>
      <c r="I10" s="15"/>
      <c r="J10" s="3"/>
      <c r="K10" s="15"/>
    </row>
    <row r="11" spans="1:11" x14ac:dyDescent="0.2">
      <c r="A11" s="3">
        <f ca="1">IF(NOT(ISNUMBER(OFFSET(tblDimBackground[[#This Row],[Score]],-1,0))),1,SUM(OFFSET(tblDimBackground[[#This Row],[Score]],-1,0),-1/ROWS(tblDimBackground[Score])))</f>
        <v>0.30769230769230799</v>
      </c>
      <c r="B11" s="15" t="s">
        <v>668</v>
      </c>
      <c r="D11" s="3">
        <f ca="1">IF(NOT(ISNUMBER(OFFSET(tblDimCharlatanReason[[#This Row],[Score]],-1,0))),1,SUM(OFFSET(tblDimCharlatanReason[[#This Row],[Score]],-1,0),-1/ROWS(tblDimCharlatanReason[Score])))</f>
        <v>0.83333333333333337</v>
      </c>
      <c r="E11" s="15" t="s">
        <v>669</v>
      </c>
      <c r="G11" s="3">
        <f ca="1">IF(NOT(ISNUMBER(OFFSET(tblDimNobleReason[[#This Row],[Score]],-1,0))),1,SUM(OFFSET(tblDimNobleReason[[#This Row],[Score]],-1,0),-1/ROWS(tblDimNobleReason[Score])))</f>
        <v>0.83333333333333337</v>
      </c>
      <c r="H11" s="15" t="s">
        <v>670</v>
      </c>
    </row>
    <row r="12" spans="1:11" x14ac:dyDescent="0.2">
      <c r="A12" s="3">
        <f ca="1">IF(NOT(ISNUMBER(OFFSET(tblDimBackground[[#This Row],[Score]],-1,0))),1,SUM(OFFSET(tblDimBackground[[#This Row],[Score]],-1,0),-1/ROWS(tblDimBackground[Score])))</f>
        <v>0.23076923076923106</v>
      </c>
      <c r="B12" s="15" t="s">
        <v>671</v>
      </c>
      <c r="D12" s="3">
        <f ca="1">IF(NOT(ISNUMBER(OFFSET(tblDimCharlatanReason[[#This Row],[Score]],-1,0))),1,SUM(OFFSET(tblDimCharlatanReason[[#This Row],[Score]],-1,0),-1/ROWS(tblDimCharlatanReason[Score])))</f>
        <v>0.66666666666666674</v>
      </c>
      <c r="E12" s="15" t="s">
        <v>672</v>
      </c>
      <c r="G12" s="3">
        <f ca="1">IF(NOT(ISNUMBER(OFFSET(tblDimNobleReason[[#This Row],[Score]],-1,0))),1,SUM(OFFSET(tblDimNobleReason[[#This Row],[Score]],-1,0),-1/ROWS(tblDimNobleReason[Score])))</f>
        <v>0.66666666666666674</v>
      </c>
      <c r="H12" s="15" t="s">
        <v>673</v>
      </c>
    </row>
    <row r="13" spans="1:11" x14ac:dyDescent="0.2">
      <c r="A13" s="3">
        <f ca="1">IF(NOT(ISNUMBER(OFFSET(tblDimBackground[[#This Row],[Score]],-1,0))),1,SUM(OFFSET(tblDimBackground[[#This Row],[Score]],-1,0),-1/ROWS(tblDimBackground[Score])))</f>
        <v>0.15384615384615413</v>
      </c>
      <c r="B13" s="15" t="s">
        <v>674</v>
      </c>
      <c r="D13" s="3">
        <f ca="1">IF(NOT(ISNUMBER(OFFSET(tblDimCharlatanReason[[#This Row],[Score]],-1,0))),1,SUM(OFFSET(tblDimCharlatanReason[[#This Row],[Score]],-1,0),-1/ROWS(tblDimCharlatanReason[Score])))</f>
        <v>0.50000000000000011</v>
      </c>
      <c r="E13" s="15" t="s">
        <v>675</v>
      </c>
      <c r="G13" s="3">
        <f ca="1">IF(NOT(ISNUMBER(OFFSET(tblDimNobleReason[[#This Row],[Score]],-1,0))),1,SUM(OFFSET(tblDimNobleReason[[#This Row],[Score]],-1,0),-1/ROWS(tblDimNobleReason[Score])))</f>
        <v>0.50000000000000011</v>
      </c>
      <c r="H13" s="15" t="s">
        <v>676</v>
      </c>
    </row>
    <row r="14" spans="1:11" x14ac:dyDescent="0.2">
      <c r="A14" s="3">
        <f ca="1">IF(NOT(ISNUMBER(OFFSET(tblDimBackground[[#This Row],[Score]],-1,0))),1,SUM(OFFSET(tblDimBackground[[#This Row],[Score]],-1,0),-1/ROWS(tblDimBackground[Score])))</f>
        <v>7.6923076923077205E-2</v>
      </c>
      <c r="B14" s="15" t="s">
        <v>677</v>
      </c>
      <c r="D14" s="3">
        <f ca="1">IF(NOT(ISNUMBER(OFFSET(tblDimCharlatanReason[[#This Row],[Score]],-1,0))),1,SUM(OFFSET(tblDimCharlatanReason[[#This Row],[Score]],-1,0),-1/ROWS(tblDimCharlatanReason[Score])))</f>
        <v>0.33333333333333348</v>
      </c>
      <c r="E14" s="15" t="s">
        <v>678</v>
      </c>
      <c r="G14" s="3">
        <f ca="1">IF(NOT(ISNUMBER(OFFSET(tblDimNobleReason[[#This Row],[Score]],-1,0))),1,SUM(OFFSET(tblDimNobleReason[[#This Row],[Score]],-1,0),-1/ROWS(tblDimNobleReason[Score])))</f>
        <v>0.33333333333333348</v>
      </c>
      <c r="H14" s="15" t="s">
        <v>679</v>
      </c>
    </row>
    <row r="15" spans="1:11" x14ac:dyDescent="0.2">
      <c r="D15" s="3">
        <f ca="1">IF(NOT(ISNUMBER(OFFSET(tblDimCharlatanReason[[#This Row],[Score]],-1,0))),1,SUM(OFFSET(tblDimCharlatanReason[[#This Row],[Score]],-1,0),-1/ROWS(tblDimCharlatanReason[Score])))</f>
        <v>0.16666666666666682</v>
      </c>
      <c r="E15" s="15" t="s">
        <v>680</v>
      </c>
      <c r="G15" s="3">
        <f ca="1">IF(NOT(ISNUMBER(OFFSET(tblDimNobleReason[[#This Row],[Score]],-1,0))),1,SUM(OFFSET(tblDimNobleReason[[#This Row],[Score]],-1,0),-1/ROWS(tblDimNobleReason[Score])))</f>
        <v>0.16666666666666682</v>
      </c>
      <c r="H15" s="15" t="s">
        <v>681</v>
      </c>
    </row>
    <row r="17" spans="4:8" x14ac:dyDescent="0.2">
      <c r="D17" s="3" t="s">
        <v>0</v>
      </c>
      <c r="E17" s="15" t="s">
        <v>682</v>
      </c>
      <c r="G17" s="3" t="s">
        <v>0</v>
      </c>
      <c r="H17" s="15" t="s">
        <v>683</v>
      </c>
    </row>
    <row r="18" spans="4:8" x14ac:dyDescent="0.2">
      <c r="D18" s="34">
        <f ca="1">IF(NOT(ISNUMBER(OFFSET(tblDimCriminalReason[[#This Row],[Score]],-1,0))),1,SUM(OFFSET(tblDimCriminalReason[[#This Row],[Score]],-1,0),-1/ROWS(tblDimCriminalReason[Score])))</f>
        <v>1</v>
      </c>
      <c r="E18" s="15" t="s">
        <v>684</v>
      </c>
      <c r="G18" s="34">
        <f ca="1">IF(NOT(ISNUMBER(OFFSET(tblDimOutlanderReason[[#This Row],[Score]],-1,0))),1,SUM(OFFSET(tblDimOutlanderReason[[#This Row],[Score]],-1,0),-1/ROWS(tblDimOutlanderReason[Score])))</f>
        <v>1</v>
      </c>
      <c r="H18" s="15" t="s">
        <v>685</v>
      </c>
    </row>
    <row r="19" spans="4:8" x14ac:dyDescent="0.2">
      <c r="D19" s="3">
        <f ca="1">IF(NOT(ISNUMBER(OFFSET(tblDimCriminalReason[[#This Row],[Score]],-1,0))),1,SUM(OFFSET(tblDimCriminalReason[[#This Row],[Score]],-1,0),-1/ROWS(tblDimCriminalReason[Score])))</f>
        <v>0.83333333333333337</v>
      </c>
      <c r="E19" s="15" t="s">
        <v>686</v>
      </c>
      <c r="G19" s="3">
        <f ca="1">IF(NOT(ISNUMBER(OFFSET(tblDimOutlanderReason[[#This Row],[Score]],-1,0))),1,SUM(OFFSET(tblDimOutlanderReason[[#This Row],[Score]],-1,0),-1/ROWS(tblDimOutlanderReason[Score])))</f>
        <v>0.83333333333333337</v>
      </c>
      <c r="H19" s="15" t="s">
        <v>687</v>
      </c>
    </row>
    <row r="20" spans="4:8" x14ac:dyDescent="0.2">
      <c r="D20" s="3">
        <f ca="1">IF(NOT(ISNUMBER(OFFSET(tblDimCriminalReason[[#This Row],[Score]],-1,0))),1,SUM(OFFSET(tblDimCriminalReason[[#This Row],[Score]],-1,0),-1/ROWS(tblDimCriminalReason[Score])))</f>
        <v>0.66666666666666674</v>
      </c>
      <c r="E20" s="15" t="s">
        <v>688</v>
      </c>
      <c r="G20" s="3">
        <f ca="1">IF(NOT(ISNUMBER(OFFSET(tblDimOutlanderReason[[#This Row],[Score]],-1,0))),1,SUM(OFFSET(tblDimOutlanderReason[[#This Row],[Score]],-1,0),-1/ROWS(tblDimOutlanderReason[Score])))</f>
        <v>0.66666666666666674</v>
      </c>
      <c r="H20" s="15" t="s">
        <v>689</v>
      </c>
    </row>
    <row r="21" spans="4:8" x14ac:dyDescent="0.2">
      <c r="D21" s="3">
        <f ca="1">IF(NOT(ISNUMBER(OFFSET(tblDimCriminalReason[[#This Row],[Score]],-1,0))),1,SUM(OFFSET(tblDimCriminalReason[[#This Row],[Score]],-1,0),-1/ROWS(tblDimCriminalReason[Score])))</f>
        <v>0.50000000000000011</v>
      </c>
      <c r="E21" s="15" t="s">
        <v>690</v>
      </c>
      <c r="G21" s="3">
        <f ca="1">IF(NOT(ISNUMBER(OFFSET(tblDimOutlanderReason[[#This Row],[Score]],-1,0))),1,SUM(OFFSET(tblDimOutlanderReason[[#This Row],[Score]],-1,0),-1/ROWS(tblDimOutlanderReason[Score])))</f>
        <v>0.50000000000000011</v>
      </c>
      <c r="H21" s="15" t="s">
        <v>691</v>
      </c>
    </row>
    <row r="22" spans="4:8" x14ac:dyDescent="0.2">
      <c r="D22" s="3">
        <f ca="1">IF(NOT(ISNUMBER(OFFSET(tblDimCriminalReason[[#This Row],[Score]],-1,0))),1,SUM(OFFSET(tblDimCriminalReason[[#This Row],[Score]],-1,0),-1/ROWS(tblDimCriminalReason[Score])))</f>
        <v>0.33333333333333348</v>
      </c>
      <c r="E22" s="15" t="s">
        <v>692</v>
      </c>
      <c r="G22" s="3">
        <f ca="1">IF(NOT(ISNUMBER(OFFSET(tblDimOutlanderReason[[#This Row],[Score]],-1,0))),1,SUM(OFFSET(tblDimOutlanderReason[[#This Row],[Score]],-1,0),-1/ROWS(tblDimOutlanderReason[Score])))</f>
        <v>0.33333333333333348</v>
      </c>
      <c r="H22" s="15" t="s">
        <v>693</v>
      </c>
    </row>
    <row r="23" spans="4:8" x14ac:dyDescent="0.2">
      <c r="D23" s="3">
        <f ca="1">IF(NOT(ISNUMBER(OFFSET(tblDimCriminalReason[[#This Row],[Score]],-1,0))),1,SUM(OFFSET(tblDimCriminalReason[[#This Row],[Score]],-1,0),-1/ROWS(tblDimCriminalReason[Score])))</f>
        <v>0.16666666666666682</v>
      </c>
      <c r="E23" s="15" t="s">
        <v>694</v>
      </c>
      <c r="G23" s="3">
        <f ca="1">IF(NOT(ISNUMBER(OFFSET(tblDimOutlanderReason[[#This Row],[Score]],-1,0))),1,SUM(OFFSET(tblDimOutlanderReason[[#This Row],[Score]],-1,0),-1/ROWS(tblDimOutlanderReason[Score])))</f>
        <v>0.16666666666666682</v>
      </c>
      <c r="H23" s="15" t="s">
        <v>695</v>
      </c>
    </row>
    <row r="25" spans="4:8" x14ac:dyDescent="0.2">
      <c r="D25" s="3" t="s">
        <v>0</v>
      </c>
      <c r="E25" s="15" t="s">
        <v>696</v>
      </c>
      <c r="G25" s="3" t="s">
        <v>0</v>
      </c>
      <c r="H25" s="15" t="s">
        <v>697</v>
      </c>
    </row>
    <row r="26" spans="4:8" x14ac:dyDescent="0.2">
      <c r="D26" s="34">
        <f ca="1">IF(NOT(ISNUMBER(OFFSET(tblDimEntertainerReason[[#This Row],[Score]],-1,0))),1,SUM(OFFSET(tblDimEntertainerReason[[#This Row],[Score]],-1,0),-1/ROWS(tblDimEntertainerReason[Score])))</f>
        <v>1</v>
      </c>
      <c r="E26" s="15" t="s">
        <v>698</v>
      </c>
      <c r="G26" s="34">
        <f ca="1">IF(NOT(ISNUMBER(OFFSET(tblDimSageReason[[#This Row],[Score]],-1,0))),1,SUM(OFFSET(tblDimSageReason[[#This Row],[Score]],-1,0),-1/ROWS(tblDimSageReason[Score])))</f>
        <v>1</v>
      </c>
      <c r="H26" s="15" t="s">
        <v>699</v>
      </c>
    </row>
    <row r="27" spans="4:8" x14ac:dyDescent="0.2">
      <c r="D27" s="3">
        <f ca="1">IF(NOT(ISNUMBER(OFFSET(tblDimEntertainerReason[[#This Row],[Score]],-1,0))),1,SUM(OFFSET(tblDimEntertainerReason[[#This Row],[Score]],-1,0),-1/ROWS(tblDimEntertainerReason[Score])))</f>
        <v>0.83333333333333337</v>
      </c>
      <c r="E27" s="15" t="s">
        <v>700</v>
      </c>
      <c r="G27" s="3">
        <f ca="1">IF(NOT(ISNUMBER(OFFSET(tblDimSageReason[[#This Row],[Score]],-1,0))),1,SUM(OFFSET(tblDimSageReason[[#This Row],[Score]],-1,0),-1/ROWS(tblDimSageReason[Score])))</f>
        <v>0.83333333333333337</v>
      </c>
      <c r="H27" s="15" t="s">
        <v>701</v>
      </c>
    </row>
    <row r="28" spans="4:8" x14ac:dyDescent="0.2">
      <c r="D28" s="3">
        <f ca="1">IF(NOT(ISNUMBER(OFFSET(tblDimEntertainerReason[[#This Row],[Score]],-1,0))),1,SUM(OFFSET(tblDimEntertainerReason[[#This Row],[Score]],-1,0),-1/ROWS(tblDimEntertainerReason[Score])))</f>
        <v>0.66666666666666674</v>
      </c>
      <c r="E28" s="15" t="s">
        <v>702</v>
      </c>
      <c r="G28" s="3">
        <f ca="1">IF(NOT(ISNUMBER(OFFSET(tblDimSageReason[[#This Row],[Score]],-1,0))),1,SUM(OFFSET(tblDimSageReason[[#This Row],[Score]],-1,0),-1/ROWS(tblDimSageReason[Score])))</f>
        <v>0.66666666666666674</v>
      </c>
      <c r="H28" s="15" t="s">
        <v>703</v>
      </c>
    </row>
    <row r="29" spans="4:8" x14ac:dyDescent="0.2">
      <c r="D29" s="3">
        <f ca="1">IF(NOT(ISNUMBER(OFFSET(tblDimEntertainerReason[[#This Row],[Score]],-1,0))),1,SUM(OFFSET(tblDimEntertainerReason[[#This Row],[Score]],-1,0),-1/ROWS(tblDimEntertainerReason[Score])))</f>
        <v>0.50000000000000011</v>
      </c>
      <c r="E29" s="15" t="s">
        <v>704</v>
      </c>
      <c r="G29" s="3">
        <f ca="1">IF(NOT(ISNUMBER(OFFSET(tblDimSageReason[[#This Row],[Score]],-1,0))),1,SUM(OFFSET(tblDimSageReason[[#This Row],[Score]],-1,0),-1/ROWS(tblDimSageReason[Score])))</f>
        <v>0.50000000000000011</v>
      </c>
      <c r="H29" s="15" t="s">
        <v>705</v>
      </c>
    </row>
    <row r="30" spans="4:8" x14ac:dyDescent="0.2">
      <c r="D30" s="3">
        <f ca="1">IF(NOT(ISNUMBER(OFFSET(tblDimEntertainerReason[[#This Row],[Score]],-1,0))),1,SUM(OFFSET(tblDimEntertainerReason[[#This Row],[Score]],-1,0),-1/ROWS(tblDimEntertainerReason[Score])))</f>
        <v>0.33333333333333348</v>
      </c>
      <c r="E30" s="15" t="s">
        <v>706</v>
      </c>
      <c r="G30" s="3">
        <f ca="1">IF(NOT(ISNUMBER(OFFSET(tblDimSageReason[[#This Row],[Score]],-1,0))),1,SUM(OFFSET(tblDimSageReason[[#This Row],[Score]],-1,0),-1/ROWS(tblDimSageReason[Score])))</f>
        <v>0.33333333333333348</v>
      </c>
      <c r="H30" s="15" t="s">
        <v>707</v>
      </c>
    </row>
    <row r="31" spans="4:8" x14ac:dyDescent="0.2">
      <c r="D31" s="3">
        <f ca="1">IF(NOT(ISNUMBER(OFFSET(tblDimEntertainerReason[[#This Row],[Score]],-1,0))),1,SUM(OFFSET(tblDimEntertainerReason[[#This Row],[Score]],-1,0),-1/ROWS(tblDimEntertainerReason[Score])))</f>
        <v>0.16666666666666682</v>
      </c>
      <c r="E31" s="15" t="s">
        <v>708</v>
      </c>
      <c r="G31" s="3">
        <f ca="1">IF(NOT(ISNUMBER(OFFSET(tblDimSageReason[[#This Row],[Score]],-1,0))),1,SUM(OFFSET(tblDimSageReason[[#This Row],[Score]],-1,0),-1/ROWS(tblDimSageReason[Score])))</f>
        <v>0.16666666666666682</v>
      </c>
      <c r="H31" s="15" t="s">
        <v>709</v>
      </c>
    </row>
    <row r="33" spans="4:8" x14ac:dyDescent="0.2">
      <c r="D33" s="3" t="s">
        <v>0</v>
      </c>
      <c r="E33" s="15" t="s">
        <v>710</v>
      </c>
      <c r="G33" s="3" t="s">
        <v>0</v>
      </c>
      <c r="H33" s="15" t="s">
        <v>711</v>
      </c>
    </row>
    <row r="34" spans="4:8" x14ac:dyDescent="0.2">
      <c r="D34" s="34">
        <f ca="1">IF(NOT(ISNUMBER(OFFSET(tblDimFolkHeroReason[[#This Row],[Score]],-1,0))),1,SUM(OFFSET(tblDimFolkHeroReason[[#This Row],[Score]],-1,0),-1/ROWS(tblDimFolkHeroReason[Score])))</f>
        <v>1</v>
      </c>
      <c r="E34" s="15" t="s">
        <v>712</v>
      </c>
      <c r="G34" s="34">
        <f ca="1">IF(NOT(ISNUMBER(OFFSET(tblDimSailorReason[[#This Row],[Score]],-1,0))),1,SUM(OFFSET(tblDimSailorReason[[#This Row],[Score]],-1,0),-1/ROWS(tblDimSailorReason[Score])))</f>
        <v>1</v>
      </c>
      <c r="H34" s="15" t="s">
        <v>713</v>
      </c>
    </row>
    <row r="35" spans="4:8" x14ac:dyDescent="0.2">
      <c r="D35" s="3">
        <f ca="1">IF(NOT(ISNUMBER(OFFSET(tblDimFolkHeroReason[[#This Row],[Score]],-1,0))),1,SUM(OFFSET(tblDimFolkHeroReason[[#This Row],[Score]],-1,0),-1/ROWS(tblDimFolkHeroReason[Score])))</f>
        <v>0.83333333333333337</v>
      </c>
      <c r="E35" s="15" t="s">
        <v>714</v>
      </c>
      <c r="G35" s="3">
        <f ca="1">IF(NOT(ISNUMBER(OFFSET(tblDimSailorReason[[#This Row],[Score]],-1,0))),1,SUM(OFFSET(tblDimSailorReason[[#This Row],[Score]],-1,0),-1/ROWS(tblDimSailorReason[Score])))</f>
        <v>0.83333333333333337</v>
      </c>
      <c r="H35" s="15" t="s">
        <v>715</v>
      </c>
    </row>
    <row r="36" spans="4:8" x14ac:dyDescent="0.2">
      <c r="D36" s="3">
        <f ca="1">IF(NOT(ISNUMBER(OFFSET(tblDimFolkHeroReason[[#This Row],[Score]],-1,0))),1,SUM(OFFSET(tblDimFolkHeroReason[[#This Row],[Score]],-1,0),-1/ROWS(tblDimFolkHeroReason[Score])))</f>
        <v>0.66666666666666674</v>
      </c>
      <c r="E36" s="15" t="s">
        <v>716</v>
      </c>
      <c r="G36" s="3">
        <f ca="1">IF(NOT(ISNUMBER(OFFSET(tblDimSailorReason[[#This Row],[Score]],-1,0))),1,SUM(OFFSET(tblDimSailorReason[[#This Row],[Score]],-1,0),-1/ROWS(tblDimSailorReason[Score])))</f>
        <v>0.66666666666666674</v>
      </c>
      <c r="H36" s="15" t="s">
        <v>717</v>
      </c>
    </row>
    <row r="37" spans="4:8" x14ac:dyDescent="0.2">
      <c r="D37" s="3">
        <f ca="1">IF(NOT(ISNUMBER(OFFSET(tblDimFolkHeroReason[[#This Row],[Score]],-1,0))),1,SUM(OFFSET(tblDimFolkHeroReason[[#This Row],[Score]],-1,0),-1/ROWS(tblDimFolkHeroReason[Score])))</f>
        <v>0.50000000000000011</v>
      </c>
      <c r="E37" s="15" t="s">
        <v>718</v>
      </c>
      <c r="G37" s="3">
        <f ca="1">IF(NOT(ISNUMBER(OFFSET(tblDimSailorReason[[#This Row],[Score]],-1,0))),1,SUM(OFFSET(tblDimSailorReason[[#This Row],[Score]],-1,0),-1/ROWS(tblDimSailorReason[Score])))</f>
        <v>0.50000000000000011</v>
      </c>
      <c r="H37" s="15" t="s">
        <v>719</v>
      </c>
    </row>
    <row r="38" spans="4:8" x14ac:dyDescent="0.2">
      <c r="D38" s="3">
        <f ca="1">IF(NOT(ISNUMBER(OFFSET(tblDimFolkHeroReason[[#This Row],[Score]],-1,0))),1,SUM(OFFSET(tblDimFolkHeroReason[[#This Row],[Score]],-1,0),-1/ROWS(tblDimFolkHeroReason[Score])))</f>
        <v>0.33333333333333348</v>
      </c>
      <c r="E38" s="15" t="s">
        <v>720</v>
      </c>
      <c r="G38" s="3">
        <f ca="1">IF(NOT(ISNUMBER(OFFSET(tblDimSailorReason[[#This Row],[Score]],-1,0))),1,SUM(OFFSET(tblDimSailorReason[[#This Row],[Score]],-1,0),-1/ROWS(tblDimSailorReason[Score])))</f>
        <v>0.33333333333333348</v>
      </c>
      <c r="H38" s="15" t="s">
        <v>721</v>
      </c>
    </row>
    <row r="39" spans="4:8" x14ac:dyDescent="0.2">
      <c r="D39" s="3">
        <f ca="1">IF(NOT(ISNUMBER(OFFSET(tblDimFolkHeroReason[[#This Row],[Score]],-1,0))),1,SUM(OFFSET(tblDimFolkHeroReason[[#This Row],[Score]],-1,0),-1/ROWS(tblDimFolkHeroReason[Score])))</f>
        <v>0.16666666666666682</v>
      </c>
      <c r="E39" s="15" t="s">
        <v>722</v>
      </c>
      <c r="G39" s="3">
        <f ca="1">IF(NOT(ISNUMBER(OFFSET(tblDimSailorReason[[#This Row],[Score]],-1,0))),1,SUM(OFFSET(tblDimSailorReason[[#This Row],[Score]],-1,0),-1/ROWS(tblDimSailorReason[Score])))</f>
        <v>0.16666666666666682</v>
      </c>
      <c r="H39" s="15" t="s">
        <v>723</v>
      </c>
    </row>
    <row r="41" spans="4:8" x14ac:dyDescent="0.2">
      <c r="D41" s="3" t="s">
        <v>0</v>
      </c>
      <c r="E41" s="15" t="s">
        <v>724</v>
      </c>
      <c r="G41" s="3" t="s">
        <v>0</v>
      </c>
      <c r="H41" s="15" t="s">
        <v>725</v>
      </c>
    </row>
    <row r="42" spans="4:8" x14ac:dyDescent="0.2">
      <c r="D42" s="34">
        <f ca="1">IF(NOT(ISNUMBER(OFFSET(tblDimGuildArtisanReason[[#This Row],[Score]],-1,0))),1,SUM(OFFSET(tblDimGuildArtisanReason[[#This Row],[Score]],-1,0),-1/ROWS(tblDimGuildArtisanReason[Score])))</f>
        <v>1</v>
      </c>
      <c r="E42" s="15" t="s">
        <v>726</v>
      </c>
      <c r="G42" s="34">
        <f ca="1">IF(NOT(ISNUMBER(OFFSET(tblDimSoldierReason[[#This Row],[Score]],-1,0))),1,SUM(OFFSET(tblDimSoldierReason[[#This Row],[Score]],-1,0),-1/ROWS(tblDimSoldierReason[Score])))</f>
        <v>1</v>
      </c>
      <c r="H42" s="15" t="s">
        <v>727</v>
      </c>
    </row>
    <row r="43" spans="4:8" x14ac:dyDescent="0.2">
      <c r="D43" s="3">
        <f ca="1">IF(NOT(ISNUMBER(OFFSET(tblDimGuildArtisanReason[[#This Row],[Score]],-1,0))),1,SUM(OFFSET(tblDimGuildArtisanReason[[#This Row],[Score]],-1,0),-1/ROWS(tblDimGuildArtisanReason[Score])))</f>
        <v>0.83333333333333337</v>
      </c>
      <c r="E43" s="15" t="s">
        <v>728</v>
      </c>
      <c r="G43" s="3">
        <f ca="1">IF(NOT(ISNUMBER(OFFSET(tblDimSoldierReason[[#This Row],[Score]],-1,0))),1,SUM(OFFSET(tblDimSoldierReason[[#This Row],[Score]],-1,0),-1/ROWS(tblDimSoldierReason[Score])))</f>
        <v>0.83333333333333337</v>
      </c>
      <c r="H43" s="15" t="s">
        <v>729</v>
      </c>
    </row>
    <row r="44" spans="4:8" x14ac:dyDescent="0.2">
      <c r="D44" s="3">
        <f ca="1">IF(NOT(ISNUMBER(OFFSET(tblDimGuildArtisanReason[[#This Row],[Score]],-1,0))),1,SUM(OFFSET(tblDimGuildArtisanReason[[#This Row],[Score]],-1,0),-1/ROWS(tblDimGuildArtisanReason[Score])))</f>
        <v>0.66666666666666674</v>
      </c>
      <c r="E44" s="15" t="s">
        <v>730</v>
      </c>
      <c r="G44" s="3">
        <f ca="1">IF(NOT(ISNUMBER(OFFSET(tblDimSoldierReason[[#This Row],[Score]],-1,0))),1,SUM(OFFSET(tblDimSoldierReason[[#This Row],[Score]],-1,0),-1/ROWS(tblDimSoldierReason[Score])))</f>
        <v>0.66666666666666674</v>
      </c>
      <c r="H44" s="15" t="s">
        <v>731</v>
      </c>
    </row>
    <row r="45" spans="4:8" x14ac:dyDescent="0.2">
      <c r="D45" s="3">
        <f ca="1">IF(NOT(ISNUMBER(OFFSET(tblDimGuildArtisanReason[[#This Row],[Score]],-1,0))),1,SUM(OFFSET(tblDimGuildArtisanReason[[#This Row],[Score]],-1,0),-1/ROWS(tblDimGuildArtisanReason[Score])))</f>
        <v>0.50000000000000011</v>
      </c>
      <c r="E45" s="15" t="s">
        <v>732</v>
      </c>
      <c r="G45" s="3">
        <f ca="1">IF(NOT(ISNUMBER(OFFSET(tblDimSoldierReason[[#This Row],[Score]],-1,0))),1,SUM(OFFSET(tblDimSoldierReason[[#This Row],[Score]],-1,0),-1/ROWS(tblDimSoldierReason[Score])))</f>
        <v>0.50000000000000011</v>
      </c>
      <c r="H45" s="15" t="s">
        <v>733</v>
      </c>
    </row>
    <row r="46" spans="4:8" x14ac:dyDescent="0.2">
      <c r="D46" s="3">
        <f ca="1">IF(NOT(ISNUMBER(OFFSET(tblDimGuildArtisanReason[[#This Row],[Score]],-1,0))),1,SUM(OFFSET(tblDimGuildArtisanReason[[#This Row],[Score]],-1,0),-1/ROWS(tblDimGuildArtisanReason[Score])))</f>
        <v>0.33333333333333348</v>
      </c>
      <c r="E46" s="15" t="s">
        <v>734</v>
      </c>
      <c r="G46" s="3">
        <f ca="1">IF(NOT(ISNUMBER(OFFSET(tblDimSoldierReason[[#This Row],[Score]],-1,0))),1,SUM(OFFSET(tblDimSoldierReason[[#This Row],[Score]],-1,0),-1/ROWS(tblDimSoldierReason[Score])))</f>
        <v>0.33333333333333348</v>
      </c>
      <c r="H46" s="15" t="s">
        <v>735</v>
      </c>
    </row>
    <row r="47" spans="4:8" x14ac:dyDescent="0.2">
      <c r="D47" s="3">
        <f ca="1">IF(NOT(ISNUMBER(OFFSET(tblDimGuildArtisanReason[[#This Row],[Score]],-1,0))),1,SUM(OFFSET(tblDimGuildArtisanReason[[#This Row],[Score]],-1,0),-1/ROWS(tblDimGuildArtisanReason[Score])))</f>
        <v>0.16666666666666682</v>
      </c>
      <c r="E47" s="15" t="s">
        <v>736</v>
      </c>
      <c r="G47" s="3">
        <f ca="1">IF(NOT(ISNUMBER(OFFSET(tblDimSoldierReason[[#This Row],[Score]],-1,0))),1,SUM(OFFSET(tblDimSoldierReason[[#This Row],[Score]],-1,0),-1/ROWS(tblDimSoldierReason[Score])))</f>
        <v>0.16666666666666682</v>
      </c>
      <c r="H47" s="15" t="s">
        <v>737</v>
      </c>
    </row>
  </sheetData>
  <pageMargins left="0.7" right="0.7" top="0.75" bottom="0.75" header="0.3" footer="0.3"/>
  <tableParts count="14">
    <tablePart r:id="rId1"/>
    <tablePart r:id="rId2"/>
    <tablePart r:id="rId3"/>
    <tablePart r:id="rId4"/>
    <tablePart r:id="rId5"/>
    <tablePart r:id="rId6"/>
    <tablePart r:id="rId7"/>
    <tablePart r:id="rId8"/>
    <tablePart r:id="rId9"/>
    <tablePart r:id="rId10"/>
    <tablePart r:id="rId11"/>
    <tablePart r:id="rId12"/>
    <tablePart r:id="rId13"/>
    <tablePart r:id="rId1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Q24"/>
  <sheetViews>
    <sheetView zoomScale="75" zoomScaleNormal="75" zoomScalePageLayoutView="75" workbookViewId="0">
      <selection activeCell="M2" sqref="M2"/>
    </sheetView>
  </sheetViews>
  <sheetFormatPr baseColWidth="10" defaultColWidth="9" defaultRowHeight="15" x14ac:dyDescent="0.2"/>
  <cols>
    <col min="1" max="1" width="9" style="15"/>
    <col min="2" max="2" width="38.19921875" style="15" bestFit="1" customWidth="1"/>
    <col min="3" max="3" width="2" style="15" customWidth="1"/>
    <col min="4" max="4" width="9" style="15"/>
    <col min="5" max="5" width="54.19921875" style="15" bestFit="1" customWidth="1"/>
    <col min="6" max="6" width="2" style="15" customWidth="1"/>
    <col min="7" max="7" width="9" style="15"/>
    <col min="8" max="8" width="20.796875" style="15" bestFit="1" customWidth="1"/>
    <col min="9" max="9" width="2" style="15" customWidth="1"/>
    <col min="10" max="10" width="9" style="15"/>
    <col min="11" max="11" width="78.19921875" style="15" bestFit="1" customWidth="1"/>
    <col min="12" max="12" width="2" style="15" customWidth="1"/>
    <col min="13" max="13" width="9" style="15"/>
    <col min="14" max="14" width="17.3984375" style="15" bestFit="1" customWidth="1"/>
    <col min="15" max="15" width="2" style="15" customWidth="1"/>
    <col min="16" max="16" width="9" style="15"/>
    <col min="17" max="17" width="46.796875" style="15" bestFit="1" customWidth="1"/>
    <col min="18" max="18" width="2" style="21" customWidth="1"/>
    <col min="19" max="16384" width="9" style="21"/>
  </cols>
  <sheetData>
    <row r="1" spans="1:17" x14ac:dyDescent="0.2">
      <c r="A1" s="15" t="s">
        <v>0</v>
      </c>
      <c r="B1" s="15" t="s">
        <v>65</v>
      </c>
      <c r="D1" s="15" t="s">
        <v>0</v>
      </c>
      <c r="E1" s="15" t="s">
        <v>62</v>
      </c>
      <c r="G1" s="15" t="s">
        <v>0</v>
      </c>
      <c r="H1" s="15" t="s">
        <v>66</v>
      </c>
      <c r="J1" s="15" t="s">
        <v>0</v>
      </c>
      <c r="K1" s="15" t="s">
        <v>61</v>
      </c>
      <c r="M1" s="15" t="s">
        <v>0</v>
      </c>
      <c r="N1" s="15" t="s">
        <v>59</v>
      </c>
      <c r="P1" s="15" t="s">
        <v>0</v>
      </c>
      <c r="Q1" s="15" t="s">
        <v>60</v>
      </c>
    </row>
    <row r="2" spans="1:17" x14ac:dyDescent="0.2">
      <c r="A2" s="25">
        <v>1</v>
      </c>
      <c r="B2" s="15" t="s">
        <v>738</v>
      </c>
      <c r="D2" s="34">
        <f ca="1">IF(NOT(ISNUMBER(OFFSET(tblDimBirthplace[[#This Row],[Score]],-1,0))),1,SUM(OFFSET(tblDimBirthplace[[#This Row],[Score]],-1,0),-1/ROWS(tblDimBirthplace[Score])))</f>
        <v>1</v>
      </c>
      <c r="E2" s="15" t="s">
        <v>739</v>
      </c>
      <c r="G2" s="38">
        <f>1-_xlfn.NORM.DIST(ROW()-ROW(tblDimNumberOfSiblings[#Headers]),ROWS(tblDimNumberOfSiblings[Score])/2,(ROWS(tblDimNumberOfSiblings[Score])/6),TRUE)</f>
        <v>0.96406968088707423</v>
      </c>
      <c r="H2" s="15">
        <v>0</v>
      </c>
      <c r="J2" s="34">
        <f ca="1">IF(NOT(ISNUMBER(OFFSET(tblDimFamily[[#This Row],[Score]],-1,0))),1,SUM(OFFSET(tblDimFamily[[#This Row],[Score]],-1,0),-1/ROWS(tblDimFamily[Score])))</f>
        <v>1</v>
      </c>
      <c r="K2" s="15" t="s">
        <v>740</v>
      </c>
      <c r="M2" s="34">
        <f>1-_xlfn.NORM.DIST(ROW()-ROW(tblDimLifestyle[#Headers]),ROWS(tblDimLifestyle[Score])/2,(ROWS(tblDimLifestyle[Score])/6),TRUE)</f>
        <v>0.98393771439617173</v>
      </c>
      <c r="N2" s="15" t="s">
        <v>741</v>
      </c>
      <c r="P2" s="34">
        <f>1-_xlfn.NORM.DIST(ROW()-ROW(tblDimChildhoodHome[#Headers]),ROWS(tblDimChildhoodHome[Score])/2,(ROWS(tblDimChildhoodHome[Score])/6),TRUE)</f>
        <v>0.99018467137135469</v>
      </c>
      <c r="Q2" s="15" t="s">
        <v>742</v>
      </c>
    </row>
    <row r="3" spans="1:17" x14ac:dyDescent="0.2">
      <c r="A3" s="26">
        <v>0.25</v>
      </c>
      <c r="B3" s="15" t="s">
        <v>743</v>
      </c>
      <c r="D3" s="3">
        <f ca="1">IF(NOT(ISNUMBER(OFFSET(tblDimBirthplace[[#This Row],[Score]],-1,0))),1,SUM(OFFSET(tblDimBirthplace[[#This Row],[Score]],-1,0),-1/ROWS(tblDimBirthplace[Score])))</f>
        <v>0.95652173913043481</v>
      </c>
      <c r="E3" s="15" t="s">
        <v>744</v>
      </c>
      <c r="G3" s="3">
        <f>1-_xlfn.NORM.DIST(ROW()-ROW(tblDimNumberOfSiblings[#Headers]),ROWS(tblDimNumberOfSiblings[Score])/2,(ROWS(tblDimNumberOfSiblings[Score])/6),TRUE)</f>
        <v>0.72574688224992645</v>
      </c>
      <c r="H3" s="15">
        <v>3</v>
      </c>
      <c r="J3" s="3">
        <f ca="1">IF(NOT(ISNUMBER(OFFSET(tblDimFamily[[#This Row],[Score]],-1,0))),1,SUM(OFFSET(tblDimFamily[[#This Row],[Score]],-1,0),-1/ROWS(tblDimFamily[Score])))</f>
        <v>0.90909090909090906</v>
      </c>
      <c r="K3" s="15" t="s">
        <v>745</v>
      </c>
      <c r="M3" s="3">
        <f>1-_xlfn.NORM.DIST(ROW()-ROW(tblDimLifestyle[#Headers]),ROWS(tblDimLifestyle[Score])/2,(ROWS(tblDimLifestyle[Score])/6),TRUE)</f>
        <v>0.90072860315666903</v>
      </c>
      <c r="N3" s="15" t="s">
        <v>746</v>
      </c>
      <c r="P3" s="3">
        <f>1-_xlfn.NORM.DIST(ROW()-ROW(tblDimChildhoodHome[#Headers]),ROWS(tblDimChildhoodHome[Score])/2,(ROWS(tblDimChildhoodHome[Score])/6),TRUE)</f>
        <v>0.9522096477271853</v>
      </c>
      <c r="Q3" s="15" t="s">
        <v>747</v>
      </c>
    </row>
    <row r="4" spans="1:17" x14ac:dyDescent="0.2">
      <c r="D4" s="3">
        <f ca="1">IF(NOT(ISNUMBER(OFFSET(tblDimBirthplace[[#This Row],[Score]],-1,0))),1,SUM(OFFSET(tblDimBirthplace[[#This Row],[Score]],-1,0),-1/ROWS(tblDimBirthplace[Score])))</f>
        <v>0.91304347826086962</v>
      </c>
      <c r="E4" s="15" t="s">
        <v>748</v>
      </c>
      <c r="G4" s="3">
        <f>1-_xlfn.NORM.DIST(ROW()-ROW(tblDimNumberOfSiblings[#Headers]),ROWS(tblDimNumberOfSiblings[Score])/2,(ROWS(tblDimNumberOfSiblings[Score])/6),TRUE)</f>
        <v>0.27425311775007355</v>
      </c>
      <c r="H4" s="15">
        <v>3</v>
      </c>
      <c r="J4" s="3">
        <f ca="1">IF(NOT(ISNUMBER(OFFSET(tblDimFamily[[#This Row],[Score]],-1,0))),1,SUM(OFFSET(tblDimFamily[[#This Row],[Score]],-1,0),-1/ROWS(tblDimFamily[Score])))</f>
        <v>0.81818181818181812</v>
      </c>
      <c r="K4" s="15" t="s">
        <v>749</v>
      </c>
      <c r="M4" s="3">
        <f>1-_xlfn.NORM.DIST(ROW()-ROW(tblDimLifestyle[#Headers]),ROWS(tblDimLifestyle[Score])/2,(ROWS(tblDimLifestyle[Score])/6),TRUE)</f>
        <v>0.66588242910237538</v>
      </c>
      <c r="N4" s="15" t="s">
        <v>750</v>
      </c>
      <c r="P4" s="3">
        <f>1-_xlfn.NORM.DIST(ROW()-ROW(tblDimChildhoodHome[#Headers]),ROWS(tblDimChildhoodHome[Score])/2,(ROWS(tblDimChildhoodHome[Score])/6),TRUE)</f>
        <v>0.84134474606854304</v>
      </c>
      <c r="Q4" s="15" t="s">
        <v>751</v>
      </c>
    </row>
    <row r="5" spans="1:17" x14ac:dyDescent="0.2">
      <c r="A5" s="15" t="s">
        <v>0</v>
      </c>
      <c r="B5" s="15" t="s">
        <v>63</v>
      </c>
      <c r="D5" s="3">
        <f ca="1">IF(NOT(ISNUMBER(OFFSET(tblDimBirthplace[[#This Row],[Score]],-1,0))),1,SUM(OFFSET(tblDimBirthplace[[#This Row],[Score]],-1,0),-1/ROWS(tblDimBirthplace[Score])))</f>
        <v>0.86956521739130443</v>
      </c>
      <c r="E5" s="15" t="s">
        <v>752</v>
      </c>
      <c r="G5" s="3">
        <f>1-_xlfn.NORM.DIST(ROW()-ROW(tblDimNumberOfSiblings[#Headers]),ROWS(tblDimNumberOfSiblings[Score])/2,(ROWS(tblDimNumberOfSiblings[Score])/6),TRUE)</f>
        <v>3.5930319112925768E-2</v>
      </c>
      <c r="H5" s="15">
        <v>2</v>
      </c>
      <c r="J5" s="3">
        <f ca="1">IF(NOT(ISNUMBER(OFFSET(tblDimFamily[[#This Row],[Score]],-1,0))),1,SUM(OFFSET(tblDimFamily[[#This Row],[Score]],-1,0),-1/ROWS(tblDimFamily[Score])))</f>
        <v>0.72727272727272718</v>
      </c>
      <c r="K5" s="15" t="s">
        <v>753</v>
      </c>
      <c r="M5" s="3">
        <f>1-_xlfn.NORM.DIST(ROW()-ROW(tblDimLifestyle[#Headers]),ROWS(tblDimLifestyle[Score])/2,(ROWS(tblDimLifestyle[Score])/6),TRUE)</f>
        <v>0.33411757089762462</v>
      </c>
      <c r="N5" s="15" t="s">
        <v>754</v>
      </c>
      <c r="P5" s="3">
        <f>1-_xlfn.NORM.DIST(ROW()-ROW(tblDimChildhoodHome[#Headers]),ROWS(tblDimChildhoodHome[Score])/2,(ROWS(tblDimChildhoodHome[Score])/6),TRUE)</f>
        <v>0.63055865981823644</v>
      </c>
      <c r="Q5" s="15" t="s">
        <v>755</v>
      </c>
    </row>
    <row r="6" spans="1:17" x14ac:dyDescent="0.2">
      <c r="A6" s="34">
        <f ca="1">IF(NOT(ISNUMBER(OFFSET(tblDimAbsentParent[[#This Row],[Score]],-1,0))),1,SUM(OFFSET(tblDimAbsentParent[[#This Row],[Score]],-1,0),-1/ROWS(tblDimAbsentParent[Score])))</f>
        <v>1</v>
      </c>
      <c r="B6" s="15" t="s">
        <v>756</v>
      </c>
      <c r="D6" s="3">
        <f ca="1">IF(NOT(ISNUMBER(OFFSET(tblDimBirthplace[[#This Row],[Score]],-1,0))),1,SUM(OFFSET(tblDimBirthplace[[#This Row],[Score]],-1,0),-1/ROWS(tblDimBirthplace[Score])))</f>
        <v>0.82608695652173925</v>
      </c>
      <c r="E6" s="15" t="s">
        <v>757</v>
      </c>
      <c r="G6" s="3">
        <f>1-_xlfn.NORM.DIST(ROW()-ROW(tblDimNumberOfSiblings[#Headers]),ROWS(tblDimNumberOfSiblings[Score])/2,(ROWS(tblDimNumberOfSiblings[Score])/6),TRUE)</f>
        <v>1.3498980316301035E-3</v>
      </c>
      <c r="H6" s="15">
        <v>6</v>
      </c>
      <c r="J6" s="3">
        <f ca="1">IF(NOT(ISNUMBER(OFFSET(tblDimFamily[[#This Row],[Score]],-1,0))),1,SUM(OFFSET(tblDimFamily[[#This Row],[Score]],-1,0),-1/ROWS(tblDimFamily[Score])))</f>
        <v>0.63636363636363624</v>
      </c>
      <c r="K6" s="15" t="s">
        <v>758</v>
      </c>
      <c r="M6" s="3">
        <f>1-_xlfn.NORM.DIST(ROW()-ROW(tblDimLifestyle[#Headers]),ROWS(tblDimLifestyle[Score])/2,(ROWS(tblDimLifestyle[Score])/6),TRUE)</f>
        <v>9.9271396843330972E-2</v>
      </c>
      <c r="N6" s="15" t="s">
        <v>759</v>
      </c>
      <c r="P6" s="3">
        <f>1-_xlfn.NORM.DIST(ROW()-ROW(tblDimChildhoodHome[#Headers]),ROWS(tblDimChildhoodHome[Score])/2,(ROWS(tblDimChildhoodHome[Score])/6),TRUE)</f>
        <v>0.36944134018176356</v>
      </c>
      <c r="Q6" s="15" t="s">
        <v>760</v>
      </c>
    </row>
    <row r="7" spans="1:17" x14ac:dyDescent="0.2">
      <c r="A7" s="3">
        <f ca="1">IF(NOT(ISNUMBER(OFFSET(tblDimAbsentParent[[#This Row],[Score]],-1,0))),1,SUM(OFFSET(tblDimAbsentParent[[#This Row],[Score]],-1,0),-1/ROWS(tblDimAbsentParent[Score])))</f>
        <v>0.75</v>
      </c>
      <c r="B7" s="15" t="s">
        <v>761</v>
      </c>
      <c r="D7" s="3">
        <f ca="1">IF(NOT(ISNUMBER(OFFSET(tblDimBirthplace[[#This Row],[Score]],-1,0))),1,SUM(OFFSET(tblDimBirthplace[[#This Row],[Score]],-1,0),-1/ROWS(tblDimBirthplace[Score])))</f>
        <v>0.78260869565217406</v>
      </c>
      <c r="E7" s="15" t="s">
        <v>762</v>
      </c>
      <c r="J7" s="3">
        <f ca="1">IF(NOT(ISNUMBER(OFFSET(tblDimFamily[[#This Row],[Score]],-1,0))),1,SUM(OFFSET(tblDimFamily[[#This Row],[Score]],-1,0),-1/ROWS(tblDimFamily[Score])))</f>
        <v>0.5454545454545453</v>
      </c>
      <c r="K7" s="15" t="s">
        <v>763</v>
      </c>
      <c r="M7" s="3">
        <f>1-_xlfn.NORM.DIST(ROW()-ROW(tblDimLifestyle[#Headers]),ROWS(tblDimLifestyle[Score])/2,(ROWS(tblDimLifestyle[Score])/6),TRUE)</f>
        <v>1.6062285603828275E-2</v>
      </c>
      <c r="N7" s="15" t="s">
        <v>764</v>
      </c>
      <c r="P7" s="3">
        <f>1-_xlfn.NORM.DIST(ROW()-ROW(tblDimChildhoodHome[#Headers]),ROWS(tblDimChildhoodHome[Score])/2,(ROWS(tblDimChildhoodHome[Score])/6),TRUE)</f>
        <v>0.15865525393145696</v>
      </c>
      <c r="Q7" s="15" t="s">
        <v>765</v>
      </c>
    </row>
    <row r="8" spans="1:17" x14ac:dyDescent="0.2">
      <c r="A8" s="3">
        <f ca="1">IF(NOT(ISNUMBER(OFFSET(tblDimAbsentParent[[#This Row],[Score]],-1,0))),1,SUM(OFFSET(tblDimAbsentParent[[#This Row],[Score]],-1,0),-1/ROWS(tblDimAbsentParent[Score])))</f>
        <v>0.5</v>
      </c>
      <c r="B8" s="15" t="s">
        <v>766</v>
      </c>
      <c r="D8" s="3">
        <f ca="1">IF(NOT(ISNUMBER(OFFSET(tblDimBirthplace[[#This Row],[Score]],-1,0))),1,SUM(OFFSET(tblDimBirthplace[[#This Row],[Score]],-1,0),-1/ROWS(tblDimBirthplace[Score])))</f>
        <v>0.73913043478260887</v>
      </c>
      <c r="E8" s="15" t="s">
        <v>767</v>
      </c>
      <c r="J8" s="3">
        <f ca="1">IF(NOT(ISNUMBER(OFFSET(tblDimFamily[[#This Row],[Score]],-1,0))),1,SUM(OFFSET(tblDimFamily[[#This Row],[Score]],-1,0),-1/ROWS(tblDimFamily[Score])))</f>
        <v>0.45454545454545436</v>
      </c>
      <c r="K8" s="15" t="s">
        <v>768</v>
      </c>
      <c r="M8" s="3">
        <f>1-_xlfn.NORM.DIST(ROW()-ROW(tblDimLifestyle[#Headers]),ROWS(tblDimLifestyle[Score])/2,(ROWS(tblDimLifestyle[Score])/6),TRUE)</f>
        <v>1.3498980316301035E-3</v>
      </c>
      <c r="N8" s="15" t="s">
        <v>769</v>
      </c>
      <c r="P8" s="3">
        <f>1-_xlfn.NORM.DIST(ROW()-ROW(tblDimChildhoodHome[#Headers]),ROWS(tblDimChildhoodHome[Score])/2,(ROWS(tblDimChildhoodHome[Score])/6),TRUE)</f>
        <v>4.7790352272814696E-2</v>
      </c>
      <c r="Q8" s="15" t="s">
        <v>770</v>
      </c>
    </row>
    <row r="9" spans="1:17" x14ac:dyDescent="0.2">
      <c r="A9" s="3">
        <f ca="1">IF(NOT(ISNUMBER(OFFSET(tblDimAbsentParent[[#This Row],[Score]],-1,0))),1,SUM(OFFSET(tblDimAbsentParent[[#This Row],[Score]],-1,0),-1/ROWS(tblDimAbsentParent[Score])))</f>
        <v>0.25</v>
      </c>
      <c r="B9" s="15" t="s">
        <v>771</v>
      </c>
      <c r="D9" s="3">
        <f ca="1">IF(NOT(ISNUMBER(OFFSET(tblDimBirthplace[[#This Row],[Score]],-1,0))),1,SUM(OFFSET(tblDimBirthplace[[#This Row],[Score]],-1,0),-1/ROWS(tblDimBirthplace[Score])))</f>
        <v>0.69565217391304368</v>
      </c>
      <c r="E9" s="15" t="s">
        <v>772</v>
      </c>
      <c r="J9" s="3">
        <f ca="1">IF(NOT(ISNUMBER(OFFSET(tblDimFamily[[#This Row],[Score]],-1,0))),1,SUM(OFFSET(tblDimFamily[[#This Row],[Score]],-1,0),-1/ROWS(tblDimFamily[Score])))</f>
        <v>0.36363636363636342</v>
      </c>
      <c r="K9" s="15" t="s">
        <v>773</v>
      </c>
      <c r="P9" s="3">
        <f>1-_xlfn.NORM.DIST(ROW()-ROW(tblDimChildhoodHome[#Headers]),ROWS(tblDimChildhoodHome[Score])/2,(ROWS(tblDimChildhoodHome[Score])/6),TRUE)</f>
        <v>9.8153286286453145E-3</v>
      </c>
      <c r="Q9" s="15" t="s">
        <v>774</v>
      </c>
    </row>
    <row r="10" spans="1:17" x14ac:dyDescent="0.2">
      <c r="D10" s="3">
        <f ca="1">IF(NOT(ISNUMBER(OFFSET(tblDimBirthplace[[#This Row],[Score]],-1,0))),1,SUM(OFFSET(tblDimBirthplace[[#This Row],[Score]],-1,0),-1/ROWS(tblDimBirthplace[Score])))</f>
        <v>0.65217391304347849</v>
      </c>
      <c r="E10" s="15" t="s">
        <v>749</v>
      </c>
      <c r="J10" s="3">
        <f ca="1">IF(NOT(ISNUMBER(OFFSET(tblDimFamily[[#This Row],[Score]],-1,0))),1,SUM(OFFSET(tblDimFamily[[#This Row],[Score]],-1,0),-1/ROWS(tblDimFamily[Score])))</f>
        <v>0.27272727272727249</v>
      </c>
      <c r="K10" s="15" t="s">
        <v>775</v>
      </c>
      <c r="P10" s="3">
        <f>1-_xlfn.NORM.DIST(ROW()-ROW(tblDimChildhoodHome[#Headers]),ROWS(tblDimChildhoodHome[Score])/2,(ROWS(tblDimChildhoodHome[Score])/6),TRUE)</f>
        <v>1.3498980316301035E-3</v>
      </c>
      <c r="Q10" s="15" t="s">
        <v>776</v>
      </c>
    </row>
    <row r="11" spans="1:17" x14ac:dyDescent="0.2">
      <c r="D11" s="3">
        <f ca="1">IF(NOT(ISNUMBER(OFFSET(tblDimBirthplace[[#This Row],[Score]],-1,0))),1,SUM(OFFSET(tblDimBirthplace[[#This Row],[Score]],-1,0),-1/ROWS(tblDimBirthplace[Score])))</f>
        <v>0.6086956521739133</v>
      </c>
      <c r="E11" s="15" t="s">
        <v>777</v>
      </c>
      <c r="J11" s="3">
        <f ca="1">IF(NOT(ISNUMBER(OFFSET(tblDimFamily[[#This Row],[Score]],-1,0))),1,SUM(OFFSET(tblDimFamily[[#This Row],[Score]],-1,0),-1/ROWS(tblDimFamily[Score])))</f>
        <v>0.18181818181818157</v>
      </c>
      <c r="K11" s="15" t="s">
        <v>778</v>
      </c>
    </row>
    <row r="12" spans="1:17" x14ac:dyDescent="0.2">
      <c r="D12" s="3">
        <f ca="1">IF(NOT(ISNUMBER(OFFSET(tblDimBirthplace[[#This Row],[Score]],-1,0))),1,SUM(OFFSET(tblDimBirthplace[[#This Row],[Score]],-1,0),-1/ROWS(tblDimBirthplace[Score])))</f>
        <v>0.56521739130434812</v>
      </c>
      <c r="E12" s="15" t="s">
        <v>779</v>
      </c>
      <c r="J12" s="3">
        <f ca="1">IF(NOT(ISNUMBER(OFFSET(tblDimFamily[[#This Row],[Score]],-1,0))),1,SUM(OFFSET(tblDimFamily[[#This Row],[Score]],-1,0),-1/ROWS(tblDimFamily[Score])))</f>
        <v>9.0909090909090662E-2</v>
      </c>
      <c r="K12" s="15" t="s">
        <v>780</v>
      </c>
    </row>
    <row r="13" spans="1:17" x14ac:dyDescent="0.2">
      <c r="D13" s="3">
        <f ca="1">IF(NOT(ISNUMBER(OFFSET(tblDimBirthplace[[#This Row],[Score]],-1,0))),1,SUM(OFFSET(tblDimBirthplace[[#This Row],[Score]],-1,0),-1/ROWS(tblDimBirthplace[Score])))</f>
        <v>0.52173913043478293</v>
      </c>
      <c r="E13" s="15" t="s">
        <v>781</v>
      </c>
    </row>
    <row r="14" spans="1:17" x14ac:dyDescent="0.2">
      <c r="D14" s="3">
        <f ca="1">IF(NOT(ISNUMBER(OFFSET(tblDimBirthplace[[#This Row],[Score]],-1,0))),1,SUM(OFFSET(tblDimBirthplace[[#This Row],[Score]],-1,0),-1/ROWS(tblDimBirthplace[Score])))</f>
        <v>0.47826086956521774</v>
      </c>
      <c r="E14" s="15" t="s">
        <v>782</v>
      </c>
      <c r="J14" s="15" t="s">
        <v>0</v>
      </c>
      <c r="K14" s="15" t="s">
        <v>67</v>
      </c>
    </row>
    <row r="15" spans="1:17" x14ac:dyDescent="0.2">
      <c r="D15" s="3">
        <f ca="1">IF(NOT(ISNUMBER(OFFSET(tblDimBirthplace[[#This Row],[Score]],-1,0))),1,SUM(OFFSET(tblDimBirthplace[[#This Row],[Score]],-1,0),-1/ROWS(tblDimBirthplace[Score])))</f>
        <v>0.43478260869565255</v>
      </c>
      <c r="E15" s="15" t="s">
        <v>783</v>
      </c>
      <c r="J15" s="34">
        <f ca="1">IF(NOT(ISNUMBER(OFFSET(tblDimChildhoodMemory[[#This Row],[Score]],-1,0))),1,SUM(OFFSET(tblDimChildhoodMemory[[#This Row],[Score]],-1,0),-1/ROWS(tblDimChildhoodMemory[Score])))</f>
        <v>1</v>
      </c>
      <c r="K15" s="15" t="s">
        <v>784</v>
      </c>
    </row>
    <row r="16" spans="1:17" x14ac:dyDescent="0.2">
      <c r="D16" s="3">
        <f ca="1">IF(NOT(ISNUMBER(OFFSET(tblDimBirthplace[[#This Row],[Score]],-1,0))),1,SUM(OFFSET(tblDimBirthplace[[#This Row],[Score]],-1,0),-1/ROWS(tblDimBirthplace[Score])))</f>
        <v>0.39130434782608736</v>
      </c>
      <c r="E16" s="15" t="s">
        <v>785</v>
      </c>
      <c r="J16" s="3">
        <f ca="1">IF(NOT(ISNUMBER(OFFSET(tblDimChildhoodMemory[[#This Row],[Score]],-1,0))),1,SUM(OFFSET(tblDimChildhoodMemory[[#This Row],[Score]],-1,0),-1/ROWS(tblDimChildhoodMemory[Score])))</f>
        <v>0.85714285714285721</v>
      </c>
      <c r="K16" s="15" t="s">
        <v>786</v>
      </c>
    </row>
    <row r="17" spans="4:11" x14ac:dyDescent="0.2">
      <c r="D17" s="3">
        <f ca="1">IF(NOT(ISNUMBER(OFFSET(tblDimBirthplace[[#This Row],[Score]],-1,0))),1,SUM(OFFSET(tblDimBirthplace[[#This Row],[Score]],-1,0),-1/ROWS(tblDimBirthplace[Score])))</f>
        <v>0.34782608695652217</v>
      </c>
      <c r="E17" s="15" t="s">
        <v>787</v>
      </c>
      <c r="J17" s="3">
        <f ca="1">IF(NOT(ISNUMBER(OFFSET(tblDimChildhoodMemory[[#This Row],[Score]],-1,0))),1,SUM(OFFSET(tblDimChildhoodMemory[[#This Row],[Score]],-1,0),-1/ROWS(tblDimChildhoodMemory[Score])))</f>
        <v>0.71428571428571441</v>
      </c>
      <c r="K17" s="15" t="s">
        <v>788</v>
      </c>
    </row>
    <row r="18" spans="4:11" x14ac:dyDescent="0.2">
      <c r="D18" s="3">
        <f ca="1">IF(NOT(ISNUMBER(OFFSET(tblDimBirthplace[[#This Row],[Score]],-1,0))),1,SUM(OFFSET(tblDimBirthplace[[#This Row],[Score]],-1,0),-1/ROWS(tblDimBirthplace[Score])))</f>
        <v>0.30434782608695699</v>
      </c>
      <c r="E18" s="15" t="s">
        <v>789</v>
      </c>
      <c r="J18" s="3">
        <f ca="1">IF(NOT(ISNUMBER(OFFSET(tblDimChildhoodMemory[[#This Row],[Score]],-1,0))),1,SUM(OFFSET(tblDimChildhoodMemory[[#This Row],[Score]],-1,0),-1/ROWS(tblDimChildhoodMemory[Score])))</f>
        <v>0.57142857142857162</v>
      </c>
      <c r="K18" s="15" t="s">
        <v>790</v>
      </c>
    </row>
    <row r="19" spans="4:11" x14ac:dyDescent="0.2">
      <c r="D19" s="3">
        <f ca="1">IF(NOT(ISNUMBER(OFFSET(tblDimBirthplace[[#This Row],[Score]],-1,0))),1,SUM(OFFSET(tblDimBirthplace[[#This Row],[Score]],-1,0),-1/ROWS(tblDimBirthplace[Score])))</f>
        <v>0.2608695652173918</v>
      </c>
      <c r="E19" s="15" t="s">
        <v>791</v>
      </c>
      <c r="J19" s="3">
        <f ca="1">IF(NOT(ISNUMBER(OFFSET(tblDimChildhoodMemory[[#This Row],[Score]],-1,0))),1,SUM(OFFSET(tblDimChildhoodMemory[[#This Row],[Score]],-1,0),-1/ROWS(tblDimChildhoodMemory[Score])))</f>
        <v>0.42857142857142877</v>
      </c>
      <c r="K19" s="15" t="s">
        <v>792</v>
      </c>
    </row>
    <row r="20" spans="4:11" x14ac:dyDescent="0.2">
      <c r="D20" s="3">
        <f ca="1">IF(NOT(ISNUMBER(OFFSET(tblDimBirthplace[[#This Row],[Score]],-1,0))),1,SUM(OFFSET(tblDimBirthplace[[#This Row],[Score]],-1,0),-1/ROWS(tblDimBirthplace[Score])))</f>
        <v>0.21739130434782658</v>
      </c>
      <c r="E20" s="15" t="s">
        <v>793</v>
      </c>
      <c r="J20" s="3">
        <f ca="1">IF(NOT(ISNUMBER(OFFSET(tblDimChildhoodMemory[[#This Row],[Score]],-1,0))),1,SUM(OFFSET(tblDimChildhoodMemory[[#This Row],[Score]],-1,0),-1/ROWS(tblDimChildhoodMemory[Score])))</f>
        <v>0.28571428571428592</v>
      </c>
      <c r="K20" s="15" t="s">
        <v>794</v>
      </c>
    </row>
    <row r="21" spans="4:11" x14ac:dyDescent="0.2">
      <c r="D21" s="3">
        <f ca="1">IF(NOT(ISNUMBER(OFFSET(tblDimBirthplace[[#This Row],[Score]],-1,0))),1,SUM(OFFSET(tblDimBirthplace[[#This Row],[Score]],-1,0),-1/ROWS(tblDimBirthplace[Score])))</f>
        <v>0.17391304347826136</v>
      </c>
      <c r="E21" s="15" t="s">
        <v>795</v>
      </c>
      <c r="J21" s="3">
        <f ca="1">IF(NOT(ISNUMBER(OFFSET(tblDimChildhoodMemory[[#This Row],[Score]],-1,0))),1,SUM(OFFSET(tblDimChildhoodMemory[[#This Row],[Score]],-1,0),-1/ROWS(tblDimChildhoodMemory[Score])))</f>
        <v>0.14285714285714307</v>
      </c>
      <c r="K21" s="15" t="s">
        <v>796</v>
      </c>
    </row>
    <row r="22" spans="4:11" x14ac:dyDescent="0.2">
      <c r="D22" s="3">
        <f ca="1">IF(NOT(ISNUMBER(OFFSET(tblDimBirthplace[[#This Row],[Score]],-1,0))),1,SUM(OFFSET(tblDimBirthplace[[#This Row],[Score]],-1,0),-1/ROWS(tblDimBirthplace[Score])))</f>
        <v>0.13043478260869615</v>
      </c>
      <c r="E22" s="15" t="s">
        <v>797</v>
      </c>
    </row>
    <row r="23" spans="4:11" x14ac:dyDescent="0.2">
      <c r="D23" s="3">
        <f ca="1">IF(NOT(ISNUMBER(OFFSET(tblDimBirthplace[[#This Row],[Score]],-1,0))),1,SUM(OFFSET(tblDimBirthplace[[#This Row],[Score]],-1,0),-1/ROWS(tblDimBirthplace[Score])))</f>
        <v>8.6956521739130932E-2</v>
      </c>
      <c r="E23" s="15" t="s">
        <v>798</v>
      </c>
    </row>
    <row r="24" spans="4:11" x14ac:dyDescent="0.2">
      <c r="D24" s="3">
        <f ca="1">IF(NOT(ISNUMBER(OFFSET(tblDimBirthplace[[#This Row],[Score]],-1,0))),1,SUM(OFFSET(tblDimBirthplace[[#This Row],[Score]],-1,0),-1/ROWS(tblDimBirthplace[Score])))</f>
        <v>4.3478260869565716E-2</v>
      </c>
      <c r="E24" s="15" t="s">
        <v>799</v>
      </c>
    </row>
  </sheetData>
  <sortState ref="D27:D49">
    <sortCondition descending="1" ref="D27"/>
  </sortState>
  <pageMargins left="0.7" right="0.7" top="0.75" bottom="0.75" header="0.3" footer="0.3"/>
  <tableParts count="8">
    <tablePart r:id="rId1"/>
    <tablePart r:id="rId2"/>
    <tablePart r:id="rId3"/>
    <tablePart r:id="rId4"/>
    <tablePart r:id="rId5"/>
    <tablePart r:id="rId6"/>
    <tablePart r:id="rId7"/>
    <tablePart r:id="rId8"/>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A1:L42"/>
  <sheetViews>
    <sheetView zoomScale="75" zoomScaleNormal="75" zoomScalePageLayoutView="75" workbookViewId="0">
      <selection activeCell="A2" sqref="A2"/>
    </sheetView>
  </sheetViews>
  <sheetFormatPr baseColWidth="10" defaultColWidth="9" defaultRowHeight="15" x14ac:dyDescent="0.15"/>
  <cols>
    <col min="1" max="1" width="9" style="15"/>
    <col min="2" max="2" width="69.796875" style="15" bestFit="1" customWidth="1"/>
    <col min="3" max="3" width="19.59765625" style="15" bestFit="1" customWidth="1"/>
    <col min="4" max="4" width="2.19921875" style="15" customWidth="1"/>
    <col min="5" max="5" width="9" style="15"/>
    <col min="6" max="6" width="69.796875" style="15" bestFit="1" customWidth="1"/>
    <col min="7" max="7" width="2.19921875" style="15" customWidth="1"/>
    <col min="8" max="8" width="9" style="15"/>
    <col min="9" max="9" width="69.796875" style="15" bestFit="1" customWidth="1"/>
    <col min="10" max="10" width="2.19921875" style="15" customWidth="1"/>
    <col min="11" max="11" width="9" style="15"/>
    <col min="12" max="12" width="69.796875" style="15" bestFit="1" customWidth="1"/>
    <col min="13" max="13" width="2.19921875" style="15" customWidth="1"/>
    <col min="14" max="14" width="9" style="15"/>
    <col min="15" max="15" width="14.19921875" style="15" bestFit="1" customWidth="1"/>
    <col min="16" max="16" width="18.59765625" style="15" bestFit="1" customWidth="1"/>
    <col min="17" max="17" width="2.19921875" style="15" customWidth="1"/>
    <col min="18" max="18" width="9" style="15"/>
    <col min="19" max="19" width="69.796875" style="15" bestFit="1" customWidth="1"/>
    <col min="20" max="20" width="2.19921875" style="15" customWidth="1"/>
    <col min="21" max="21" width="9" style="15"/>
    <col min="22" max="22" width="69.796875" style="15" bestFit="1" customWidth="1"/>
    <col min="23" max="23" width="2.19921875" style="15" customWidth="1"/>
    <col min="24" max="24" width="9" style="15"/>
    <col min="25" max="25" width="69.796875" style="15" bestFit="1" customWidth="1"/>
    <col min="26" max="26" width="2.19921875" style="15" customWidth="1"/>
    <col min="27" max="16384" width="9" style="15"/>
  </cols>
  <sheetData>
    <row r="1" spans="1:12" x14ac:dyDescent="0.15">
      <c r="A1" s="15" t="s">
        <v>0</v>
      </c>
      <c r="B1" s="15" t="s">
        <v>800</v>
      </c>
      <c r="C1" s="15" t="s">
        <v>801</v>
      </c>
      <c r="E1" s="15" t="s">
        <v>0</v>
      </c>
      <c r="F1" s="15" t="s">
        <v>802</v>
      </c>
      <c r="H1" s="15" t="s">
        <v>0</v>
      </c>
      <c r="I1" s="15" t="s">
        <v>803</v>
      </c>
      <c r="K1" s="15" t="s">
        <v>0</v>
      </c>
      <c r="L1" s="15" t="s">
        <v>58</v>
      </c>
    </row>
    <row r="2" spans="1:12" x14ac:dyDescent="0.15">
      <c r="A2" s="34">
        <f ca="1">IF(NOT(ISNUMBER(OFFSET(tblDimLifeEvent[[#This Row],[Score]],-1,0))),1,SUM(OFFSET(tblDimLifeEvent[[#This Row],[Score]],-1,0),-1/ROWS(tblDimLifeEvent[Score])))</f>
        <v>1</v>
      </c>
      <c r="B2" s="15" t="s">
        <v>804</v>
      </c>
      <c r="C2" s="15" t="s">
        <v>805</v>
      </c>
      <c r="E2" s="34">
        <f ca="1">IF(NOT(ISNUMBER(OFFSET(tblDimAdventures[[#This Row],[Score]],-1,0))),1,SUM(OFFSET(tblDimAdventures[[#This Row],[Score]],-1,0),-1/ROWS(tblDimAdventures[Score])))</f>
        <v>1</v>
      </c>
      <c r="F2" s="15" t="s">
        <v>806</v>
      </c>
      <c r="H2" s="34">
        <f ca="1">IF(NOT(ISNUMBER(OFFSET(tblDimSupernaturalEvents[[#This Row],[Score]],-1,0))),1,SUM(OFFSET(tblDimSupernaturalEvents[[#This Row],[Score]],-1,0),-1/ROWS(tblDimSupernaturalEvents[Score])))</f>
        <v>1</v>
      </c>
      <c r="I2" s="15" t="s">
        <v>807</v>
      </c>
      <c r="K2" s="34">
        <f ca="1">IF(NOT(ISNUMBER(OFFSET(tblDimStatus[[#This Row],[Score]],-1,0))),1,SUM(OFFSET(tblDimStatus[[#This Row],[Score]],-1,0),-1/ROWS(tblDimStatus[Score])))</f>
        <v>1</v>
      </c>
      <c r="L2" s="15" t="s">
        <v>808</v>
      </c>
    </row>
    <row r="3" spans="1:12" x14ac:dyDescent="0.15">
      <c r="A3" s="3">
        <f ca="1">IF(NOT(ISNUMBER(OFFSET(tblDimLifeEvent[[#This Row],[Score]],-1,0))),1,SUM(OFFSET(tblDimLifeEvent[[#This Row],[Score]],-1,0),-1/ROWS(tblDimLifeEvent[Score])))</f>
        <v>0.92307692307692313</v>
      </c>
      <c r="B3" s="15" t="s">
        <v>809</v>
      </c>
      <c r="C3" s="15" t="s">
        <v>810</v>
      </c>
      <c r="E3" s="3">
        <f ca="1">IF(NOT(ISNUMBER(OFFSET(tblDimAdventures[[#This Row],[Score]],-1,0))),1,SUM(OFFSET(tblDimAdventures[[#This Row],[Score]],-1,0),-1/ROWS(tblDimAdventures[Score])))</f>
        <v>0.90909090909090906</v>
      </c>
      <c r="F3" s="15" t="s">
        <v>811</v>
      </c>
      <c r="H3" s="3">
        <f ca="1">IF(NOT(ISNUMBER(OFFSET(tblDimSupernaturalEvents[[#This Row],[Score]],-1,0))),1,SUM(OFFSET(tblDimSupernaturalEvents[[#This Row],[Score]],-1,0),-1/ROWS(tblDimSupernaturalEvents[Score])))</f>
        <v>0.93333333333333335</v>
      </c>
      <c r="I3" s="15" t="s">
        <v>812</v>
      </c>
      <c r="K3" s="3">
        <f ca="1">IF(NOT(ISNUMBER(OFFSET(tblDimStatus[[#This Row],[Score]],-1,0))),1,SUM(OFFSET(tblDimStatus[[#This Row],[Score]],-1,0),-1/ROWS(tblDimStatus[Score])))</f>
        <v>0.85714285714285721</v>
      </c>
      <c r="L3" s="15" t="s">
        <v>813</v>
      </c>
    </row>
    <row r="4" spans="1:12" x14ac:dyDescent="0.15">
      <c r="A4" s="3">
        <f ca="1">IF(NOT(ISNUMBER(OFFSET(tblDimLifeEvent[[#This Row],[Score]],-1,0))),1,SUM(OFFSET(tblDimLifeEvent[[#This Row],[Score]],-1,0),-1/ROWS(tblDimLifeEvent[Score])))</f>
        <v>0.84615384615384626</v>
      </c>
      <c r="B4" s="15" t="s">
        <v>814</v>
      </c>
      <c r="E4" s="3">
        <f ca="1">IF(NOT(ISNUMBER(OFFSET(tblDimAdventures[[#This Row],[Score]],-1,0))),1,SUM(OFFSET(tblDimAdventures[[#This Row],[Score]],-1,0),-1/ROWS(tblDimAdventures[Score])))</f>
        <v>0.81818181818181812</v>
      </c>
      <c r="F4" s="15" t="s">
        <v>815</v>
      </c>
      <c r="H4" s="3">
        <f ca="1">IF(NOT(ISNUMBER(OFFSET(tblDimSupernaturalEvents[[#This Row],[Score]],-1,0))),1,SUM(OFFSET(tblDimSupernaturalEvents[[#This Row],[Score]],-1,0),-1/ROWS(tblDimSupernaturalEvents[Score])))</f>
        <v>0.8666666666666667</v>
      </c>
      <c r="I4" s="15" t="s">
        <v>816</v>
      </c>
      <c r="K4" s="3">
        <f ca="1">IF(NOT(ISNUMBER(OFFSET(tblDimStatus[[#This Row],[Score]],-1,0))),1,SUM(OFFSET(tblDimStatus[[#This Row],[Score]],-1,0),-1/ROWS(tblDimStatus[Score])))</f>
        <v>0.71428571428571441</v>
      </c>
      <c r="L4" s="15" t="s">
        <v>817</v>
      </c>
    </row>
    <row r="5" spans="1:12" x14ac:dyDescent="0.15">
      <c r="A5" s="3">
        <f ca="1">IF(NOT(ISNUMBER(OFFSET(tblDimLifeEvent[[#This Row],[Score]],-1,0))),1,SUM(OFFSET(tblDimLifeEvent[[#This Row],[Score]],-1,0),-1/ROWS(tblDimLifeEvent[Score])))</f>
        <v>0.76923076923076938</v>
      </c>
      <c r="B5" s="15" t="s">
        <v>818</v>
      </c>
      <c r="E5" s="3">
        <f ca="1">IF(NOT(ISNUMBER(OFFSET(tblDimAdventures[[#This Row],[Score]],-1,0))),1,SUM(OFFSET(tblDimAdventures[[#This Row],[Score]],-1,0),-1/ROWS(tblDimAdventures[Score])))</f>
        <v>0.72727272727272718</v>
      </c>
      <c r="F5" s="15" t="s">
        <v>819</v>
      </c>
      <c r="H5" s="3">
        <f ca="1">IF(NOT(ISNUMBER(OFFSET(tblDimSupernaturalEvents[[#This Row],[Score]],-1,0))),1,SUM(OFFSET(tblDimSupernaturalEvents[[#This Row],[Score]],-1,0),-1/ROWS(tblDimSupernaturalEvents[Score])))</f>
        <v>0.8</v>
      </c>
      <c r="I5" s="15" t="s">
        <v>820</v>
      </c>
      <c r="K5" s="3">
        <f ca="1">IF(NOT(ISNUMBER(OFFSET(tblDimStatus[[#This Row],[Score]],-1,0))),1,SUM(OFFSET(tblDimStatus[[#This Row],[Score]],-1,0),-1/ROWS(tblDimStatus[Score])))</f>
        <v>0.57142857142857162</v>
      </c>
      <c r="L5" s="15" t="s">
        <v>821</v>
      </c>
    </row>
    <row r="6" spans="1:12" x14ac:dyDescent="0.15">
      <c r="A6" s="3">
        <f ca="1">IF(NOT(ISNUMBER(OFFSET(tblDimLifeEvent[[#This Row],[Score]],-1,0))),1,SUM(OFFSET(tblDimLifeEvent[[#This Row],[Score]],-1,0),-1/ROWS(tblDimLifeEvent[Score])))</f>
        <v>0.69230769230769251</v>
      </c>
      <c r="B6" s="15" t="s">
        <v>822</v>
      </c>
      <c r="E6" s="3">
        <f ca="1">IF(NOT(ISNUMBER(OFFSET(tblDimAdventures[[#This Row],[Score]],-1,0))),1,SUM(OFFSET(tblDimAdventures[[#This Row],[Score]],-1,0),-1/ROWS(tblDimAdventures[Score])))</f>
        <v>0.63636363636363624</v>
      </c>
      <c r="F6" s="15" t="s">
        <v>823</v>
      </c>
      <c r="H6" s="3">
        <f ca="1">IF(NOT(ISNUMBER(OFFSET(tblDimSupernaturalEvents[[#This Row],[Score]],-1,0))),1,SUM(OFFSET(tblDimSupernaturalEvents[[#This Row],[Score]],-1,0),-1/ROWS(tblDimSupernaturalEvents[Score])))</f>
        <v>0.73333333333333339</v>
      </c>
      <c r="I6" s="15" t="s">
        <v>824</v>
      </c>
      <c r="K6" s="3">
        <f ca="1">IF(NOT(ISNUMBER(OFFSET(tblDimStatus[[#This Row],[Score]],-1,0))),1,SUM(OFFSET(tblDimStatus[[#This Row],[Score]],-1,0),-1/ROWS(tblDimStatus[Score])))</f>
        <v>0.42857142857142877</v>
      </c>
      <c r="L6" s="15" t="s">
        <v>825</v>
      </c>
    </row>
    <row r="7" spans="1:12" x14ac:dyDescent="0.15">
      <c r="A7" s="3">
        <f ca="1">IF(NOT(ISNUMBER(OFFSET(tblDimLifeEvent[[#This Row],[Score]],-1,0))),1,SUM(OFFSET(tblDimLifeEvent[[#This Row],[Score]],-1,0),-1/ROWS(tblDimLifeEvent[Score])))</f>
        <v>0.61538461538461564</v>
      </c>
      <c r="B7" s="15" t="s">
        <v>1238</v>
      </c>
      <c r="E7" s="3">
        <f ca="1">IF(NOT(ISNUMBER(OFFSET(tblDimAdventures[[#This Row],[Score]],-1,0))),1,SUM(OFFSET(tblDimAdventures[[#This Row],[Score]],-1,0),-1/ROWS(tblDimAdventures[Score])))</f>
        <v>0.5454545454545453</v>
      </c>
      <c r="F7" s="15" t="s">
        <v>826</v>
      </c>
      <c r="H7" s="3">
        <f ca="1">IF(NOT(ISNUMBER(OFFSET(tblDimSupernaturalEvents[[#This Row],[Score]],-1,0))),1,SUM(OFFSET(tblDimSupernaturalEvents[[#This Row],[Score]],-1,0),-1/ROWS(tblDimSupernaturalEvents[Score])))</f>
        <v>0.66666666666666674</v>
      </c>
      <c r="I7" s="15" t="s">
        <v>827</v>
      </c>
      <c r="K7" s="3">
        <f ca="1">IF(NOT(ISNUMBER(OFFSET(tblDimStatus[[#This Row],[Score]],-1,0))),1,SUM(OFFSET(tblDimStatus[[#This Row],[Score]],-1,0),-1/ROWS(tblDimStatus[Score])))</f>
        <v>0.28571428571428592</v>
      </c>
      <c r="L7" s="15" t="s">
        <v>828</v>
      </c>
    </row>
    <row r="8" spans="1:12" x14ac:dyDescent="0.15">
      <c r="A8" s="3">
        <f ca="1">IF(NOT(ISNUMBER(OFFSET(tblDimLifeEvent[[#This Row],[Score]],-1,0))),1,SUM(OFFSET(tblDimLifeEvent[[#This Row],[Score]],-1,0),-1/ROWS(tblDimLifeEvent[Score])))</f>
        <v>0.53846153846153877</v>
      </c>
      <c r="B8" s="15" t="s">
        <v>829</v>
      </c>
      <c r="E8" s="3">
        <f ca="1">IF(NOT(ISNUMBER(OFFSET(tblDimAdventures[[#This Row],[Score]],-1,0))),1,SUM(OFFSET(tblDimAdventures[[#This Row],[Score]],-1,0),-1/ROWS(tblDimAdventures[Score])))</f>
        <v>0.45454545454545436</v>
      </c>
      <c r="F8" s="15" t="s">
        <v>830</v>
      </c>
      <c r="H8" s="3">
        <f ca="1">IF(NOT(ISNUMBER(OFFSET(tblDimSupernaturalEvents[[#This Row],[Score]],-1,0))),1,SUM(OFFSET(tblDimSupernaturalEvents[[#This Row],[Score]],-1,0),-1/ROWS(tblDimSupernaturalEvents[Score])))</f>
        <v>0.60000000000000009</v>
      </c>
      <c r="I8" s="15" t="s">
        <v>831</v>
      </c>
      <c r="K8" s="3">
        <f ca="1">IF(NOT(ISNUMBER(OFFSET(tblDimStatus[[#This Row],[Score]],-1,0))),1,SUM(OFFSET(tblDimStatus[[#This Row],[Score]],-1,0),-1/ROWS(tblDimStatus[Score])))</f>
        <v>0.14285714285714307</v>
      </c>
      <c r="L8" s="15" t="s">
        <v>832</v>
      </c>
    </row>
    <row r="9" spans="1:12" x14ac:dyDescent="0.15">
      <c r="A9" s="3">
        <f ca="1">IF(NOT(ISNUMBER(OFFSET(tblDimLifeEvent[[#This Row],[Score]],-1,0))),1,SUM(OFFSET(tblDimLifeEvent[[#This Row],[Score]],-1,0),-1/ROWS(tblDimLifeEvent[Score])))</f>
        <v>0.46153846153846184</v>
      </c>
      <c r="B9" s="15" t="s">
        <v>833</v>
      </c>
      <c r="C9" s="15" t="s">
        <v>802</v>
      </c>
      <c r="E9" s="3">
        <f ca="1">IF(NOT(ISNUMBER(OFFSET(tblDimAdventures[[#This Row],[Score]],-1,0))),1,SUM(OFFSET(tblDimAdventures[[#This Row],[Score]],-1,0),-1/ROWS(tblDimAdventures[Score])))</f>
        <v>0.36363636363636342</v>
      </c>
      <c r="F9" s="15" t="s">
        <v>834</v>
      </c>
      <c r="H9" s="3">
        <f ca="1">IF(NOT(ISNUMBER(OFFSET(tblDimSupernaturalEvents[[#This Row],[Score]],-1,0))),1,SUM(OFFSET(tblDimSupernaturalEvents[[#This Row],[Score]],-1,0),-1/ROWS(tblDimSupernaturalEvents[Score])))</f>
        <v>0.53333333333333344</v>
      </c>
      <c r="I9" s="15" t="s">
        <v>835</v>
      </c>
    </row>
    <row r="10" spans="1:12" x14ac:dyDescent="0.15">
      <c r="A10" s="3">
        <f ca="1">IF(NOT(ISNUMBER(OFFSET(tblDimLifeEvent[[#This Row],[Score]],-1,0))),1,SUM(OFFSET(tblDimLifeEvent[[#This Row],[Score]],-1,0),-1/ROWS(tblDimLifeEvent[Score])))</f>
        <v>0.38461538461538491</v>
      </c>
      <c r="B10" s="15" t="s">
        <v>836</v>
      </c>
      <c r="C10" s="15" t="s">
        <v>837</v>
      </c>
      <c r="E10" s="3">
        <f ca="1">IF(NOT(ISNUMBER(OFFSET(tblDimAdventures[[#This Row],[Score]],-1,0))),1,SUM(OFFSET(tblDimAdventures[[#This Row],[Score]],-1,0),-1/ROWS(tblDimAdventures[Score])))</f>
        <v>0.27272727272727249</v>
      </c>
      <c r="F10" s="15" t="s">
        <v>838</v>
      </c>
      <c r="H10" s="3">
        <f ca="1">IF(NOT(ISNUMBER(OFFSET(tblDimSupernaturalEvents[[#This Row],[Score]],-1,0))),1,SUM(OFFSET(tblDimSupernaturalEvents[[#This Row],[Score]],-1,0),-1/ROWS(tblDimSupernaturalEvents[Score])))</f>
        <v>0.46666666666666679</v>
      </c>
      <c r="I10" s="15" t="s">
        <v>839</v>
      </c>
    </row>
    <row r="11" spans="1:12" x14ac:dyDescent="0.15">
      <c r="A11" s="3">
        <f ca="1">IF(NOT(ISNUMBER(OFFSET(tblDimLifeEvent[[#This Row],[Score]],-1,0))),1,SUM(OFFSET(tblDimLifeEvent[[#This Row],[Score]],-1,0),-1/ROWS(tblDimLifeEvent[Score])))</f>
        <v>0.30769230769230799</v>
      </c>
      <c r="B11" s="15" t="s">
        <v>840</v>
      </c>
      <c r="C11" s="15" t="s">
        <v>841</v>
      </c>
      <c r="E11" s="3">
        <f ca="1">IF(NOT(ISNUMBER(OFFSET(tblDimAdventures[[#This Row],[Score]],-1,0))),1,SUM(OFFSET(tblDimAdventures[[#This Row],[Score]],-1,0),-1/ROWS(tblDimAdventures[Score])))</f>
        <v>0.18181818181818157</v>
      </c>
      <c r="F11" s="15" t="s">
        <v>842</v>
      </c>
      <c r="H11" s="3">
        <f ca="1">IF(NOT(ISNUMBER(OFFSET(tblDimSupernaturalEvents[[#This Row],[Score]],-1,0))),1,SUM(OFFSET(tblDimSupernaturalEvents[[#This Row],[Score]],-1,0),-1/ROWS(tblDimSupernaturalEvents[Score])))</f>
        <v>0.40000000000000013</v>
      </c>
      <c r="I11" s="15" t="s">
        <v>843</v>
      </c>
    </row>
    <row r="12" spans="1:12" x14ac:dyDescent="0.15">
      <c r="A12" s="3">
        <f ca="1">IF(NOT(ISNUMBER(OFFSET(tblDimLifeEvent[[#This Row],[Score]],-1,0))),1,SUM(OFFSET(tblDimLifeEvent[[#This Row],[Score]],-1,0),-1/ROWS(tblDimLifeEvent[Score])))</f>
        <v>0.23076923076923106</v>
      </c>
      <c r="B12" s="15" t="s">
        <v>844</v>
      </c>
      <c r="C12" s="15" t="s">
        <v>845</v>
      </c>
      <c r="E12" s="3">
        <f ca="1">IF(NOT(ISNUMBER(OFFSET(tblDimAdventures[[#This Row],[Score]],-1,0))),1,SUM(OFFSET(tblDimAdventures[[#This Row],[Score]],-1,0),-1/ROWS(tblDimAdventures[Score])))</f>
        <v>9.0909090909090662E-2</v>
      </c>
      <c r="F12" s="15" t="s">
        <v>846</v>
      </c>
      <c r="H12" s="3">
        <f ca="1">IF(NOT(ISNUMBER(OFFSET(tblDimSupernaturalEvents[[#This Row],[Score]],-1,0))),1,SUM(OFFSET(tblDimSupernaturalEvents[[#This Row],[Score]],-1,0),-1/ROWS(tblDimSupernaturalEvents[Score])))</f>
        <v>0.33333333333333348</v>
      </c>
      <c r="I12" s="15" t="s">
        <v>847</v>
      </c>
    </row>
    <row r="13" spans="1:12" x14ac:dyDescent="0.15">
      <c r="A13" s="3">
        <f ca="1">IF(NOT(ISNUMBER(OFFSET(tblDimLifeEvent[[#This Row],[Score]],-1,0))),1,SUM(OFFSET(tblDimLifeEvent[[#This Row],[Score]],-1,0),-1/ROWS(tblDimLifeEvent[Score])))</f>
        <v>0.15384615384615413</v>
      </c>
      <c r="B13" s="15" t="s">
        <v>848</v>
      </c>
      <c r="C13" s="15" t="s">
        <v>849</v>
      </c>
      <c r="H13" s="3">
        <f ca="1">IF(NOT(ISNUMBER(OFFSET(tblDimSupernaturalEvents[[#This Row],[Score]],-1,0))),1,SUM(OFFSET(tblDimSupernaturalEvents[[#This Row],[Score]],-1,0),-1/ROWS(tblDimSupernaturalEvents[Score])))</f>
        <v>0.26666666666666683</v>
      </c>
      <c r="I13" s="15" t="s">
        <v>850</v>
      </c>
    </row>
    <row r="14" spans="1:12" x14ac:dyDescent="0.15">
      <c r="A14" s="3">
        <f ca="1">IF(NOT(ISNUMBER(OFFSET(tblDimLifeEvent[[#This Row],[Score]],-1,0))),1,SUM(OFFSET(tblDimLifeEvent[[#This Row],[Score]],-1,0),-1/ROWS(tblDimLifeEvent[Score])))</f>
        <v>7.6923076923077205E-2</v>
      </c>
      <c r="B14" s="15" t="s">
        <v>851</v>
      </c>
      <c r="C14" s="15" t="s">
        <v>852</v>
      </c>
      <c r="E14" s="15" t="s">
        <v>0</v>
      </c>
      <c r="F14" s="15" t="s">
        <v>853</v>
      </c>
      <c r="H14" s="3">
        <f ca="1">IF(NOT(ISNUMBER(OFFSET(tblDimSupernaturalEvents[[#This Row],[Score]],-1,0))),1,SUM(OFFSET(tblDimSupernaturalEvents[[#This Row],[Score]],-1,0),-1/ROWS(tblDimSupernaturalEvents[Score])))</f>
        <v>0.20000000000000018</v>
      </c>
      <c r="I14" s="15" t="s">
        <v>854</v>
      </c>
    </row>
    <row r="15" spans="1:12" x14ac:dyDescent="0.15">
      <c r="E15" s="34">
        <f ca="1">IF(NOT(ISNUMBER(OFFSET(tblDimArcaneMatters[[#This Row],[Score]],-1,0))),1,SUM(OFFSET(tblDimArcaneMatters[[#This Row],[Score]],-1,0),-1/ROWS(tblDimArcaneMatters[Score])))</f>
        <v>1</v>
      </c>
      <c r="F15" s="15" t="s">
        <v>855</v>
      </c>
      <c r="H15" s="3">
        <f ca="1">IF(NOT(ISNUMBER(OFFSET(tblDimSupernaturalEvents[[#This Row],[Score]],-1,0))),1,SUM(OFFSET(tblDimSupernaturalEvents[[#This Row],[Score]],-1,0),-1/ROWS(tblDimSupernaturalEvents[Score])))</f>
        <v>0.13333333333333353</v>
      </c>
      <c r="I15" s="15" t="s">
        <v>856</v>
      </c>
    </row>
    <row r="16" spans="1:12" x14ac:dyDescent="0.15">
      <c r="E16" s="3">
        <f ca="1">IF(NOT(ISNUMBER(OFFSET(tblDimArcaneMatters[[#This Row],[Score]],-1,0))),1,SUM(OFFSET(tblDimArcaneMatters[[#This Row],[Score]],-1,0),-1/ROWS(tblDimArcaneMatters[Score])))</f>
        <v>0.9</v>
      </c>
      <c r="F16" s="15" t="s">
        <v>857</v>
      </c>
      <c r="H16" s="3">
        <f ca="1">IF(NOT(ISNUMBER(OFFSET(tblDimSupernaturalEvents[[#This Row],[Score]],-1,0))),1,SUM(OFFSET(tblDimSupernaturalEvents[[#This Row],[Score]],-1,0),-1/ROWS(tblDimSupernaturalEvents[Score])))</f>
        <v>6.666666666666686E-2</v>
      </c>
      <c r="I16" s="15" t="s">
        <v>858</v>
      </c>
    </row>
    <row r="17" spans="1:9" x14ac:dyDescent="0.15">
      <c r="E17" s="3">
        <f ca="1">IF(NOT(ISNUMBER(OFFSET(tblDimArcaneMatters[[#This Row],[Score]],-1,0))),1,SUM(OFFSET(tblDimArcaneMatters[[#This Row],[Score]],-1,0),-1/ROWS(tblDimArcaneMatters[Score])))</f>
        <v>0.8</v>
      </c>
      <c r="F17" s="15" t="s">
        <v>859</v>
      </c>
    </row>
    <row r="18" spans="1:9" x14ac:dyDescent="0.15">
      <c r="E18" s="3">
        <f ca="1">IF(NOT(ISNUMBER(OFFSET(tblDimArcaneMatters[[#This Row],[Score]],-1,0))),1,SUM(OFFSET(tblDimArcaneMatters[[#This Row],[Score]],-1,0),-1/ROWS(tblDimArcaneMatters[Score])))</f>
        <v>0.70000000000000007</v>
      </c>
      <c r="F18" s="15" t="s">
        <v>860</v>
      </c>
      <c r="H18" s="15" t="s">
        <v>0</v>
      </c>
      <c r="I18" s="15" t="s">
        <v>805</v>
      </c>
    </row>
    <row r="19" spans="1:9" x14ac:dyDescent="0.15">
      <c r="E19" s="3">
        <f ca="1">IF(NOT(ISNUMBER(OFFSET(tblDimArcaneMatters[[#This Row],[Score]],-1,0))),1,SUM(OFFSET(tblDimArcaneMatters[[#This Row],[Score]],-1,0),-1/ROWS(tblDimArcaneMatters[Score])))</f>
        <v>0.60000000000000009</v>
      </c>
      <c r="F19" s="15" t="s">
        <v>861</v>
      </c>
      <c r="H19" s="34">
        <f ca="1">IF(NOT(ISNUMBER(OFFSET(tblDimTragedies[[#This Row],[Score]],-1,0))),1,SUM(OFFSET(tblDimTragedies[[#This Row],[Score]],-1,0),-1/ROWS(tblDimTragedies[Score])))</f>
        <v>1</v>
      </c>
      <c r="I19" s="15" t="s">
        <v>862</v>
      </c>
    </row>
    <row r="20" spans="1:9" x14ac:dyDescent="0.15">
      <c r="E20" s="3">
        <f ca="1">IF(NOT(ISNUMBER(OFFSET(tblDimArcaneMatters[[#This Row],[Score]],-1,0))),1,SUM(OFFSET(tblDimArcaneMatters[[#This Row],[Score]],-1,0),-1/ROWS(tblDimArcaneMatters[Score])))</f>
        <v>0.50000000000000011</v>
      </c>
      <c r="F20" s="15" t="s">
        <v>863</v>
      </c>
      <c r="H20" s="3">
        <f ca="1">IF(NOT(ISNUMBER(OFFSET(tblDimTragedies[[#This Row],[Score]],-1,0))),1,SUM(OFFSET(tblDimTragedies[[#This Row],[Score]],-1,0),-1/ROWS(tblDimTragedies[Score])))</f>
        <v>0.90909090909090906</v>
      </c>
      <c r="I20" s="15" t="s">
        <v>864</v>
      </c>
    </row>
    <row r="21" spans="1:9" x14ac:dyDescent="0.15">
      <c r="E21" s="3">
        <f ca="1">IF(NOT(ISNUMBER(OFFSET(tblDimArcaneMatters[[#This Row],[Score]],-1,0))),1,SUM(OFFSET(tblDimArcaneMatters[[#This Row],[Score]],-1,0),-1/ROWS(tblDimArcaneMatters[Score])))</f>
        <v>0.40000000000000013</v>
      </c>
      <c r="F21" s="15" t="s">
        <v>865</v>
      </c>
      <c r="H21" s="3">
        <f ca="1">IF(NOT(ISNUMBER(OFFSET(tblDimTragedies[[#This Row],[Score]],-1,0))),1,SUM(OFFSET(tblDimTragedies[[#This Row],[Score]],-1,0),-1/ROWS(tblDimTragedies[Score])))</f>
        <v>0.81818181818181812</v>
      </c>
      <c r="I21" s="15" t="s">
        <v>866</v>
      </c>
    </row>
    <row r="22" spans="1:9" x14ac:dyDescent="0.15">
      <c r="E22" s="3">
        <f ca="1">IF(NOT(ISNUMBER(OFFSET(tblDimArcaneMatters[[#This Row],[Score]],-1,0))),1,SUM(OFFSET(tblDimArcaneMatters[[#This Row],[Score]],-1,0),-1/ROWS(tblDimArcaneMatters[Score])))</f>
        <v>0.30000000000000016</v>
      </c>
      <c r="F22" s="15" t="s">
        <v>867</v>
      </c>
      <c r="H22" s="3">
        <f ca="1">IF(NOT(ISNUMBER(OFFSET(tblDimTragedies[[#This Row],[Score]],-1,0))),1,SUM(OFFSET(tblDimTragedies[[#This Row],[Score]],-1,0),-1/ROWS(tblDimTragedies[Score])))</f>
        <v>0.72727272727272718</v>
      </c>
      <c r="I22" s="15" t="s">
        <v>868</v>
      </c>
    </row>
    <row r="23" spans="1:9" x14ac:dyDescent="0.15">
      <c r="E23" s="3">
        <f ca="1">IF(NOT(ISNUMBER(OFFSET(tblDimArcaneMatters[[#This Row],[Score]],-1,0))),1,SUM(OFFSET(tblDimArcaneMatters[[#This Row],[Score]],-1,0),-1/ROWS(tblDimArcaneMatters[Score])))</f>
        <v>0.20000000000000015</v>
      </c>
      <c r="F23" s="15" t="s">
        <v>869</v>
      </c>
      <c r="H23" s="3">
        <f ca="1">IF(NOT(ISNUMBER(OFFSET(tblDimTragedies[[#This Row],[Score]],-1,0))),1,SUM(OFFSET(tblDimTragedies[[#This Row],[Score]],-1,0),-1/ROWS(tblDimTragedies[Score])))</f>
        <v>0.63636363636363624</v>
      </c>
      <c r="I23" s="15" t="s">
        <v>870</v>
      </c>
    </row>
    <row r="24" spans="1:9" x14ac:dyDescent="0.15">
      <c r="E24" s="3">
        <f ca="1">IF(NOT(ISNUMBER(OFFSET(tblDimArcaneMatters[[#This Row],[Score]],-1,0))),1,SUM(OFFSET(tblDimArcaneMatters[[#This Row],[Score]],-1,0),-1/ROWS(tblDimArcaneMatters[Score])))</f>
        <v>0.10000000000000014</v>
      </c>
      <c r="F24" s="15" t="s">
        <v>871</v>
      </c>
      <c r="H24" s="3">
        <f ca="1">IF(NOT(ISNUMBER(OFFSET(tblDimTragedies[[#This Row],[Score]],-1,0))),1,SUM(OFFSET(tblDimTragedies[[#This Row],[Score]],-1,0),-1/ROWS(tblDimTragedies[Score])))</f>
        <v>0.5454545454545453</v>
      </c>
      <c r="I24" s="15" t="s">
        <v>872</v>
      </c>
    </row>
    <row r="25" spans="1:9" x14ac:dyDescent="0.15">
      <c r="H25" s="3">
        <f ca="1">IF(NOT(ISNUMBER(OFFSET(tblDimTragedies[[#This Row],[Score]],-1,0))),1,SUM(OFFSET(tblDimTragedies[[#This Row],[Score]],-1,0),-1/ROWS(tblDimTragedies[Score])))</f>
        <v>0.45454545454545436</v>
      </c>
      <c r="I25" s="15" t="s">
        <v>873</v>
      </c>
    </row>
    <row r="26" spans="1:9" x14ac:dyDescent="0.15">
      <c r="E26" s="15" t="s">
        <v>0</v>
      </c>
      <c r="F26" s="15" t="s">
        <v>874</v>
      </c>
      <c r="H26" s="3">
        <f ca="1">IF(NOT(ISNUMBER(OFFSET(tblDimTragedies[[#This Row],[Score]],-1,0))),1,SUM(OFFSET(tblDimTragedies[[#This Row],[Score]],-1,0),-1/ROWS(tblDimTragedies[Score])))</f>
        <v>0.36363636363636342</v>
      </c>
      <c r="I26" s="15" t="s">
        <v>875</v>
      </c>
    </row>
    <row r="27" spans="1:9" x14ac:dyDescent="0.15">
      <c r="E27" s="34">
        <f ca="1">IF(NOT(ISNUMBER(OFFSET(tblDimBoons[[#This Row],[Score]],-1,0))),1,SUM(OFFSET(tblDimBoons[[#This Row],[Score]],-1,0),-1/ROWS(tblDimBoons[Score])))</f>
        <v>1</v>
      </c>
      <c r="F27" s="15" t="s">
        <v>876</v>
      </c>
      <c r="H27" s="3">
        <f ca="1">IF(NOT(ISNUMBER(OFFSET(tblDimTragedies[[#This Row],[Score]],-1,0))),1,SUM(OFFSET(tblDimTragedies[[#This Row],[Score]],-1,0),-1/ROWS(tblDimTragedies[Score])))</f>
        <v>0.27272727272727249</v>
      </c>
      <c r="I27" s="15" t="s">
        <v>877</v>
      </c>
    </row>
    <row r="28" spans="1:9" x14ac:dyDescent="0.15">
      <c r="E28" s="3">
        <f ca="1">IF(NOT(ISNUMBER(OFFSET(tblDimBoons[[#This Row],[Score]],-1,0))),1,SUM(OFFSET(tblDimBoons[[#This Row],[Score]],-1,0),-1/ROWS(tblDimBoons[Score])))</f>
        <v>0.9</v>
      </c>
      <c r="F28" s="15" t="s">
        <v>878</v>
      </c>
      <c r="H28" s="3">
        <f ca="1">IF(NOT(ISNUMBER(OFFSET(tblDimTragedies[[#This Row],[Score]],-1,0))),1,SUM(OFFSET(tblDimTragedies[[#This Row],[Score]],-1,0),-1/ROWS(tblDimTragedies[Score])))</f>
        <v>0.18181818181818157</v>
      </c>
      <c r="I28" s="15" t="s">
        <v>879</v>
      </c>
    </row>
    <row r="29" spans="1:9" x14ac:dyDescent="0.15">
      <c r="E29" s="3">
        <f ca="1">IF(NOT(ISNUMBER(OFFSET(tblDimBoons[[#This Row],[Score]],-1,0))),1,SUM(OFFSET(tblDimBoons[[#This Row],[Score]],-1,0),-1/ROWS(tblDimBoons[Score])))</f>
        <v>0.8</v>
      </c>
      <c r="F29" s="15" t="s">
        <v>880</v>
      </c>
      <c r="H29" s="3">
        <f ca="1">IF(NOT(ISNUMBER(OFFSET(tblDimTragedies[[#This Row],[Score]],-1,0))),1,SUM(OFFSET(tblDimTragedies[[#This Row],[Score]],-1,0),-1/ROWS(tblDimTragedies[Score])))</f>
        <v>9.0909090909090662E-2</v>
      </c>
      <c r="I29" s="15" t="s">
        <v>881</v>
      </c>
    </row>
    <row r="30" spans="1:9" x14ac:dyDescent="0.15">
      <c r="E30" s="3">
        <f ca="1">IF(NOT(ISNUMBER(OFFSET(tblDimBoons[[#This Row],[Score]],-1,0))),1,SUM(OFFSET(tblDimBoons[[#This Row],[Score]],-1,0),-1/ROWS(tblDimBoons[Score])))</f>
        <v>0.70000000000000007</v>
      </c>
      <c r="F30" s="15" t="s">
        <v>882</v>
      </c>
    </row>
    <row r="31" spans="1:9" x14ac:dyDescent="0.15">
      <c r="A31" s="15" t="s">
        <v>0</v>
      </c>
      <c r="B31" s="15" t="s">
        <v>883</v>
      </c>
      <c r="C31" s="15" t="s">
        <v>801</v>
      </c>
      <c r="E31" s="3">
        <f ca="1">IF(NOT(ISNUMBER(OFFSET(tblDimBoons[[#This Row],[Score]],-1,0))),1,SUM(OFFSET(tblDimBoons[[#This Row],[Score]],-1,0),-1/ROWS(tblDimBoons[Score])))</f>
        <v>0.60000000000000009</v>
      </c>
      <c r="F31" s="15" t="s">
        <v>884</v>
      </c>
      <c r="H31" s="15" t="s">
        <v>0</v>
      </c>
      <c r="I31" s="15" t="s">
        <v>64</v>
      </c>
    </row>
    <row r="32" spans="1:9" x14ac:dyDescent="0.15">
      <c r="A32" s="34">
        <f>1-_xlfn.NORM.DIST(ROW()-ROW(tblDimCrimes[#Headers]),ROWS(tblDimCrimes[Score])/2,(ROWS(tblDimCrimes[Score])/6),TRUE)</f>
        <v>0.98777552734495533</v>
      </c>
      <c r="B32" s="15" t="s">
        <v>885</v>
      </c>
      <c r="C32" s="15" t="s">
        <v>886</v>
      </c>
      <c r="E32" s="3">
        <f ca="1">IF(NOT(ISNUMBER(OFFSET(tblDimBoons[[#This Row],[Score]],-1,0))),1,SUM(OFFSET(tblDimBoons[[#This Row],[Score]],-1,0),-1/ROWS(tblDimBoons[Score])))</f>
        <v>0.50000000000000011</v>
      </c>
      <c r="F32" s="15" t="s">
        <v>887</v>
      </c>
      <c r="H32" s="34">
        <f ca="1">IF(NOT(ISNUMBER(OFFSET(tblDimCauseOfDeath[[#This Row],[Score]],-1,0))),1,SUM(OFFSET(tblDimCauseOfDeath[[#This Row],[Score]],-1,0),-1/ROWS(tblDimCauseOfDeath[Score])))</f>
        <v>1</v>
      </c>
      <c r="I32" s="15" t="s">
        <v>888</v>
      </c>
    </row>
    <row r="33" spans="1:9" x14ac:dyDescent="0.15">
      <c r="A33" s="3">
        <f>1-_xlfn.NORM.DIST(ROW()-ROW(tblDimCrimes[#Headers]),ROWS(tblDimCrimes[Score])/2,(ROWS(tblDimCrimes[Score])/6),TRUE)</f>
        <v>0.93319279873114191</v>
      </c>
      <c r="B33" s="15" t="s">
        <v>889</v>
      </c>
      <c r="C33" s="15" t="s">
        <v>886</v>
      </c>
      <c r="E33" s="3">
        <f ca="1">IF(NOT(ISNUMBER(OFFSET(tblDimBoons[[#This Row],[Score]],-1,0))),1,SUM(OFFSET(tblDimBoons[[#This Row],[Score]],-1,0),-1/ROWS(tblDimBoons[Score])))</f>
        <v>0.40000000000000013</v>
      </c>
      <c r="F33" s="15" t="s">
        <v>890</v>
      </c>
      <c r="H33" s="3">
        <f ca="1">IF(NOT(ISNUMBER(OFFSET(tblDimCauseOfDeath[[#This Row],[Score]],-1,0))),1,SUM(OFFSET(tblDimCauseOfDeath[[#This Row],[Score]],-1,0),-1/ROWS(tblDimCauseOfDeath[Score])))</f>
        <v>0.90909090909090906</v>
      </c>
      <c r="I33" s="15" t="s">
        <v>891</v>
      </c>
    </row>
    <row r="34" spans="1:9" x14ac:dyDescent="0.15">
      <c r="A34" s="3">
        <f>1-_xlfn.NORM.DIST(ROW()-ROW(tblDimCrimes[#Headers]),ROWS(tblDimCrimes[Score])/2,(ROWS(tblDimCrimes[Score])/6),TRUE)</f>
        <v>0.77337264762313174</v>
      </c>
      <c r="B34" s="15" t="s">
        <v>892</v>
      </c>
      <c r="C34" s="15" t="s">
        <v>886</v>
      </c>
      <c r="E34" s="3">
        <f ca="1">IF(NOT(ISNUMBER(OFFSET(tblDimBoons[[#This Row],[Score]],-1,0))),1,SUM(OFFSET(tblDimBoons[[#This Row],[Score]],-1,0),-1/ROWS(tblDimBoons[Score])))</f>
        <v>0.30000000000000016</v>
      </c>
      <c r="F34" s="15" t="s">
        <v>893</v>
      </c>
      <c r="H34" s="3">
        <f ca="1">IF(NOT(ISNUMBER(OFFSET(tblDimCauseOfDeath[[#This Row],[Score]],-1,0))),1,SUM(OFFSET(tblDimCauseOfDeath[[#This Row],[Score]],-1,0),-1/ROWS(tblDimCauseOfDeath[Score])))</f>
        <v>0.81818181818181812</v>
      </c>
      <c r="I34" s="15" t="s">
        <v>894</v>
      </c>
    </row>
    <row r="35" spans="1:9" x14ac:dyDescent="0.15">
      <c r="A35" s="3">
        <f>1-_xlfn.NORM.DIST(ROW()-ROW(tblDimCrimes[#Headers]),ROWS(tblDimCrimes[Score])/2,(ROWS(tblDimCrimes[Score])/6),TRUE)</f>
        <v>0.5</v>
      </c>
      <c r="B35" s="15" t="s">
        <v>895</v>
      </c>
      <c r="C35" s="15" t="s">
        <v>886</v>
      </c>
      <c r="E35" s="3">
        <f ca="1">IF(NOT(ISNUMBER(OFFSET(tblDimBoons[[#This Row],[Score]],-1,0))),1,SUM(OFFSET(tblDimBoons[[#This Row],[Score]],-1,0),-1/ROWS(tblDimBoons[Score])))</f>
        <v>0.20000000000000015</v>
      </c>
      <c r="F35" s="15" t="s">
        <v>896</v>
      </c>
      <c r="H35" s="3">
        <f ca="1">IF(NOT(ISNUMBER(OFFSET(tblDimCauseOfDeath[[#This Row],[Score]],-1,0))),1,SUM(OFFSET(tblDimCauseOfDeath[[#This Row],[Score]],-1,0),-1/ROWS(tblDimCauseOfDeath[Score])))</f>
        <v>0.72727272727272718</v>
      </c>
      <c r="I35" s="15" t="s">
        <v>897</v>
      </c>
    </row>
    <row r="36" spans="1:9" x14ac:dyDescent="0.15">
      <c r="A36" s="3">
        <f>1-_xlfn.NORM.DIST(ROW()-ROW(tblDimCrimes[#Headers]),ROWS(tblDimCrimes[Score])/2,(ROWS(tblDimCrimes[Score])/6),TRUE)</f>
        <v>0.22662735237686826</v>
      </c>
      <c r="B36" s="15" t="s">
        <v>898</v>
      </c>
      <c r="C36" s="15" t="s">
        <v>886</v>
      </c>
      <c r="E36" s="3">
        <f ca="1">IF(NOT(ISNUMBER(OFFSET(tblDimBoons[[#This Row],[Score]],-1,0))),1,SUM(OFFSET(tblDimBoons[[#This Row],[Score]],-1,0),-1/ROWS(tblDimBoons[Score])))</f>
        <v>0.10000000000000014</v>
      </c>
      <c r="F36" s="15" t="s">
        <v>899</v>
      </c>
      <c r="H36" s="3">
        <f ca="1">IF(NOT(ISNUMBER(OFFSET(tblDimCauseOfDeath[[#This Row],[Score]],-1,0))),1,SUM(OFFSET(tblDimCauseOfDeath[[#This Row],[Score]],-1,0),-1/ROWS(tblDimCauseOfDeath[Score])))</f>
        <v>0.63636363636363624</v>
      </c>
      <c r="I36" s="15" t="s">
        <v>900</v>
      </c>
    </row>
    <row r="37" spans="1:9" x14ac:dyDescent="0.15">
      <c r="A37" s="3">
        <f>1-_xlfn.NORM.DIST(ROW()-ROW(tblDimCrimes[#Headers]),ROWS(tblDimCrimes[Score])/2,(ROWS(tblDimCrimes[Score])/6),TRUE)</f>
        <v>6.6807201268858085E-2</v>
      </c>
      <c r="B37" s="15" t="s">
        <v>901</v>
      </c>
      <c r="C37" s="15" t="s">
        <v>886</v>
      </c>
      <c r="H37" s="3">
        <f ca="1">IF(NOT(ISNUMBER(OFFSET(tblDimCauseOfDeath[[#This Row],[Score]],-1,0))),1,SUM(OFFSET(tblDimCauseOfDeath[[#This Row],[Score]],-1,0),-1/ROWS(tblDimCauseOfDeath[Score])))</f>
        <v>0.5454545454545453</v>
      </c>
      <c r="I37" s="15" t="s">
        <v>902</v>
      </c>
    </row>
    <row r="38" spans="1:9" x14ac:dyDescent="0.15">
      <c r="A38" s="3">
        <f>1-_xlfn.NORM.DIST(ROW()-ROW(tblDimCrimes[#Headers]),ROWS(tblDimCrimes[Score])/2,(ROWS(tblDimCrimes[Score])/6),TRUE)</f>
        <v>1.2224472655044671E-2</v>
      </c>
      <c r="B38" s="15" t="s">
        <v>903</v>
      </c>
      <c r="C38" s="15" t="s">
        <v>886</v>
      </c>
      <c r="E38" s="15" t="s">
        <v>0</v>
      </c>
      <c r="F38" s="15" t="s">
        <v>904</v>
      </c>
      <c r="H38" s="3">
        <f ca="1">IF(NOT(ISNUMBER(OFFSET(tblDimCauseOfDeath[[#This Row],[Score]],-1,0))),1,SUM(OFFSET(tblDimCauseOfDeath[[#This Row],[Score]],-1,0),-1/ROWS(tblDimCauseOfDeath[Score])))</f>
        <v>0.45454545454545436</v>
      </c>
      <c r="I38" s="15" t="s">
        <v>905</v>
      </c>
    </row>
    <row r="39" spans="1:9" x14ac:dyDescent="0.15">
      <c r="A39" s="3">
        <f>1-_xlfn.NORM.DIST(ROW()-ROW(tblDimCrimes[#Headers]),ROWS(tblDimCrimes[Score])/2,(ROWS(tblDimCrimes[Score])/6),TRUE)</f>
        <v>1.3498980316301035E-3</v>
      </c>
      <c r="B39" s="15" t="s">
        <v>906</v>
      </c>
      <c r="C39" s="15" t="s">
        <v>886</v>
      </c>
      <c r="E39" s="34">
        <f ca="1">IF(NOT(ISNUMBER(OFFSET(tblDimPunishments[[#This Row],[Score]],-1,0))),1,SUM(OFFSET(tblDimPunishments[[#This Row],[Score]],-1,0),-1/ROWS(tblDimPunishments[Score])))</f>
        <v>1</v>
      </c>
      <c r="F39" s="15" t="s">
        <v>907</v>
      </c>
      <c r="H39" s="3">
        <f ca="1">IF(NOT(ISNUMBER(OFFSET(tblDimCauseOfDeath[[#This Row],[Score]],-1,0))),1,SUM(OFFSET(tblDimCauseOfDeath[[#This Row],[Score]],-1,0),-1/ROWS(tblDimCauseOfDeath[Score])))</f>
        <v>0.36363636363636342</v>
      </c>
      <c r="I39" s="15" t="s">
        <v>908</v>
      </c>
    </row>
    <row r="40" spans="1:9" x14ac:dyDescent="0.15">
      <c r="E40" s="3">
        <f ca="1">IF(NOT(ISNUMBER(OFFSET(tblDimPunishments[[#This Row],[Score]],-1,0))),1,SUM(OFFSET(tblDimPunishments[[#This Row],[Score]],-1,0),-1/ROWS(tblDimPunishments[Score])))</f>
        <v>0.75</v>
      </c>
      <c r="F40" s="15" t="s">
        <v>909</v>
      </c>
      <c r="H40" s="3">
        <f ca="1">IF(NOT(ISNUMBER(OFFSET(tblDimCauseOfDeath[[#This Row],[Score]],-1,0))),1,SUM(OFFSET(tblDimCauseOfDeath[[#This Row],[Score]],-1,0),-1/ROWS(tblDimCauseOfDeath[Score])))</f>
        <v>0.27272727272727249</v>
      </c>
      <c r="I40" s="15" t="s">
        <v>910</v>
      </c>
    </row>
    <row r="41" spans="1:9" x14ac:dyDescent="0.15">
      <c r="E41" s="3">
        <f ca="1">IF(NOT(ISNUMBER(OFFSET(tblDimPunishments[[#This Row],[Score]],-1,0))),1,SUM(OFFSET(tblDimPunishments[[#This Row],[Score]],-1,0),-1/ROWS(tblDimPunishments[Score])))</f>
        <v>0.5</v>
      </c>
      <c r="F41" s="15" t="s">
        <v>911</v>
      </c>
      <c r="H41" s="3">
        <f ca="1">IF(NOT(ISNUMBER(OFFSET(tblDimCauseOfDeath[[#This Row],[Score]],-1,0))),1,SUM(OFFSET(tblDimCauseOfDeath[[#This Row],[Score]],-1,0),-1/ROWS(tblDimCauseOfDeath[Score])))</f>
        <v>0.18181818181818157</v>
      </c>
      <c r="I41" s="15" t="s">
        <v>912</v>
      </c>
    </row>
    <row r="42" spans="1:9" x14ac:dyDescent="0.15">
      <c r="E42" s="3">
        <f ca="1">IF(NOT(ISNUMBER(OFFSET(tblDimPunishments[[#This Row],[Score]],-1,0))),1,SUM(OFFSET(tblDimPunishments[[#This Row],[Score]],-1,0),-1/ROWS(tblDimPunishments[Score])))</f>
        <v>0.25</v>
      </c>
      <c r="F42" s="15" t="s">
        <v>913</v>
      </c>
      <c r="H42" s="3">
        <f ca="1">IF(NOT(ISNUMBER(OFFSET(tblDimCauseOfDeath[[#This Row],[Score]],-1,0))),1,SUM(OFFSET(tblDimCauseOfDeath[[#This Row],[Score]],-1,0),-1/ROWS(tblDimCauseOfDeath[Score])))</f>
        <v>9.0909090909090662E-2</v>
      </c>
      <c r="I42" s="15" t="s">
        <v>914</v>
      </c>
    </row>
  </sheetData>
  <pageMargins left="0.7" right="0.7" top="0.75" bottom="0.75" header="0.3" footer="0.3"/>
  <tableParts count="10">
    <tablePart r:id="rId1"/>
    <tablePart r:id="rId2"/>
    <tablePart r:id="rId3"/>
    <tablePart r:id="rId4"/>
    <tablePart r:id="rId5"/>
    <tablePart r:id="rId6"/>
    <tablePart r:id="rId7"/>
    <tablePart r:id="rId8"/>
    <tablePart r:id="rId9"/>
    <tablePart r:id="rId10"/>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C2"/>
  <sheetViews>
    <sheetView zoomScale="75" zoomScaleNormal="75" zoomScalePageLayoutView="75" workbookViewId="0">
      <selection activeCell="A2" sqref="A2"/>
    </sheetView>
  </sheetViews>
  <sheetFormatPr baseColWidth="10" defaultColWidth="9" defaultRowHeight="15" x14ac:dyDescent="0.2"/>
  <cols>
    <col min="1" max="1" width="9" style="15"/>
    <col min="2" max="2" width="12.796875" style="15" bestFit="1" customWidth="1"/>
    <col min="3" max="3" width="2.19921875" style="15" customWidth="1" collapsed="1"/>
    <col min="4" max="16384" width="9" style="21"/>
  </cols>
  <sheetData>
    <row r="1" spans="1:2" x14ac:dyDescent="0.2">
      <c r="A1" s="15" t="s">
        <v>0</v>
      </c>
      <c r="B1" s="15" t="s">
        <v>915</v>
      </c>
    </row>
    <row r="2" spans="1:2" x14ac:dyDescent="0.2">
      <c r="A2" s="34">
        <f ca="1">IF(NOT(ISNUMBER(OFFSET(tblDimImageUrl[[#This Row],[Score]],-1,0))),1,SUM(OFFSET(tblDimImageUrl[[#This Row],[Score]],-1,0),-1/ROWS(tblDimImageUrl[Score])))</f>
        <v>1</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B2"/>
  <sheetViews>
    <sheetView zoomScale="75" zoomScaleNormal="75" zoomScalePageLayoutView="75" workbookViewId="0">
      <selection activeCell="B2" sqref="B2"/>
    </sheetView>
  </sheetViews>
  <sheetFormatPr baseColWidth="10" defaultColWidth="9" defaultRowHeight="15" x14ac:dyDescent="0.2"/>
  <cols>
    <col min="1" max="1" width="9" style="15"/>
    <col min="2" max="2" width="16.19921875" style="15" bestFit="1" customWidth="1"/>
    <col min="3" max="3" width="2.19921875" style="21" customWidth="1"/>
    <col min="4" max="16384" width="9" style="21"/>
  </cols>
  <sheetData>
    <row r="1" spans="1:2" x14ac:dyDescent="0.2">
      <c r="A1" s="15" t="s">
        <v>0</v>
      </c>
      <c r="B1" s="15" t="s">
        <v>916</v>
      </c>
    </row>
    <row r="2" spans="1:2" x14ac:dyDescent="0.2">
      <c r="A2" s="34">
        <f ca="1">IF(NOT(ISNUMBER(OFFSET(tblDimBaseStatBlock[[#This Row],[Score]],-1,0))),1,SUM(OFFSET(tblDimBaseStatBlock[[#This Row],[Score]],-1,0),-1/ROWS(tblDimBaseStatBlock[Score])))</f>
        <v>1</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Z15"/>
  <sheetViews>
    <sheetView zoomScale="75" zoomScaleNormal="75" zoomScalePageLayoutView="75" workbookViewId="0">
      <selection activeCell="A2" sqref="A2"/>
    </sheetView>
  </sheetViews>
  <sheetFormatPr baseColWidth="10" defaultColWidth="9" defaultRowHeight="15" x14ac:dyDescent="0.2"/>
  <cols>
    <col min="1" max="1" width="9" style="15"/>
    <col min="2" max="2" width="16.796875" style="15" bestFit="1" customWidth="1"/>
    <col min="3" max="3" width="2" style="15" customWidth="1"/>
    <col min="4" max="4" width="9" style="15"/>
    <col min="5" max="5" width="19" style="15" bestFit="1" customWidth="1"/>
    <col min="6" max="6" width="2" style="15" customWidth="1"/>
    <col min="7" max="7" width="9" style="15"/>
    <col min="8" max="8" width="16.59765625" style="15" bestFit="1" customWidth="1"/>
    <col min="9" max="9" width="2" style="15" customWidth="1"/>
    <col min="10" max="10" width="9" style="15"/>
    <col min="11" max="11" width="55.3984375" style="15" bestFit="1" customWidth="1"/>
    <col min="12" max="12" width="2" style="15" customWidth="1"/>
    <col min="13" max="13" width="9" style="15"/>
    <col min="14" max="14" width="80" style="15" bestFit="1" customWidth="1"/>
    <col min="15" max="15" width="2" style="15" customWidth="1"/>
    <col min="16" max="16" width="9" style="15"/>
    <col min="17" max="17" width="78.19921875" style="15" bestFit="1" customWidth="1"/>
    <col min="18" max="18" width="2" style="15" customWidth="1"/>
    <col min="19" max="19" width="9" style="15"/>
    <col min="20" max="20" width="96.796875" style="15" bestFit="1" customWidth="1"/>
    <col min="21" max="21" width="2" style="15" customWidth="1"/>
    <col min="22" max="22" width="9" style="15"/>
    <col min="23" max="23" width="26.3984375" style="15" bestFit="1" customWidth="1"/>
    <col min="24" max="24" width="2" style="15" customWidth="1"/>
    <col min="25" max="25" width="9" style="15"/>
    <col min="26" max="26" width="77.19921875" style="15" bestFit="1" customWidth="1"/>
    <col min="27" max="27" width="2" style="21" customWidth="1"/>
    <col min="28" max="16384" width="9" style="21"/>
  </cols>
  <sheetData>
    <row r="1" spans="1:26" x14ac:dyDescent="0.2">
      <c r="A1" s="15" t="s">
        <v>0</v>
      </c>
      <c r="B1" s="15" t="s">
        <v>917</v>
      </c>
      <c r="D1" s="15" t="s">
        <v>0</v>
      </c>
      <c r="E1" s="15" t="s">
        <v>918</v>
      </c>
      <c r="G1" s="15" t="s">
        <v>0</v>
      </c>
      <c r="H1" s="15" t="s">
        <v>919</v>
      </c>
      <c r="J1" s="15" t="s">
        <v>0</v>
      </c>
      <c r="K1" s="15" t="s">
        <v>920</v>
      </c>
      <c r="M1" s="15" t="s">
        <v>0</v>
      </c>
      <c r="N1" s="15" t="s">
        <v>921</v>
      </c>
      <c r="P1" s="15" t="s">
        <v>0</v>
      </c>
      <c r="Q1" s="15" t="s">
        <v>922</v>
      </c>
      <c r="S1" s="15" t="s">
        <v>0</v>
      </c>
      <c r="T1" s="15" t="s">
        <v>923</v>
      </c>
      <c r="V1" s="15" t="s">
        <v>0</v>
      </c>
      <c r="W1" s="15" t="s">
        <v>924</v>
      </c>
      <c r="Y1" s="15" t="s">
        <v>0</v>
      </c>
      <c r="Z1" s="15" t="s">
        <v>925</v>
      </c>
    </row>
    <row r="2" spans="1:26" x14ac:dyDescent="0.2">
      <c r="A2" s="33" t="s">
        <v>1248</v>
      </c>
      <c r="B2" s="15" t="s">
        <v>926</v>
      </c>
      <c r="D2" s="34">
        <f ca="1">IF(NOT(ISNUMBER(OFFSET(tblDimOrcNameFemale[[#This Row],[Score]],-1,0))),1,SUM(OFFSET(tblDimOrcNameFemale[[#This Row],[Score]],-1,0),-1/ROWS(tblDimOrcNameFemale[Score])))</f>
        <v>1</v>
      </c>
      <c r="E2" s="15" t="s">
        <v>927</v>
      </c>
      <c r="G2" s="34">
        <f ca="1">IF(NOT(ISNUMBER(OFFSET(tblDimOrcLastName[[#This Row],[Score]],-1,0))),1,SUM(OFFSET(tblDimOrcLastName[[#This Row],[Score]],-1,0),-1/ROWS(tblDimOrcLastName[Score])))</f>
        <v>1</v>
      </c>
      <c r="H2" s="15" t="s">
        <v>928</v>
      </c>
      <c r="J2" s="34">
        <f ca="1">IF(NOT(ISNUMBER(OFFSET(tblDimOrcPersonalityTrait[[#This Row],[Score]],-1,0))),1,SUM(OFFSET(tblDimOrcPersonalityTrait[[#This Row],[Score]],-1,0),-1/ROWS(tblDimOrcPersonalityTrait[Score])))</f>
        <v>1</v>
      </c>
      <c r="K2" s="15" t="s">
        <v>929</v>
      </c>
      <c r="M2" s="34">
        <f ca="1">IF(NOT(ISNUMBER(OFFSET(tblDimOrcIdeal[[#This Row],[Score]],-1,0))),1,SUM(OFFSET(tblDimOrcIdeal[[#This Row],[Score]],-1,0),-1/ROWS(tblDimOrcIdeal[Score])))</f>
        <v>1</v>
      </c>
      <c r="N2" s="15" t="s">
        <v>930</v>
      </c>
      <c r="P2" s="34">
        <f ca="1">IF(NOT(ISNUMBER(OFFSET(tblDimOrcBond[[#This Row],[Score]],-1,0))),1,SUM(OFFSET(tblDimOrcBond[[#This Row],[Score]],-1,0),-1/ROWS(tblDimOrcBond[Score])))</f>
        <v>1</v>
      </c>
      <c r="Q2" s="15" t="s">
        <v>931</v>
      </c>
      <c r="S2" s="34">
        <f ca="1">IF(NOT(ISNUMBER(OFFSET(tblDimOrcFlaw[[#This Row],[Score]],-1,0))),1,SUM(OFFSET(tblDimOrcFlaw[[#This Row],[Score]],-1,0),-1/ROWS(tblDimOrcFlaw[Score])))</f>
        <v>1</v>
      </c>
      <c r="T2" s="15" t="s">
        <v>932</v>
      </c>
      <c r="V2" s="34">
        <f ca="1">IF(NOT(ISNUMBER(OFFSET(tblDimOrcBaseStatBlock[[#This Row],[Score]],-1,0))),1,SUM(OFFSET(tblDimOrcBaseStatBlock[[#This Row],[Score]],-1,0),-1/ROWS(tblDimOrcBaseStatBlock[Score])))</f>
        <v>1</v>
      </c>
      <c r="W2" s="15" t="s">
        <v>933</v>
      </c>
      <c r="Y2" s="34">
        <f ca="1">IF(NOT(ISNUMBER(OFFSET(tblDimOrcImageUrl[[#This Row],[Score]],-1,0))),1,SUM(OFFSET(tblDimOrcImageUrl[[#This Row],[Score]],-1,0),-1/ROWS(tblDimOrcImageUrl[Score])))</f>
        <v>1</v>
      </c>
      <c r="Z2" s="15" t="s">
        <v>934</v>
      </c>
    </row>
    <row r="3" spans="1:26" x14ac:dyDescent="0.2">
      <c r="A3" s="25">
        <v>0.16666666666666666</v>
      </c>
      <c r="B3" s="15" t="s">
        <v>935</v>
      </c>
      <c r="D3" s="3">
        <f ca="1">IF(NOT(ISNUMBER(OFFSET(tblDimOrcNameFemale[[#This Row],[Score]],-1,0))),1,SUM(OFFSET(tblDimOrcNameFemale[[#This Row],[Score]],-1,0),-1/ROWS(tblDimOrcNameFemale[Score])))</f>
        <v>0.91666666666666663</v>
      </c>
      <c r="E3" s="15" t="s">
        <v>936</v>
      </c>
      <c r="G3" s="3">
        <f ca="1">IF(NOT(ISNUMBER(OFFSET(tblDimOrcLastName[[#This Row],[Score]],-1,0))),1,SUM(OFFSET(tblDimOrcLastName[[#This Row],[Score]],-1,0),-1/ROWS(tblDimOrcLastName[Score])))</f>
        <v>0.91666666666666663</v>
      </c>
      <c r="H3" s="15" t="s">
        <v>937</v>
      </c>
      <c r="J3" s="3">
        <f ca="1">IF(NOT(ISNUMBER(OFFSET(tblDimOrcPersonalityTrait[[#This Row],[Score]],-1,0))),1,SUM(OFFSET(tblDimOrcPersonalityTrait[[#This Row],[Score]],-1,0),-1/ROWS(tblDimOrcPersonalityTrait[Score])))</f>
        <v>0.83333333333333337</v>
      </c>
      <c r="K3" s="15" t="s">
        <v>938</v>
      </c>
      <c r="M3" s="3">
        <f ca="1">IF(NOT(ISNUMBER(OFFSET(tblDimOrcIdeal[[#This Row],[Score]],-1,0))),1,SUM(OFFSET(tblDimOrcIdeal[[#This Row],[Score]],-1,0),-1/ROWS(tblDimOrcIdeal[Score])))</f>
        <v>0.83333333333333337</v>
      </c>
      <c r="N3" s="15" t="s">
        <v>939</v>
      </c>
      <c r="P3" s="3">
        <f ca="1">IF(NOT(ISNUMBER(OFFSET(tblDimOrcBond[[#This Row],[Score]],-1,0))),1,SUM(OFFSET(tblDimOrcBond[[#This Row],[Score]],-1,0),-1/ROWS(tblDimOrcBond[Score])))</f>
        <v>0.83333333333333337</v>
      </c>
      <c r="Q3" s="15" t="s">
        <v>940</v>
      </c>
      <c r="S3" s="3">
        <f ca="1">IF(NOT(ISNUMBER(OFFSET(tblDimOrcFlaw[[#This Row],[Score]],-1,0))),1,SUM(OFFSET(tblDimOrcFlaw[[#This Row],[Score]],-1,0),-1/ROWS(tblDimOrcFlaw[Score])))</f>
        <v>0.83333333333333337</v>
      </c>
      <c r="T3" s="15" t="s">
        <v>941</v>
      </c>
      <c r="V3" s="3">
        <f ca="1">IF(NOT(ISNUMBER(OFFSET(tblDimOrcBaseStatBlock[[#This Row],[Score]],-1,0))),1,SUM(OFFSET(tblDimOrcBaseStatBlock[[#This Row],[Score]],-1,0),-1/ROWS(tblDimOrcBaseStatBlock[Score])))</f>
        <v>0.88888888888888884</v>
      </c>
      <c r="W3" s="15" t="s">
        <v>942</v>
      </c>
      <c r="Y3" s="3">
        <f ca="1">IF(NOT(ISNUMBER(OFFSET(tblDimOrcImageUrl[[#This Row],[Score]],-1,0))),1,SUM(OFFSET(tblDimOrcImageUrl[[#This Row],[Score]],-1,0),-1/ROWS(tblDimOrcImageUrl[Score])))</f>
        <v>0.9285714285714286</v>
      </c>
      <c r="Z3" s="15" t="s">
        <v>943</v>
      </c>
    </row>
    <row r="4" spans="1:26" x14ac:dyDescent="0.2">
      <c r="A4" s="25">
        <v>0.25</v>
      </c>
      <c r="B4" s="15" t="s">
        <v>944</v>
      </c>
      <c r="D4" s="3">
        <f ca="1">IF(NOT(ISNUMBER(OFFSET(tblDimOrcNameFemale[[#This Row],[Score]],-1,0))),1,SUM(OFFSET(tblDimOrcNameFemale[[#This Row],[Score]],-1,0),-1/ROWS(tblDimOrcNameFemale[Score])))</f>
        <v>0.83333333333333326</v>
      </c>
      <c r="E4" s="15" t="s">
        <v>945</v>
      </c>
      <c r="G4" s="3">
        <f ca="1">IF(NOT(ISNUMBER(OFFSET(tblDimOrcLastName[[#This Row],[Score]],-1,0))),1,SUM(OFFSET(tblDimOrcLastName[[#This Row],[Score]],-1,0),-1/ROWS(tblDimOrcLastName[Score])))</f>
        <v>0.83333333333333326</v>
      </c>
      <c r="H4" s="15" t="s">
        <v>946</v>
      </c>
      <c r="J4" s="3">
        <f ca="1">IF(NOT(ISNUMBER(OFFSET(tblDimOrcPersonalityTrait[[#This Row],[Score]],-1,0))),1,SUM(OFFSET(tblDimOrcPersonalityTrait[[#This Row],[Score]],-1,0),-1/ROWS(tblDimOrcPersonalityTrait[Score])))</f>
        <v>0.66666666666666674</v>
      </c>
      <c r="K4" s="15" t="s">
        <v>947</v>
      </c>
      <c r="M4" s="3">
        <f ca="1">IF(NOT(ISNUMBER(OFFSET(tblDimOrcIdeal[[#This Row],[Score]],-1,0))),1,SUM(OFFSET(tblDimOrcIdeal[[#This Row],[Score]],-1,0),-1/ROWS(tblDimOrcIdeal[Score])))</f>
        <v>0.66666666666666674</v>
      </c>
      <c r="N4" s="15" t="s">
        <v>948</v>
      </c>
      <c r="P4" s="3">
        <f ca="1">IF(NOT(ISNUMBER(OFFSET(tblDimOrcBond[[#This Row],[Score]],-1,0))),1,SUM(OFFSET(tblDimOrcBond[[#This Row],[Score]],-1,0),-1/ROWS(tblDimOrcBond[Score])))</f>
        <v>0.66666666666666674</v>
      </c>
      <c r="Q4" s="15" t="s">
        <v>949</v>
      </c>
      <c r="S4" s="3">
        <f ca="1">IF(NOT(ISNUMBER(OFFSET(tblDimOrcFlaw[[#This Row],[Score]],-1,0))),1,SUM(OFFSET(tblDimOrcFlaw[[#This Row],[Score]],-1,0),-1/ROWS(tblDimOrcFlaw[Score])))</f>
        <v>0.66666666666666674</v>
      </c>
      <c r="T4" s="15" t="s">
        <v>950</v>
      </c>
      <c r="V4" s="3">
        <f ca="1">IF(NOT(ISNUMBER(OFFSET(tblDimOrcBaseStatBlock[[#This Row],[Score]],-1,0))),1,SUM(OFFSET(tblDimOrcBaseStatBlock[[#This Row],[Score]],-1,0),-1/ROWS(tblDimOrcBaseStatBlock[Score])))</f>
        <v>0.77777777777777768</v>
      </c>
      <c r="W4" s="15" t="s">
        <v>951</v>
      </c>
      <c r="Y4" s="3">
        <f ca="1">IF(NOT(ISNUMBER(OFFSET(tblDimOrcImageUrl[[#This Row],[Score]],-1,0))),1,SUM(OFFSET(tblDimOrcImageUrl[[#This Row],[Score]],-1,0),-1/ROWS(tblDimOrcImageUrl[Score])))</f>
        <v>0.85714285714285721</v>
      </c>
      <c r="Z4" s="15" t="s">
        <v>952</v>
      </c>
    </row>
    <row r="5" spans="1:26" x14ac:dyDescent="0.2">
      <c r="A5" s="25">
        <v>0.33333333333333331</v>
      </c>
      <c r="B5" s="15" t="s">
        <v>953</v>
      </c>
      <c r="D5" s="3">
        <f ca="1">IF(NOT(ISNUMBER(OFFSET(tblDimOrcNameFemale[[#This Row],[Score]],-1,0))),1,SUM(OFFSET(tblDimOrcNameFemale[[#This Row],[Score]],-1,0),-1/ROWS(tblDimOrcNameFemale[Score])))</f>
        <v>0.74999999999999989</v>
      </c>
      <c r="E5" s="15" t="s">
        <v>954</v>
      </c>
      <c r="G5" s="3">
        <f ca="1">IF(NOT(ISNUMBER(OFFSET(tblDimOrcLastName[[#This Row],[Score]],-1,0))),1,SUM(OFFSET(tblDimOrcLastName[[#This Row],[Score]],-1,0),-1/ROWS(tblDimOrcLastName[Score])))</f>
        <v>0.74999999999999989</v>
      </c>
      <c r="H5" s="15" t="s">
        <v>955</v>
      </c>
      <c r="J5" s="3">
        <f ca="1">IF(NOT(ISNUMBER(OFFSET(tblDimOrcPersonalityTrait[[#This Row],[Score]],-1,0))),1,SUM(OFFSET(tblDimOrcPersonalityTrait[[#This Row],[Score]],-1,0),-1/ROWS(tblDimOrcPersonalityTrait[Score])))</f>
        <v>0.50000000000000011</v>
      </c>
      <c r="K5" s="15" t="s">
        <v>956</v>
      </c>
      <c r="M5" s="3">
        <f ca="1">IF(NOT(ISNUMBER(OFFSET(tblDimOrcIdeal[[#This Row],[Score]],-1,0))),1,SUM(OFFSET(tblDimOrcIdeal[[#This Row],[Score]],-1,0),-1/ROWS(tblDimOrcIdeal[Score])))</f>
        <v>0.50000000000000011</v>
      </c>
      <c r="N5" s="15" t="s">
        <v>957</v>
      </c>
      <c r="P5" s="3">
        <f ca="1">IF(NOT(ISNUMBER(OFFSET(tblDimOrcBond[[#This Row],[Score]],-1,0))),1,SUM(OFFSET(tblDimOrcBond[[#This Row],[Score]],-1,0),-1/ROWS(tblDimOrcBond[Score])))</f>
        <v>0.50000000000000011</v>
      </c>
      <c r="Q5" s="15" t="s">
        <v>958</v>
      </c>
      <c r="S5" s="3">
        <f ca="1">IF(NOT(ISNUMBER(OFFSET(tblDimOrcFlaw[[#This Row],[Score]],-1,0))),1,SUM(OFFSET(tblDimOrcFlaw[[#This Row],[Score]],-1,0),-1/ROWS(tblDimOrcFlaw[Score])))</f>
        <v>0.50000000000000011</v>
      </c>
      <c r="T5" s="15" t="s">
        <v>959</v>
      </c>
      <c r="V5" s="3">
        <f ca="1">IF(NOT(ISNUMBER(OFFSET(tblDimOrcBaseStatBlock[[#This Row],[Score]],-1,0))),1,SUM(OFFSET(tblDimOrcBaseStatBlock[[#This Row],[Score]],-1,0),-1/ROWS(tblDimOrcBaseStatBlock[Score])))</f>
        <v>0.66666666666666652</v>
      </c>
      <c r="W5" s="15" t="s">
        <v>960</v>
      </c>
      <c r="Y5" s="3">
        <f ca="1">IF(NOT(ISNUMBER(OFFSET(tblDimOrcImageUrl[[#This Row],[Score]],-1,0))),1,SUM(OFFSET(tblDimOrcImageUrl[[#This Row],[Score]],-1,0),-1/ROWS(tblDimOrcImageUrl[Score])))</f>
        <v>0.78571428571428581</v>
      </c>
      <c r="Z5" s="15" t="s">
        <v>961</v>
      </c>
    </row>
    <row r="6" spans="1:26" x14ac:dyDescent="0.2">
      <c r="A6" s="25">
        <v>0.41666666666666669</v>
      </c>
      <c r="B6" s="15" t="s">
        <v>962</v>
      </c>
      <c r="D6" s="3">
        <f ca="1">IF(NOT(ISNUMBER(OFFSET(tblDimOrcNameFemale[[#This Row],[Score]],-1,0))),1,SUM(OFFSET(tblDimOrcNameFemale[[#This Row],[Score]],-1,0),-1/ROWS(tblDimOrcNameFemale[Score])))</f>
        <v>0.66666666666666652</v>
      </c>
      <c r="E6" s="15" t="s">
        <v>963</v>
      </c>
      <c r="G6" s="3">
        <f ca="1">IF(NOT(ISNUMBER(OFFSET(tblDimOrcLastName[[#This Row],[Score]],-1,0))),1,SUM(OFFSET(tblDimOrcLastName[[#This Row],[Score]],-1,0),-1/ROWS(tblDimOrcLastName[Score])))</f>
        <v>0.66666666666666652</v>
      </c>
      <c r="H6" s="15" t="s">
        <v>964</v>
      </c>
      <c r="J6" s="3">
        <f ca="1">IF(NOT(ISNUMBER(OFFSET(tblDimOrcPersonalityTrait[[#This Row],[Score]],-1,0))),1,SUM(OFFSET(tblDimOrcPersonalityTrait[[#This Row],[Score]],-1,0),-1/ROWS(tblDimOrcPersonalityTrait[Score])))</f>
        <v>0.33333333333333348</v>
      </c>
      <c r="K6" s="15" t="s">
        <v>965</v>
      </c>
      <c r="M6" s="3">
        <f ca="1">IF(NOT(ISNUMBER(OFFSET(tblDimOrcIdeal[[#This Row],[Score]],-1,0))),1,SUM(OFFSET(tblDimOrcIdeal[[#This Row],[Score]],-1,0),-1/ROWS(tblDimOrcIdeal[Score])))</f>
        <v>0.33333333333333348</v>
      </c>
      <c r="N6" s="15" t="s">
        <v>966</v>
      </c>
      <c r="P6" s="3">
        <f ca="1">IF(NOT(ISNUMBER(OFFSET(tblDimOrcBond[[#This Row],[Score]],-1,0))),1,SUM(OFFSET(tblDimOrcBond[[#This Row],[Score]],-1,0),-1/ROWS(tblDimOrcBond[Score])))</f>
        <v>0.33333333333333348</v>
      </c>
      <c r="Q6" s="15" t="s">
        <v>967</v>
      </c>
      <c r="S6" s="3">
        <f ca="1">IF(NOT(ISNUMBER(OFFSET(tblDimOrcFlaw[[#This Row],[Score]],-1,0))),1,SUM(OFFSET(tblDimOrcFlaw[[#This Row],[Score]],-1,0),-1/ROWS(tblDimOrcFlaw[Score])))</f>
        <v>0.33333333333333348</v>
      </c>
      <c r="T6" s="15" t="s">
        <v>968</v>
      </c>
      <c r="V6" s="3">
        <f ca="1">IF(NOT(ISNUMBER(OFFSET(tblDimOrcBaseStatBlock[[#This Row],[Score]],-1,0))),1,SUM(OFFSET(tblDimOrcBaseStatBlock[[#This Row],[Score]],-1,0),-1/ROWS(tblDimOrcBaseStatBlock[Score])))</f>
        <v>0.55555555555555536</v>
      </c>
      <c r="W6" s="15" t="s">
        <v>969</v>
      </c>
      <c r="Y6" s="3">
        <f ca="1">IF(NOT(ISNUMBER(OFFSET(tblDimOrcImageUrl[[#This Row],[Score]],-1,0))),1,SUM(OFFSET(tblDimOrcImageUrl[[#This Row],[Score]],-1,0),-1/ROWS(tblDimOrcImageUrl[Score])))</f>
        <v>0.71428571428571441</v>
      </c>
      <c r="Z6" s="15" t="s">
        <v>970</v>
      </c>
    </row>
    <row r="7" spans="1:26" x14ac:dyDescent="0.2">
      <c r="A7" s="25">
        <v>0.5</v>
      </c>
      <c r="B7" s="15" t="s">
        <v>971</v>
      </c>
      <c r="D7" s="3">
        <f ca="1">IF(NOT(ISNUMBER(OFFSET(tblDimOrcNameFemale[[#This Row],[Score]],-1,0))),1,SUM(OFFSET(tblDimOrcNameFemale[[#This Row],[Score]],-1,0),-1/ROWS(tblDimOrcNameFemale[Score])))</f>
        <v>0.58333333333333315</v>
      </c>
      <c r="E7" s="15" t="s">
        <v>972</v>
      </c>
      <c r="G7" s="3">
        <f ca="1">IF(NOT(ISNUMBER(OFFSET(tblDimOrcLastName[[#This Row],[Score]],-1,0))),1,SUM(OFFSET(tblDimOrcLastName[[#This Row],[Score]],-1,0),-1/ROWS(tblDimOrcLastName[Score])))</f>
        <v>0.58333333333333315</v>
      </c>
      <c r="H7" s="15" t="s">
        <v>973</v>
      </c>
      <c r="J7" s="3">
        <f ca="1">IF(NOT(ISNUMBER(OFFSET(tblDimOrcPersonalityTrait[[#This Row],[Score]],-1,0))),1,SUM(OFFSET(tblDimOrcPersonalityTrait[[#This Row],[Score]],-1,0),-1/ROWS(tblDimOrcPersonalityTrait[Score])))</f>
        <v>0.16666666666666682</v>
      </c>
      <c r="K7" s="15" t="s">
        <v>974</v>
      </c>
      <c r="M7" s="3">
        <f ca="1">IF(NOT(ISNUMBER(OFFSET(tblDimOrcIdeal[[#This Row],[Score]],-1,0))),1,SUM(OFFSET(tblDimOrcIdeal[[#This Row],[Score]],-1,0),-1/ROWS(tblDimOrcIdeal[Score])))</f>
        <v>0.16666666666666682</v>
      </c>
      <c r="N7" s="15" t="s">
        <v>975</v>
      </c>
      <c r="P7" s="3">
        <f ca="1">IF(NOT(ISNUMBER(OFFSET(tblDimOrcBond[[#This Row],[Score]],-1,0))),1,SUM(OFFSET(tblDimOrcBond[[#This Row],[Score]],-1,0),-1/ROWS(tblDimOrcBond[Score])))</f>
        <v>0.16666666666666682</v>
      </c>
      <c r="Q7" s="15" t="s">
        <v>976</v>
      </c>
      <c r="S7" s="3">
        <f ca="1">IF(NOT(ISNUMBER(OFFSET(tblDimOrcFlaw[[#This Row],[Score]],-1,0))),1,SUM(OFFSET(tblDimOrcFlaw[[#This Row],[Score]],-1,0),-1/ROWS(tblDimOrcFlaw[Score])))</f>
        <v>0.16666666666666682</v>
      </c>
      <c r="T7" s="15" t="s">
        <v>977</v>
      </c>
      <c r="V7" s="3">
        <f ca="1">IF(NOT(ISNUMBER(OFFSET(tblDimOrcBaseStatBlock[[#This Row],[Score]],-1,0))),1,SUM(OFFSET(tblDimOrcBaseStatBlock[[#This Row],[Score]],-1,0),-1/ROWS(tblDimOrcBaseStatBlock[Score])))</f>
        <v>0.44444444444444425</v>
      </c>
      <c r="W7" s="15" t="s">
        <v>978</v>
      </c>
      <c r="Y7" s="3">
        <f ca="1">IF(NOT(ISNUMBER(OFFSET(tblDimOrcImageUrl[[#This Row],[Score]],-1,0))),1,SUM(OFFSET(tblDimOrcImageUrl[[#This Row],[Score]],-1,0),-1/ROWS(tblDimOrcImageUrl[Score])))</f>
        <v>0.64285714285714302</v>
      </c>
      <c r="Z7" s="15" t="s">
        <v>979</v>
      </c>
    </row>
    <row r="8" spans="1:26" x14ac:dyDescent="0.2">
      <c r="A8" s="25">
        <v>0.58333333333333337</v>
      </c>
      <c r="B8" s="15" t="s">
        <v>980</v>
      </c>
      <c r="D8" s="3">
        <f ca="1">IF(NOT(ISNUMBER(OFFSET(tblDimOrcNameFemale[[#This Row],[Score]],-1,0))),1,SUM(OFFSET(tblDimOrcNameFemale[[#This Row],[Score]],-1,0),-1/ROWS(tblDimOrcNameFemale[Score])))</f>
        <v>0.49999999999999983</v>
      </c>
      <c r="E8" s="15" t="s">
        <v>981</v>
      </c>
      <c r="G8" s="3">
        <f ca="1">IF(NOT(ISNUMBER(OFFSET(tblDimOrcLastName[[#This Row],[Score]],-1,0))),1,SUM(OFFSET(tblDimOrcLastName[[#This Row],[Score]],-1,0),-1/ROWS(tblDimOrcLastName[Score])))</f>
        <v>0.49999999999999983</v>
      </c>
      <c r="H8" s="15" t="s">
        <v>982</v>
      </c>
      <c r="J8" s="22"/>
      <c r="M8" s="22"/>
      <c r="P8" s="22"/>
      <c r="S8" s="22"/>
      <c r="V8" s="3">
        <f ca="1">IF(NOT(ISNUMBER(OFFSET(tblDimOrcBaseStatBlock[[#This Row],[Score]],-1,0))),1,SUM(OFFSET(tblDimOrcBaseStatBlock[[#This Row],[Score]],-1,0),-1/ROWS(tblDimOrcBaseStatBlock[Score])))</f>
        <v>0.33333333333333315</v>
      </c>
      <c r="W8" s="15" t="s">
        <v>983</v>
      </c>
      <c r="Y8" s="3">
        <f ca="1">IF(NOT(ISNUMBER(OFFSET(tblDimOrcImageUrl[[#This Row],[Score]],-1,0))),1,SUM(OFFSET(tblDimOrcImageUrl[[#This Row],[Score]],-1,0),-1/ROWS(tblDimOrcImageUrl[Score])))</f>
        <v>0.57142857142857162</v>
      </c>
      <c r="Z8" s="15" t="s">
        <v>984</v>
      </c>
    </row>
    <row r="9" spans="1:26" x14ac:dyDescent="0.2">
      <c r="A9" s="25">
        <v>0.66666666666666663</v>
      </c>
      <c r="B9" s="15" t="s">
        <v>985</v>
      </c>
      <c r="D9" s="3">
        <f ca="1">IF(NOT(ISNUMBER(OFFSET(tblDimOrcNameFemale[[#This Row],[Score]],-1,0))),1,SUM(OFFSET(tblDimOrcNameFemale[[#This Row],[Score]],-1,0),-1/ROWS(tblDimOrcNameFemale[Score])))</f>
        <v>0.41666666666666652</v>
      </c>
      <c r="E9" s="15" t="s">
        <v>986</v>
      </c>
      <c r="G9" s="3">
        <f ca="1">IF(NOT(ISNUMBER(OFFSET(tblDimOrcLastName[[#This Row],[Score]],-1,0))),1,SUM(OFFSET(tblDimOrcLastName[[#This Row],[Score]],-1,0),-1/ROWS(tblDimOrcLastName[Score])))</f>
        <v>0.41666666666666652</v>
      </c>
      <c r="H9" s="15" t="s">
        <v>987</v>
      </c>
      <c r="J9" s="27"/>
      <c r="M9" s="27"/>
      <c r="P9" s="27"/>
      <c r="S9" s="27"/>
      <c r="V9" s="3">
        <f ca="1">IF(NOT(ISNUMBER(OFFSET(tblDimOrcBaseStatBlock[[#This Row],[Score]],-1,0))),1,SUM(OFFSET(tblDimOrcBaseStatBlock[[#This Row],[Score]],-1,0),-1/ROWS(tblDimOrcBaseStatBlock[Score])))</f>
        <v>0.22222222222222204</v>
      </c>
      <c r="W9" s="15" t="s">
        <v>988</v>
      </c>
      <c r="Y9" s="3">
        <f ca="1">IF(NOT(ISNUMBER(OFFSET(tblDimOrcImageUrl[[#This Row],[Score]],-1,0))),1,SUM(OFFSET(tblDimOrcImageUrl[[#This Row],[Score]],-1,0),-1/ROWS(tblDimOrcImageUrl[Score])))</f>
        <v>0.50000000000000022</v>
      </c>
      <c r="Z9" s="15" t="s">
        <v>989</v>
      </c>
    </row>
    <row r="10" spans="1:26" x14ac:dyDescent="0.2">
      <c r="A10" s="25">
        <v>0.75</v>
      </c>
      <c r="B10" s="15" t="s">
        <v>990</v>
      </c>
      <c r="D10" s="3">
        <f ca="1">IF(NOT(ISNUMBER(OFFSET(tblDimOrcNameFemale[[#This Row],[Score]],-1,0))),1,SUM(OFFSET(tblDimOrcNameFemale[[#This Row],[Score]],-1,0),-1/ROWS(tblDimOrcNameFemale[Score])))</f>
        <v>0.3333333333333332</v>
      </c>
      <c r="E10" s="15" t="s">
        <v>991</v>
      </c>
      <c r="G10" s="3">
        <f ca="1">IF(NOT(ISNUMBER(OFFSET(tblDimOrcLastName[[#This Row],[Score]],-1,0))),1,SUM(OFFSET(tblDimOrcLastName[[#This Row],[Score]],-1,0),-1/ROWS(tblDimOrcLastName[Score])))</f>
        <v>0.3333333333333332</v>
      </c>
      <c r="H10" s="15" t="s">
        <v>992</v>
      </c>
      <c r="J10" s="27"/>
      <c r="M10" s="27"/>
      <c r="P10" s="27"/>
      <c r="S10" s="27"/>
      <c r="V10" s="3">
        <f ca="1">IF(NOT(ISNUMBER(OFFSET(tblDimOrcBaseStatBlock[[#This Row],[Score]],-1,0))),1,SUM(OFFSET(tblDimOrcBaseStatBlock[[#This Row],[Score]],-1,0),-1/ROWS(tblDimOrcBaseStatBlock[Score])))</f>
        <v>0.11111111111111094</v>
      </c>
      <c r="W10" s="15" t="s">
        <v>993</v>
      </c>
      <c r="Y10" s="3">
        <f ca="1">IF(NOT(ISNUMBER(OFFSET(tblDimOrcImageUrl[[#This Row],[Score]],-1,0))),1,SUM(OFFSET(tblDimOrcImageUrl[[#This Row],[Score]],-1,0),-1/ROWS(tblDimOrcImageUrl[Score])))</f>
        <v>0.42857142857142883</v>
      </c>
      <c r="Z10" s="15" t="s">
        <v>994</v>
      </c>
    </row>
    <row r="11" spans="1:26" x14ac:dyDescent="0.2">
      <c r="A11" s="25">
        <v>0.83333333333333337</v>
      </c>
      <c r="B11" s="15" t="s">
        <v>995</v>
      </c>
      <c r="D11" s="3">
        <f ca="1">IF(NOT(ISNUMBER(OFFSET(tblDimOrcNameFemale[[#This Row],[Score]],-1,0))),1,SUM(OFFSET(tblDimOrcNameFemale[[#This Row],[Score]],-1,0),-1/ROWS(tblDimOrcNameFemale[Score])))</f>
        <v>0.24999999999999989</v>
      </c>
      <c r="E11" s="15" t="s">
        <v>996</v>
      </c>
      <c r="G11" s="3">
        <f ca="1">IF(NOT(ISNUMBER(OFFSET(tblDimOrcLastName[[#This Row],[Score]],-1,0))),1,SUM(OFFSET(tblDimOrcLastName[[#This Row],[Score]],-1,0),-1/ROWS(tblDimOrcLastName[Score])))</f>
        <v>0.24999999999999989</v>
      </c>
      <c r="H11" s="15" t="s">
        <v>997</v>
      </c>
      <c r="J11" s="27"/>
      <c r="M11" s="27"/>
      <c r="P11" s="27"/>
      <c r="S11" s="27"/>
      <c r="Y11" s="3">
        <f ca="1">IF(NOT(ISNUMBER(OFFSET(tblDimOrcImageUrl[[#This Row],[Score]],-1,0))),1,SUM(OFFSET(tblDimOrcImageUrl[[#This Row],[Score]],-1,0),-1/ROWS(tblDimOrcImageUrl[Score])))</f>
        <v>0.35714285714285743</v>
      </c>
      <c r="Z11" s="15" t="s">
        <v>998</v>
      </c>
    </row>
    <row r="12" spans="1:26" x14ac:dyDescent="0.2">
      <c r="A12" s="25">
        <v>0.91666666666666663</v>
      </c>
      <c r="B12" s="15" t="s">
        <v>999</v>
      </c>
      <c r="D12" s="3">
        <f ca="1">IF(NOT(ISNUMBER(OFFSET(tblDimOrcNameFemale[[#This Row],[Score]],-1,0))),1,SUM(OFFSET(tblDimOrcNameFemale[[#This Row],[Score]],-1,0),-1/ROWS(tblDimOrcNameFemale[Score])))</f>
        <v>0.16666666666666657</v>
      </c>
      <c r="E12" s="15" t="s">
        <v>1000</v>
      </c>
      <c r="G12" s="3">
        <f ca="1">IF(NOT(ISNUMBER(OFFSET(tblDimOrcLastName[[#This Row],[Score]],-1,0))),1,SUM(OFFSET(tblDimOrcLastName[[#This Row],[Score]],-1,0),-1/ROWS(tblDimOrcLastName[Score])))</f>
        <v>0.16666666666666657</v>
      </c>
      <c r="H12" s="15" t="s">
        <v>1001</v>
      </c>
      <c r="J12" s="27"/>
      <c r="M12" s="27"/>
      <c r="P12" s="27"/>
      <c r="S12" s="27"/>
      <c r="Y12" s="3">
        <f ca="1">IF(NOT(ISNUMBER(OFFSET(tblDimOrcImageUrl[[#This Row],[Score]],-1,0))),1,SUM(OFFSET(tblDimOrcImageUrl[[#This Row],[Score]],-1,0),-1/ROWS(tblDimOrcImageUrl[Score])))</f>
        <v>0.28571428571428603</v>
      </c>
      <c r="Z12" s="15" t="s">
        <v>1002</v>
      </c>
    </row>
    <row r="13" spans="1:26" x14ac:dyDescent="0.2">
      <c r="A13" s="25">
        <v>1</v>
      </c>
      <c r="B13" s="15" t="s">
        <v>1003</v>
      </c>
      <c r="D13" s="3">
        <f ca="1">IF(NOT(ISNUMBER(OFFSET(tblDimOrcNameFemale[[#This Row],[Score]],-1,0))),1,SUM(OFFSET(tblDimOrcNameFemale[[#This Row],[Score]],-1,0),-1/ROWS(tblDimOrcNameFemale[Score])))</f>
        <v>8.3333333333333245E-2</v>
      </c>
      <c r="E13" s="15" t="s">
        <v>1004</v>
      </c>
      <c r="G13" s="3">
        <f ca="1">IF(NOT(ISNUMBER(OFFSET(tblDimOrcLastName[[#This Row],[Score]],-1,0))),1,SUM(OFFSET(tblDimOrcLastName[[#This Row],[Score]],-1,0),-1/ROWS(tblDimOrcLastName[Score])))</f>
        <v>8.3333333333333245E-2</v>
      </c>
      <c r="H13" s="15" t="s">
        <v>1005</v>
      </c>
      <c r="J13" s="27"/>
      <c r="M13" s="27"/>
      <c r="P13" s="27"/>
      <c r="S13" s="27"/>
      <c r="Y13" s="3">
        <f ca="1">IF(NOT(ISNUMBER(OFFSET(tblDimOrcImageUrl[[#This Row],[Score]],-1,0))),1,SUM(OFFSET(tblDimOrcImageUrl[[#This Row],[Score]],-1,0),-1/ROWS(tblDimOrcImageUrl[Score])))</f>
        <v>0.21428571428571461</v>
      </c>
      <c r="Z13" s="15" t="s">
        <v>1006</v>
      </c>
    </row>
    <row r="14" spans="1:26" x14ac:dyDescent="0.2">
      <c r="G14" s="22"/>
      <c r="J14" s="27"/>
      <c r="M14" s="27"/>
      <c r="P14" s="27"/>
      <c r="S14" s="27"/>
      <c r="Y14" s="3">
        <f ca="1">IF(NOT(ISNUMBER(OFFSET(tblDimOrcImageUrl[[#This Row],[Score]],-1,0))),1,SUM(OFFSET(tblDimOrcImageUrl[[#This Row],[Score]],-1,0),-1/ROWS(tblDimOrcImageUrl[Score])))</f>
        <v>0.14285714285714318</v>
      </c>
      <c r="Z14" s="15" t="s">
        <v>1007</v>
      </c>
    </row>
    <row r="15" spans="1:26" x14ac:dyDescent="0.2">
      <c r="P15" s="27"/>
      <c r="S15" s="27"/>
      <c r="Y15" s="3">
        <f ca="1">IF(NOT(ISNUMBER(OFFSET(tblDimOrcImageUrl[[#This Row],[Score]],-1,0))),1,SUM(OFFSET(tblDimOrcImageUrl[[#This Row],[Score]],-1,0),-1/ROWS(tblDimOrcImageUrl[Score])))</f>
        <v>7.1428571428571758E-2</v>
      </c>
      <c r="Z15" s="15" t="s">
        <v>1008</v>
      </c>
    </row>
  </sheetData>
  <pageMargins left="0.7" right="0.7" top="0.75" bottom="0.75" header="0.3" footer="0.3"/>
  <tableParts count="9">
    <tablePart r:id="rId1"/>
    <tablePart r:id="rId2"/>
    <tablePart r:id="rId3"/>
    <tablePart r:id="rId4"/>
    <tablePart r:id="rId5"/>
    <tablePart r:id="rId6"/>
    <tablePart r:id="rId7"/>
    <tablePart r:id="rId8"/>
    <tablePart r:id="rId9"/>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O21"/>
  <sheetViews>
    <sheetView zoomScale="75" zoomScaleNormal="75" zoomScalePageLayoutView="75" workbookViewId="0">
      <selection activeCell="A2" sqref="A2"/>
    </sheetView>
  </sheetViews>
  <sheetFormatPr baseColWidth="10" defaultColWidth="9" defaultRowHeight="15" x14ac:dyDescent="0.2"/>
  <cols>
    <col min="1" max="1" width="9" style="21"/>
    <col min="2" max="2" width="83.19921875" style="21" bestFit="1" customWidth="1"/>
    <col min="3" max="4" width="9" style="21"/>
    <col min="5" max="5" width="85.3984375" style="21" bestFit="1" customWidth="1"/>
    <col min="6" max="7" width="9" style="21"/>
    <col min="8" max="8" width="113.796875" style="21" bestFit="1" customWidth="1"/>
    <col min="9" max="10" width="9" style="21"/>
    <col min="11" max="11" width="77.19921875" style="21" bestFit="1" customWidth="1"/>
    <col min="12" max="13" width="9" style="21"/>
    <col min="14" max="14" width="195.19921875" style="21" bestFit="1" customWidth="1"/>
    <col min="15" max="16384" width="9" style="21"/>
  </cols>
  <sheetData>
    <row r="1" spans="1:15" x14ac:dyDescent="0.2">
      <c r="A1" s="15" t="s">
        <v>0</v>
      </c>
      <c r="B1" s="15" t="s">
        <v>1009</v>
      </c>
      <c r="C1" s="15"/>
      <c r="D1" s="15" t="s">
        <v>0</v>
      </c>
      <c r="E1" s="15" t="s">
        <v>1010</v>
      </c>
      <c r="F1" s="15"/>
      <c r="G1" s="15" t="s">
        <v>0</v>
      </c>
      <c r="H1" s="15" t="s">
        <v>1011</v>
      </c>
      <c r="I1" s="15"/>
      <c r="J1" s="15" t="s">
        <v>0</v>
      </c>
      <c r="K1" s="15" t="s">
        <v>1012</v>
      </c>
      <c r="L1" s="15"/>
      <c r="M1" s="15" t="s">
        <v>0</v>
      </c>
      <c r="N1" s="15" t="s">
        <v>1013</v>
      </c>
      <c r="O1" s="15"/>
    </row>
    <row r="2" spans="1:15" x14ac:dyDescent="0.2">
      <c r="A2" s="34">
        <f ca="1">IF(NOT(ISNUMBER(OFFSET(tblDimDemonPersonalityTrait[[#This Row],[Score]],-1,0))),1,SUM(OFFSET(tblDimDemonPersonalityTrait[[#This Row],[Score]],-1,0),-1/ROWS(tblDimDemonPersonalityTrait[Score])))</f>
        <v>1</v>
      </c>
      <c r="B2" s="15" t="s">
        <v>1014</v>
      </c>
      <c r="C2" s="15"/>
      <c r="D2" s="34">
        <f ca="1">IF(NOT(ISNUMBER(OFFSET(tblDimDemonIdeal[[#This Row],[Score]],-1,0))),1,SUM(OFFSET(tblDimDemonIdeal[[#This Row],[Score]],-1,0),-1/ROWS(tblDimDemonIdeal[Score])))</f>
        <v>1</v>
      </c>
      <c r="E2" s="15" t="s">
        <v>1015</v>
      </c>
      <c r="F2" s="15"/>
      <c r="G2" s="34">
        <f ca="1">IF(NOT(ISNUMBER(OFFSET(tblDimDemonBond[[#This Row],[Score]],-1,0))),1,SUM(OFFSET(tblDimDemonBond[[#This Row],[Score]],-1,0),-1/ROWS(tblDimDemonBond[Score])))</f>
        <v>1</v>
      </c>
      <c r="H2" s="15" t="s">
        <v>1016</v>
      </c>
      <c r="I2" s="15"/>
      <c r="J2" s="34">
        <f ca="1">IF(NOT(ISNUMBER(OFFSET(tblDimDemonFlaw[[#This Row],[Score]],-1,0))),1,SUM(OFFSET(tblDimDemonFlaw[[#This Row],[Score]],-1,0),-1/ROWS(tblDimDemonFlaw[Score])))</f>
        <v>1</v>
      </c>
      <c r="K2" s="15" t="s">
        <v>1017</v>
      </c>
      <c r="L2" s="15"/>
      <c r="M2" s="34">
        <f ca="1">IF(NOT(ISNUMBER(OFFSET(tblDimDemonQuirk[[#This Row],[Score]],-1,0))),1,SUM(OFFSET(tblDimDemonQuirk[[#This Row],[Score]],-1,0),-1/ROWS(tblDimDemonQuirk[Score])))</f>
        <v>1</v>
      </c>
      <c r="N2" s="15" t="s">
        <v>1018</v>
      </c>
      <c r="O2" s="15"/>
    </row>
    <row r="3" spans="1:15" x14ac:dyDescent="0.2">
      <c r="A3" s="3">
        <f ca="1">IF(NOT(ISNUMBER(OFFSET(tblDimDemonPersonalityTrait[[#This Row],[Score]],-1,0))),1,SUM(OFFSET(tblDimDemonPersonalityTrait[[#This Row],[Score]],-1,0),-1/ROWS(tblDimDemonPersonalityTrait[Score])))</f>
        <v>0.83333333333333337</v>
      </c>
      <c r="B3" s="15" t="s">
        <v>1019</v>
      </c>
      <c r="C3" s="15"/>
      <c r="D3" s="3">
        <f ca="1">IF(NOT(ISNUMBER(OFFSET(tblDimDemonIdeal[[#This Row],[Score]],-1,0))),1,SUM(OFFSET(tblDimDemonIdeal[[#This Row],[Score]],-1,0),-1/ROWS(tblDimDemonIdeal[Score])))</f>
        <v>0.83333333333333337</v>
      </c>
      <c r="E3" s="15" t="s">
        <v>1020</v>
      </c>
      <c r="F3" s="15"/>
      <c r="G3" s="15"/>
      <c r="H3" s="15"/>
      <c r="I3" s="15"/>
      <c r="J3" s="3">
        <f ca="1">IF(NOT(ISNUMBER(OFFSET(tblDimDemonFlaw[[#This Row],[Score]],-1,0))),1,SUM(OFFSET(tblDimDemonFlaw[[#This Row],[Score]],-1,0),-1/ROWS(tblDimDemonFlaw[Score])))</f>
        <v>0.83333333333333337</v>
      </c>
      <c r="K3" s="15" t="s">
        <v>1021</v>
      </c>
      <c r="L3" s="15"/>
      <c r="M3" s="3">
        <f ca="1">IF(NOT(ISNUMBER(OFFSET(tblDimDemonQuirk[[#This Row],[Score]],-1,0))),1,SUM(OFFSET(tblDimDemonQuirk[[#This Row],[Score]],-1,0),-1/ROWS(tblDimDemonQuirk[Score])))</f>
        <v>0.95</v>
      </c>
      <c r="N3" s="15" t="s">
        <v>1022</v>
      </c>
      <c r="O3" s="15"/>
    </row>
    <row r="4" spans="1:15" x14ac:dyDescent="0.2">
      <c r="A4" s="3">
        <f ca="1">IF(NOT(ISNUMBER(OFFSET(tblDimDemonPersonalityTrait[[#This Row],[Score]],-1,0))),1,SUM(OFFSET(tblDimDemonPersonalityTrait[[#This Row],[Score]],-1,0),-1/ROWS(tblDimDemonPersonalityTrait[Score])))</f>
        <v>0.66666666666666674</v>
      </c>
      <c r="B4" s="15" t="s">
        <v>1023</v>
      </c>
      <c r="C4" s="15"/>
      <c r="D4" s="3">
        <f ca="1">IF(NOT(ISNUMBER(OFFSET(tblDimDemonIdeal[[#This Row],[Score]],-1,0))),1,SUM(OFFSET(tblDimDemonIdeal[[#This Row],[Score]],-1,0),-1/ROWS(tblDimDemonIdeal[Score])))</f>
        <v>0.66666666666666674</v>
      </c>
      <c r="E4" s="15" t="s">
        <v>1024</v>
      </c>
      <c r="F4" s="15"/>
      <c r="G4" s="15"/>
      <c r="H4" s="15"/>
      <c r="I4" s="15"/>
      <c r="J4" s="3">
        <f ca="1">IF(NOT(ISNUMBER(OFFSET(tblDimDemonFlaw[[#This Row],[Score]],-1,0))),1,SUM(OFFSET(tblDimDemonFlaw[[#This Row],[Score]],-1,0),-1/ROWS(tblDimDemonFlaw[Score])))</f>
        <v>0.66666666666666674</v>
      </c>
      <c r="K4" s="15" t="s">
        <v>1025</v>
      </c>
      <c r="L4" s="15"/>
      <c r="M4" s="3">
        <f ca="1">IF(NOT(ISNUMBER(OFFSET(tblDimDemonQuirk[[#This Row],[Score]],-1,0))),1,SUM(OFFSET(tblDimDemonQuirk[[#This Row],[Score]],-1,0),-1/ROWS(tblDimDemonQuirk[Score])))</f>
        <v>0.89999999999999991</v>
      </c>
      <c r="N4" s="15" t="s">
        <v>1026</v>
      </c>
      <c r="O4" s="15"/>
    </row>
    <row r="5" spans="1:15" x14ac:dyDescent="0.2">
      <c r="A5" s="3">
        <f ca="1">IF(NOT(ISNUMBER(OFFSET(tblDimDemonPersonalityTrait[[#This Row],[Score]],-1,0))),1,SUM(OFFSET(tblDimDemonPersonalityTrait[[#This Row],[Score]],-1,0),-1/ROWS(tblDimDemonPersonalityTrait[Score])))</f>
        <v>0.50000000000000011</v>
      </c>
      <c r="B5" s="15" t="s">
        <v>1027</v>
      </c>
      <c r="C5" s="15"/>
      <c r="D5" s="3">
        <f ca="1">IF(NOT(ISNUMBER(OFFSET(tblDimDemonIdeal[[#This Row],[Score]],-1,0))),1,SUM(OFFSET(tblDimDemonIdeal[[#This Row],[Score]],-1,0),-1/ROWS(tblDimDemonIdeal[Score])))</f>
        <v>0.50000000000000011</v>
      </c>
      <c r="E5" s="15" t="s">
        <v>1028</v>
      </c>
      <c r="F5" s="15"/>
      <c r="G5" s="15"/>
      <c r="H5" s="15"/>
      <c r="I5" s="15"/>
      <c r="J5" s="3">
        <f ca="1">IF(NOT(ISNUMBER(OFFSET(tblDimDemonFlaw[[#This Row],[Score]],-1,0))),1,SUM(OFFSET(tblDimDemonFlaw[[#This Row],[Score]],-1,0),-1/ROWS(tblDimDemonFlaw[Score])))</f>
        <v>0.50000000000000011</v>
      </c>
      <c r="K5" s="15" t="s">
        <v>1029</v>
      </c>
      <c r="L5" s="15"/>
      <c r="M5" s="3">
        <f ca="1">IF(NOT(ISNUMBER(OFFSET(tblDimDemonQuirk[[#This Row],[Score]],-1,0))),1,SUM(OFFSET(tblDimDemonQuirk[[#This Row],[Score]],-1,0),-1/ROWS(tblDimDemonQuirk[Score])))</f>
        <v>0.84999999999999987</v>
      </c>
      <c r="N5" s="15" t="s">
        <v>1030</v>
      </c>
      <c r="O5" s="15"/>
    </row>
    <row r="6" spans="1:15" x14ac:dyDescent="0.2">
      <c r="A6" s="3">
        <f ca="1">IF(NOT(ISNUMBER(OFFSET(tblDimDemonPersonalityTrait[[#This Row],[Score]],-1,0))),1,SUM(OFFSET(tblDimDemonPersonalityTrait[[#This Row],[Score]],-1,0),-1/ROWS(tblDimDemonPersonalityTrait[Score])))</f>
        <v>0.33333333333333348</v>
      </c>
      <c r="B6" s="15" t="s">
        <v>1031</v>
      </c>
      <c r="C6" s="15"/>
      <c r="D6" s="3">
        <f ca="1">IF(NOT(ISNUMBER(OFFSET(tblDimDemonIdeal[[#This Row],[Score]],-1,0))),1,SUM(OFFSET(tblDimDemonIdeal[[#This Row],[Score]],-1,0),-1/ROWS(tblDimDemonIdeal[Score])))</f>
        <v>0.33333333333333348</v>
      </c>
      <c r="E6" s="15" t="s">
        <v>1032</v>
      </c>
      <c r="F6" s="15"/>
      <c r="G6" s="15"/>
      <c r="H6" s="15"/>
      <c r="I6" s="15"/>
      <c r="J6" s="3">
        <f ca="1">IF(NOT(ISNUMBER(OFFSET(tblDimDemonFlaw[[#This Row],[Score]],-1,0))),1,SUM(OFFSET(tblDimDemonFlaw[[#This Row],[Score]],-1,0),-1/ROWS(tblDimDemonFlaw[Score])))</f>
        <v>0.33333333333333348</v>
      </c>
      <c r="K6" s="15" t="s">
        <v>1033</v>
      </c>
      <c r="L6" s="15"/>
      <c r="M6" s="3">
        <f ca="1">IF(NOT(ISNUMBER(OFFSET(tblDimDemonQuirk[[#This Row],[Score]],-1,0))),1,SUM(OFFSET(tblDimDemonQuirk[[#This Row],[Score]],-1,0),-1/ROWS(tblDimDemonQuirk[Score])))</f>
        <v>0.79999999999999982</v>
      </c>
      <c r="N6" s="15" t="s">
        <v>1034</v>
      </c>
      <c r="O6" s="15"/>
    </row>
    <row r="7" spans="1:15" x14ac:dyDescent="0.2">
      <c r="A7" s="3">
        <f ca="1">IF(NOT(ISNUMBER(OFFSET(tblDimDemonPersonalityTrait[[#This Row],[Score]],-1,0))),1,SUM(OFFSET(tblDimDemonPersonalityTrait[[#This Row],[Score]],-1,0),-1/ROWS(tblDimDemonPersonalityTrait[Score])))</f>
        <v>0.16666666666666682</v>
      </c>
      <c r="B7" s="15" t="s">
        <v>1035</v>
      </c>
      <c r="C7" s="15"/>
      <c r="D7" s="3">
        <f ca="1">IF(NOT(ISNUMBER(OFFSET(tblDimDemonIdeal[[#This Row],[Score]],-1,0))),1,SUM(OFFSET(tblDimDemonIdeal[[#This Row],[Score]],-1,0),-1/ROWS(tblDimDemonIdeal[Score])))</f>
        <v>0.16666666666666682</v>
      </c>
      <c r="E7" s="15" t="s">
        <v>1036</v>
      </c>
      <c r="F7" s="15"/>
      <c r="G7" s="15"/>
      <c r="H7" s="15"/>
      <c r="I7" s="15"/>
      <c r="J7" s="3">
        <f ca="1">IF(NOT(ISNUMBER(OFFSET(tblDimDemonFlaw[[#This Row],[Score]],-1,0))),1,SUM(OFFSET(tblDimDemonFlaw[[#This Row],[Score]],-1,0),-1/ROWS(tblDimDemonFlaw[Score])))</f>
        <v>0.16666666666666682</v>
      </c>
      <c r="K7" s="15" t="s">
        <v>1037</v>
      </c>
      <c r="L7" s="15"/>
      <c r="M7" s="3">
        <f ca="1">IF(NOT(ISNUMBER(OFFSET(tblDimDemonQuirk[[#This Row],[Score]],-1,0))),1,SUM(OFFSET(tblDimDemonQuirk[[#This Row],[Score]],-1,0),-1/ROWS(tblDimDemonQuirk[Score])))</f>
        <v>0.74999999999999978</v>
      </c>
      <c r="N7" s="15" t="s">
        <v>1038</v>
      </c>
      <c r="O7" s="15"/>
    </row>
    <row r="8" spans="1:15" x14ac:dyDescent="0.2">
      <c r="A8" s="15"/>
      <c r="B8" s="15"/>
      <c r="C8" s="15"/>
      <c r="D8" s="15"/>
      <c r="E8" s="15"/>
      <c r="F8" s="15"/>
      <c r="G8" s="15"/>
      <c r="H8" s="15"/>
      <c r="I8" s="15"/>
      <c r="J8" s="15"/>
      <c r="K8" s="15"/>
      <c r="L8" s="15"/>
      <c r="M8" s="3">
        <f ca="1">IF(NOT(ISNUMBER(OFFSET(tblDimDemonQuirk[[#This Row],[Score]],-1,0))),1,SUM(OFFSET(tblDimDemonQuirk[[#This Row],[Score]],-1,0),-1/ROWS(tblDimDemonQuirk[Score])))</f>
        <v>0.69999999999999973</v>
      </c>
      <c r="N8" s="15" t="s">
        <v>1039</v>
      </c>
      <c r="O8" s="15"/>
    </row>
    <row r="9" spans="1:15" x14ac:dyDescent="0.2">
      <c r="A9" s="15"/>
      <c r="B9" s="15"/>
      <c r="C9" s="15"/>
      <c r="D9" s="15"/>
      <c r="E9" s="15"/>
      <c r="F9" s="15"/>
      <c r="G9" s="15"/>
      <c r="H9" s="15"/>
      <c r="I9" s="15"/>
      <c r="J9" s="15"/>
      <c r="K9" s="15"/>
      <c r="L9" s="15"/>
      <c r="M9" s="3">
        <f ca="1">IF(NOT(ISNUMBER(OFFSET(tblDimDemonQuirk[[#This Row],[Score]],-1,0))),1,SUM(OFFSET(tblDimDemonQuirk[[#This Row],[Score]],-1,0),-1/ROWS(tblDimDemonQuirk[Score])))</f>
        <v>0.64999999999999969</v>
      </c>
      <c r="N9" s="15" t="s">
        <v>1040</v>
      </c>
      <c r="O9" s="15"/>
    </row>
    <row r="10" spans="1:15" x14ac:dyDescent="0.2">
      <c r="A10" s="15"/>
      <c r="B10" s="15"/>
      <c r="C10" s="15"/>
      <c r="D10" s="15"/>
      <c r="E10" s="15"/>
      <c r="F10" s="15"/>
      <c r="G10" s="15"/>
      <c r="H10" s="15"/>
      <c r="I10" s="15"/>
      <c r="J10" s="15"/>
      <c r="K10" s="15"/>
      <c r="L10" s="15"/>
      <c r="M10" s="3">
        <f ca="1">IF(NOT(ISNUMBER(OFFSET(tblDimDemonQuirk[[#This Row],[Score]],-1,0))),1,SUM(OFFSET(tblDimDemonQuirk[[#This Row],[Score]],-1,0),-1/ROWS(tblDimDemonQuirk[Score])))</f>
        <v>0.59999999999999964</v>
      </c>
      <c r="N10" s="15" t="s">
        <v>1041</v>
      </c>
      <c r="O10" s="15"/>
    </row>
    <row r="11" spans="1:15" x14ac:dyDescent="0.2">
      <c r="A11" s="15"/>
      <c r="B11" s="15"/>
      <c r="C11" s="15"/>
      <c r="D11" s="15"/>
      <c r="E11" s="15"/>
      <c r="F11" s="15"/>
      <c r="G11" s="15"/>
      <c r="H11" s="15"/>
      <c r="I11" s="15"/>
      <c r="J11" s="15"/>
      <c r="K11" s="15"/>
      <c r="L11" s="15"/>
      <c r="M11" s="3">
        <f ca="1">IF(NOT(ISNUMBER(OFFSET(tblDimDemonQuirk[[#This Row],[Score]],-1,0))),1,SUM(OFFSET(tblDimDemonQuirk[[#This Row],[Score]],-1,0),-1/ROWS(tblDimDemonQuirk[Score])))</f>
        <v>0.5499999999999996</v>
      </c>
      <c r="N11" s="15" t="s">
        <v>1042</v>
      </c>
      <c r="O11" s="15"/>
    </row>
    <row r="12" spans="1:15" x14ac:dyDescent="0.2">
      <c r="A12" s="15"/>
      <c r="B12" s="15"/>
      <c r="C12" s="15"/>
      <c r="D12" s="15"/>
      <c r="E12" s="15"/>
      <c r="F12" s="15"/>
      <c r="G12" s="15"/>
      <c r="H12" s="15"/>
      <c r="I12" s="15"/>
      <c r="J12" s="15"/>
      <c r="K12" s="15"/>
      <c r="L12" s="15"/>
      <c r="M12" s="3">
        <f ca="1">IF(NOT(ISNUMBER(OFFSET(tblDimDemonQuirk[[#This Row],[Score]],-1,0))),1,SUM(OFFSET(tblDimDemonQuirk[[#This Row],[Score]],-1,0),-1/ROWS(tblDimDemonQuirk[Score])))</f>
        <v>0.49999999999999961</v>
      </c>
      <c r="N12" s="15" t="s">
        <v>1043</v>
      </c>
      <c r="O12" s="15"/>
    </row>
    <row r="13" spans="1:15" x14ac:dyDescent="0.2">
      <c r="A13" s="15"/>
      <c r="B13" s="15"/>
      <c r="C13" s="15"/>
      <c r="D13" s="15"/>
      <c r="E13" s="15"/>
      <c r="F13" s="15"/>
      <c r="G13" s="15"/>
      <c r="H13" s="15"/>
      <c r="I13" s="15"/>
      <c r="J13" s="15"/>
      <c r="K13" s="15"/>
      <c r="L13" s="15"/>
      <c r="M13" s="3">
        <f ca="1">IF(NOT(ISNUMBER(OFFSET(tblDimDemonQuirk[[#This Row],[Score]],-1,0))),1,SUM(OFFSET(tblDimDemonQuirk[[#This Row],[Score]],-1,0),-1/ROWS(tblDimDemonQuirk[Score])))</f>
        <v>0.44999999999999962</v>
      </c>
      <c r="N13" s="15" t="s">
        <v>1044</v>
      </c>
      <c r="O13" s="15"/>
    </row>
    <row r="14" spans="1:15" x14ac:dyDescent="0.2">
      <c r="A14" s="15"/>
      <c r="B14" s="15"/>
      <c r="C14" s="15"/>
      <c r="D14" s="15"/>
      <c r="E14" s="15"/>
      <c r="F14" s="15"/>
      <c r="G14" s="15"/>
      <c r="H14" s="15"/>
      <c r="I14" s="15"/>
      <c r="J14" s="15"/>
      <c r="K14" s="15"/>
      <c r="L14" s="15"/>
      <c r="M14" s="3">
        <f ca="1">IF(NOT(ISNUMBER(OFFSET(tblDimDemonQuirk[[#This Row],[Score]],-1,0))),1,SUM(OFFSET(tblDimDemonQuirk[[#This Row],[Score]],-1,0),-1/ROWS(tblDimDemonQuirk[Score])))</f>
        <v>0.39999999999999963</v>
      </c>
      <c r="N14" s="15" t="s">
        <v>1045</v>
      </c>
      <c r="O14" s="15"/>
    </row>
    <row r="15" spans="1:15" x14ac:dyDescent="0.2">
      <c r="A15" s="15"/>
      <c r="B15" s="15"/>
      <c r="C15" s="15"/>
      <c r="D15" s="15"/>
      <c r="E15" s="15"/>
      <c r="F15" s="15"/>
      <c r="G15" s="15"/>
      <c r="H15" s="15"/>
      <c r="I15" s="15"/>
      <c r="J15" s="15"/>
      <c r="K15" s="15"/>
      <c r="L15" s="15"/>
      <c r="M15" s="3">
        <f ca="1">IF(NOT(ISNUMBER(OFFSET(tblDimDemonQuirk[[#This Row],[Score]],-1,0))),1,SUM(OFFSET(tblDimDemonQuirk[[#This Row],[Score]],-1,0),-1/ROWS(tblDimDemonQuirk[Score])))</f>
        <v>0.34999999999999964</v>
      </c>
      <c r="N15" s="15" t="s">
        <v>1046</v>
      </c>
      <c r="O15" s="15"/>
    </row>
    <row r="16" spans="1:15" x14ac:dyDescent="0.2">
      <c r="A16" s="15"/>
      <c r="B16" s="15"/>
      <c r="C16" s="15"/>
      <c r="D16" s="15"/>
      <c r="E16" s="15"/>
      <c r="F16" s="15"/>
      <c r="G16" s="15"/>
      <c r="H16" s="15"/>
      <c r="I16" s="15"/>
      <c r="J16" s="15"/>
      <c r="K16" s="15"/>
      <c r="L16" s="15"/>
      <c r="M16" s="3">
        <f ca="1">IF(NOT(ISNUMBER(OFFSET(tblDimDemonQuirk[[#This Row],[Score]],-1,0))),1,SUM(OFFSET(tblDimDemonQuirk[[#This Row],[Score]],-1,0),-1/ROWS(tblDimDemonQuirk[Score])))</f>
        <v>0.29999999999999966</v>
      </c>
      <c r="N16" s="15" t="s">
        <v>1047</v>
      </c>
      <c r="O16" s="15"/>
    </row>
    <row r="17" spans="1:15" x14ac:dyDescent="0.2">
      <c r="A17" s="15"/>
      <c r="B17" s="15"/>
      <c r="C17" s="15"/>
      <c r="D17" s="15"/>
      <c r="E17" s="15"/>
      <c r="F17" s="15"/>
      <c r="G17" s="15"/>
      <c r="H17" s="15"/>
      <c r="I17" s="15"/>
      <c r="J17" s="15"/>
      <c r="K17" s="15"/>
      <c r="L17" s="15"/>
      <c r="M17" s="3">
        <f ca="1">IF(NOT(ISNUMBER(OFFSET(tblDimDemonQuirk[[#This Row],[Score]],-1,0))),1,SUM(OFFSET(tblDimDemonQuirk[[#This Row],[Score]],-1,0),-1/ROWS(tblDimDemonQuirk[Score])))</f>
        <v>0.24999999999999967</v>
      </c>
      <c r="N17" s="15" t="s">
        <v>1048</v>
      </c>
      <c r="O17" s="15"/>
    </row>
    <row r="18" spans="1:15" x14ac:dyDescent="0.2">
      <c r="A18" s="15"/>
      <c r="B18" s="15"/>
      <c r="C18" s="15"/>
      <c r="D18" s="15"/>
      <c r="E18" s="15"/>
      <c r="F18" s="15"/>
      <c r="G18" s="15"/>
      <c r="H18" s="15"/>
      <c r="I18" s="15"/>
      <c r="J18" s="15"/>
      <c r="K18" s="15"/>
      <c r="L18" s="15"/>
      <c r="M18" s="3">
        <f ca="1">IF(NOT(ISNUMBER(OFFSET(tblDimDemonQuirk[[#This Row],[Score]],-1,0))),1,SUM(OFFSET(tblDimDemonQuirk[[#This Row],[Score]],-1,0),-1/ROWS(tblDimDemonQuirk[Score])))</f>
        <v>0.19999999999999968</v>
      </c>
      <c r="N18" s="15" t="s">
        <v>1049</v>
      </c>
      <c r="O18" s="15"/>
    </row>
    <row r="19" spans="1:15" x14ac:dyDescent="0.2">
      <c r="A19" s="15"/>
      <c r="B19" s="15"/>
      <c r="C19" s="15"/>
      <c r="D19" s="15"/>
      <c r="E19" s="15"/>
      <c r="F19" s="15"/>
      <c r="G19" s="15"/>
      <c r="H19" s="15"/>
      <c r="I19" s="15"/>
      <c r="J19" s="15"/>
      <c r="K19" s="15"/>
      <c r="L19" s="15"/>
      <c r="M19" s="3">
        <f ca="1">IF(NOT(ISNUMBER(OFFSET(tblDimDemonQuirk[[#This Row],[Score]],-1,0))),1,SUM(OFFSET(tblDimDemonQuirk[[#This Row],[Score]],-1,0),-1/ROWS(tblDimDemonQuirk[Score])))</f>
        <v>0.14999999999999969</v>
      </c>
      <c r="N19" s="15" t="s">
        <v>1050</v>
      </c>
      <c r="O19" s="15"/>
    </row>
    <row r="20" spans="1:15" x14ac:dyDescent="0.2">
      <c r="A20" s="15"/>
      <c r="B20" s="15"/>
      <c r="C20" s="15"/>
      <c r="D20" s="15"/>
      <c r="E20" s="15"/>
      <c r="F20" s="15"/>
      <c r="G20" s="15"/>
      <c r="H20" s="15"/>
      <c r="I20" s="15"/>
      <c r="J20" s="15"/>
      <c r="K20" s="15"/>
      <c r="L20" s="15"/>
      <c r="M20" s="3">
        <f ca="1">IF(NOT(ISNUMBER(OFFSET(tblDimDemonQuirk[[#This Row],[Score]],-1,0))),1,SUM(OFFSET(tblDimDemonQuirk[[#This Row],[Score]],-1,0),-1/ROWS(tblDimDemonQuirk[Score])))</f>
        <v>9.9999999999999686E-2</v>
      </c>
      <c r="N20" s="15" t="s">
        <v>1051</v>
      </c>
      <c r="O20" s="15"/>
    </row>
    <row r="21" spans="1:15" x14ac:dyDescent="0.2">
      <c r="A21" s="15"/>
      <c r="B21" s="15"/>
      <c r="C21" s="15"/>
      <c r="D21" s="15"/>
      <c r="E21" s="15"/>
      <c r="F21" s="15"/>
      <c r="G21" s="15"/>
      <c r="H21" s="15"/>
      <c r="I21" s="15"/>
      <c r="J21" s="15"/>
      <c r="K21" s="15"/>
      <c r="L21" s="15"/>
      <c r="M21" s="3">
        <f ca="1">IF(NOT(ISNUMBER(OFFSET(tblDimDemonQuirk[[#This Row],[Score]],-1,0))),1,SUM(OFFSET(tblDimDemonQuirk[[#This Row],[Score]],-1,0),-1/ROWS(tblDimDemonQuirk[Score])))</f>
        <v>4.9999999999999684E-2</v>
      </c>
      <c r="N21" s="15" t="s">
        <v>1052</v>
      </c>
      <c r="O21" s="15"/>
    </row>
  </sheetData>
  <pageMargins left="0.7" right="0.7" top="0.75" bottom="0.75" header="0.3" footer="0.3"/>
  <tableParts count="5">
    <tablePart r:id="rId1"/>
    <tablePart r:id="rId2"/>
    <tablePart r:id="rId3"/>
    <tablePart r:id="rId4"/>
    <tablePart r:id="rId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Z41"/>
  <sheetViews>
    <sheetView zoomScale="75" zoomScaleNormal="75" zoomScalePageLayoutView="75" workbookViewId="0">
      <selection activeCell="A2" sqref="A2"/>
    </sheetView>
  </sheetViews>
  <sheetFormatPr baseColWidth="10" defaultColWidth="9" defaultRowHeight="15" x14ac:dyDescent="0.2"/>
  <cols>
    <col min="1" max="1" width="8" style="21" bestFit="1" customWidth="1"/>
    <col min="2" max="2" width="71.19921875" style="21" bestFit="1" customWidth="1"/>
    <col min="3" max="3" width="9" style="21"/>
    <col min="4" max="4" width="8" style="21" bestFit="1" customWidth="1"/>
    <col min="5" max="5" width="89.3984375" style="21" bestFit="1" customWidth="1"/>
    <col min="6" max="6" width="9" style="21"/>
    <col min="7" max="7" width="8" style="21" bestFit="1" customWidth="1"/>
    <col min="8" max="8" width="121.796875" style="21" bestFit="1" customWidth="1"/>
    <col min="9" max="9" width="9" style="21"/>
    <col min="10" max="10" width="8" style="21" bestFit="1" customWidth="1"/>
    <col min="11" max="11" width="126.796875" style="21" bestFit="1" customWidth="1"/>
    <col min="12" max="12" width="9" style="21"/>
    <col min="13" max="13" width="8" style="21" bestFit="1" customWidth="1"/>
    <col min="14" max="14" width="13.19921875" style="21" bestFit="1" customWidth="1"/>
    <col min="15" max="15" width="9" style="21"/>
    <col min="16" max="16" width="8" style="21" bestFit="1" customWidth="1"/>
    <col min="17" max="17" width="12.796875" style="21" bestFit="1" customWidth="1"/>
    <col min="18" max="18" width="16" style="21" bestFit="1" customWidth="1"/>
    <col min="19" max="19" width="16.19921875" style="21" bestFit="1" customWidth="1"/>
    <col min="20" max="20" width="9" style="21"/>
    <col min="21" max="21" width="8" style="21" bestFit="1" customWidth="1"/>
    <col min="22" max="22" width="16.796875" style="21" bestFit="1" customWidth="1"/>
    <col min="23" max="23" width="9" style="21"/>
    <col min="24" max="24" width="8" style="21" bestFit="1" customWidth="1"/>
    <col min="25" max="25" width="26.3984375" style="21" bestFit="1" customWidth="1"/>
    <col min="26" max="16384" width="9" style="21"/>
  </cols>
  <sheetData>
    <row r="1" spans="1:26" x14ac:dyDescent="0.2">
      <c r="A1" s="15" t="s">
        <v>0</v>
      </c>
      <c r="B1" s="15" t="s">
        <v>1053</v>
      </c>
      <c r="C1" s="15"/>
      <c r="D1" s="15" t="s">
        <v>0</v>
      </c>
      <c r="E1" s="15" t="s">
        <v>1054</v>
      </c>
      <c r="F1" s="15"/>
      <c r="G1" s="15" t="s">
        <v>0</v>
      </c>
      <c r="H1" s="15" t="s">
        <v>1055</v>
      </c>
      <c r="I1" s="15"/>
      <c r="J1" s="15" t="s">
        <v>0</v>
      </c>
      <c r="K1" s="15" t="s">
        <v>1056</v>
      </c>
      <c r="L1" s="15"/>
      <c r="M1" s="15" t="s">
        <v>0</v>
      </c>
      <c r="N1" s="15" t="s">
        <v>1057</v>
      </c>
      <c r="O1" s="15"/>
      <c r="P1" s="15" t="s">
        <v>0</v>
      </c>
      <c r="Q1" s="15" t="s">
        <v>1058</v>
      </c>
      <c r="R1" s="15" t="s">
        <v>1059</v>
      </c>
      <c r="S1" s="15" t="s">
        <v>1060</v>
      </c>
      <c r="T1" s="15"/>
      <c r="U1" s="15" t="s">
        <v>0</v>
      </c>
      <c r="V1" s="15" t="s">
        <v>1061</v>
      </c>
      <c r="W1" s="15"/>
      <c r="X1" s="15" t="s">
        <v>0</v>
      </c>
      <c r="Y1" s="15" t="s">
        <v>1062</v>
      </c>
      <c r="Z1" s="15"/>
    </row>
    <row r="2" spans="1:26" x14ac:dyDescent="0.2">
      <c r="A2" s="34">
        <f ca="1">IF(NOT(ISNUMBER(OFFSET(tblDimCultGoal[[#This Row],[Score]],-1,0))),1,SUM(OFFSET(tblDimCultGoal[[#This Row],[Score]],-1,0),-1/ROWS(tblDimCultGoal[Score])))</f>
        <v>1</v>
      </c>
      <c r="B2" s="15" t="s">
        <v>1063</v>
      </c>
      <c r="C2" s="15"/>
      <c r="D2" s="34">
        <f ca="1">IF(NOT(ISNUMBER(OFFSET(tblDimCultResource[[#This Row],[Score]],-1,0))),1,SUM(OFFSET(tblDimCultResource[[#This Row],[Score]],-1,0),-1/ROWS(tblDimCultResource[Score])))</f>
        <v>1</v>
      </c>
      <c r="E2" s="15" t="s">
        <v>1064</v>
      </c>
      <c r="F2" s="15"/>
      <c r="G2" s="34">
        <f ca="1">IF(NOT(ISNUMBER(OFFSET(tblDimCultOrganization[[#This Row],[Score]],-1,0))),1,SUM(OFFSET(tblDimCultOrganization[[#This Row],[Score]],-1,0),-1/ROWS(tblDimCultOrganization[Score])))</f>
        <v>1</v>
      </c>
      <c r="H2" s="15" t="s">
        <v>1065</v>
      </c>
      <c r="I2" s="15"/>
      <c r="J2" s="34">
        <f ca="1">IF(NOT(ISNUMBER(OFFSET(tblDimCultHardship[[#This Row],[Score]],-1,0))),1,SUM(OFFSET(tblDimCultHardship[[#This Row],[Score]],-1,0),-1/ROWS(tblDimCultHardship[Score])))</f>
        <v>1</v>
      </c>
      <c r="K2" s="15" t="s">
        <v>1066</v>
      </c>
      <c r="L2" s="15"/>
      <c r="M2" s="34">
        <f ca="1">IF(NOT(ISNUMBER(OFFSET(tblDimCultLeader[[#This Row],[Score]],-1,0))),1,SUM(OFFSET(tblDimCultLeader[[#This Row],[Score]],-1,0),-1/ROWS(tblDimCultLeader[Score])))</f>
        <v>1</v>
      </c>
      <c r="N2" s="15" t="s">
        <v>1057</v>
      </c>
      <c r="O2" s="15"/>
      <c r="P2" s="34">
        <f ca="1">IF(NOT(ISNUMBER(OFFSET(tblDimCultSize[[#This Row],[Score]],-1,0))),1,SUM(OFFSET(tblDimCultSize[[#This Row],[Score]],-1,0),-1/ROWS(tblDimCultSize[Score])))</f>
        <v>1</v>
      </c>
      <c r="Q2" s="15" t="s">
        <v>1239</v>
      </c>
      <c r="R2" s="15">
        <v>1</v>
      </c>
      <c r="S2" s="15">
        <v>5</v>
      </c>
      <c r="T2" s="15"/>
      <c r="U2" s="34">
        <f ca="1">IF(NOT(ISNUMBER(OFFSET(tblDimCultFanaticism[[#This Row],[Score]],-1,0))),1,SUM(OFFSET(tblDimCultFanaticism[[#This Row],[Score]],-1,0),-1/ROWS(tblDimCultFanaticism[Score])))</f>
        <v>1</v>
      </c>
      <c r="V2" s="15" t="s">
        <v>1067</v>
      </c>
      <c r="W2" s="15"/>
      <c r="X2" s="34">
        <f ca="1">IF(NOT(ISNUMBER(OFFSET(tblDimCultName[[#This Row],[Score]],-1,0))),1,SUM(OFFSET(tblDimCultName[[#This Row],[Score]],-1,0),-1/ROWS(tblDimCultName[Score])))</f>
        <v>1</v>
      </c>
      <c r="Y2" s="15" t="s">
        <v>1068</v>
      </c>
      <c r="Z2" s="15"/>
    </row>
    <row r="3" spans="1:26" x14ac:dyDescent="0.2">
      <c r="A3" s="3">
        <f ca="1">IF(NOT(ISNUMBER(OFFSET(tblDimCultGoal[[#This Row],[Score]],-1,0))),1,SUM(OFFSET(tblDimCultGoal[[#This Row],[Score]],-1,0),-1/ROWS(tblDimCultGoal[Score])))</f>
        <v>0.83333333333333337</v>
      </c>
      <c r="B3" s="15" t="s">
        <v>1069</v>
      </c>
      <c r="C3" s="15"/>
      <c r="D3" s="3">
        <f ca="1">IF(NOT(ISNUMBER(OFFSET(tblDimCultResource[[#This Row],[Score]],-1,0))),1,SUM(OFFSET(tblDimCultResource[[#This Row],[Score]],-1,0),-1/ROWS(tblDimCultResource[Score])))</f>
        <v>0.83333333333333337</v>
      </c>
      <c r="E3" s="15" t="s">
        <v>1070</v>
      </c>
      <c r="F3" s="15"/>
      <c r="G3" s="3">
        <f ca="1">IF(NOT(ISNUMBER(OFFSET(tblDimCultOrganization[[#This Row],[Score]],-1,0))),1,SUM(OFFSET(tblDimCultOrganization[[#This Row],[Score]],-1,0),-1/ROWS(tblDimCultOrganization[Score])))</f>
        <v>0.83333333333333337</v>
      </c>
      <c r="H3" s="15" t="s">
        <v>1071</v>
      </c>
      <c r="I3" s="15"/>
      <c r="J3" s="3">
        <f ca="1">IF(NOT(ISNUMBER(OFFSET(tblDimCultHardship[[#This Row],[Score]],-1,0))),1,SUM(OFFSET(tblDimCultHardship[[#This Row],[Score]],-1,0),-1/ROWS(tblDimCultHardship[Score])))</f>
        <v>0.8</v>
      </c>
      <c r="K3" s="15" t="s">
        <v>1072</v>
      </c>
      <c r="L3" s="15"/>
      <c r="M3" s="3">
        <f ca="1">IF(NOT(ISNUMBER(OFFSET(tblDimCultLeader[[#This Row],[Score]],-1,0))),1,SUM(OFFSET(tblDimCultLeader[[#This Row],[Score]],-1,0),-1/ROWS(tblDimCultLeader[Score])))</f>
        <v>0.875</v>
      </c>
      <c r="N3" s="15" t="s">
        <v>1073</v>
      </c>
      <c r="O3" s="15"/>
      <c r="P3" s="3">
        <f ca="1">IF(NOT(ISNUMBER(OFFSET(tblDimCultSize[[#This Row],[Score]],-1,0))),1,SUM(OFFSET(tblDimCultSize[[#This Row],[Score]],-1,0),-1/ROWS(tblDimCultSize[Score])))</f>
        <v>0.83333333333333337</v>
      </c>
      <c r="Q3" s="15" t="s">
        <v>1240</v>
      </c>
      <c r="R3" s="15">
        <v>1</v>
      </c>
      <c r="S3" s="15">
        <v>30</v>
      </c>
      <c r="T3" s="15"/>
      <c r="U3" s="3">
        <f ca="1">IF(NOT(ISNUMBER(OFFSET(tblDimCultFanaticism[[#This Row],[Score]],-1,0))),1,SUM(OFFSET(tblDimCultFanaticism[[#This Row],[Score]],-1,0),-1/ROWS(tblDimCultFanaticism[Score])))</f>
        <v>0.75</v>
      </c>
      <c r="V3" s="15" t="s">
        <v>1074</v>
      </c>
      <c r="W3" s="15"/>
      <c r="X3" s="3">
        <f ca="1">IF(NOT(ISNUMBER(OFFSET(tblDimCultName[[#This Row],[Score]],-1,0))),1,SUM(OFFSET(tblDimCultName[[#This Row],[Score]],-1,0),-1/ROWS(tblDimCultName[Score])))</f>
        <v>0.97499999999999998</v>
      </c>
      <c r="Y3" s="15" t="s">
        <v>1075</v>
      </c>
      <c r="Z3" s="15"/>
    </row>
    <row r="4" spans="1:26" x14ac:dyDescent="0.2">
      <c r="A4" s="3">
        <f ca="1">IF(NOT(ISNUMBER(OFFSET(tblDimCultGoal[[#This Row],[Score]],-1,0))),1,SUM(OFFSET(tblDimCultGoal[[#This Row],[Score]],-1,0),-1/ROWS(tblDimCultGoal[Score])))</f>
        <v>0.66666666666666674</v>
      </c>
      <c r="B4" s="15" t="s">
        <v>1076</v>
      </c>
      <c r="C4" s="15"/>
      <c r="D4" s="3">
        <f ca="1">IF(NOT(ISNUMBER(OFFSET(tblDimCultResource[[#This Row],[Score]],-1,0))),1,SUM(OFFSET(tblDimCultResource[[#This Row],[Score]],-1,0),-1/ROWS(tblDimCultResource[Score])))</f>
        <v>0.66666666666666674</v>
      </c>
      <c r="E4" s="15" t="s">
        <v>1077</v>
      </c>
      <c r="F4" s="15"/>
      <c r="G4" s="3">
        <f ca="1">IF(NOT(ISNUMBER(OFFSET(tblDimCultOrganization[[#This Row],[Score]],-1,0))),1,SUM(OFFSET(tblDimCultOrganization[[#This Row],[Score]],-1,0),-1/ROWS(tblDimCultOrganization[Score])))</f>
        <v>0.66666666666666674</v>
      </c>
      <c r="H4" s="15" t="s">
        <v>1078</v>
      </c>
      <c r="I4" s="15"/>
      <c r="J4" s="3">
        <f ca="1">IF(NOT(ISNUMBER(OFFSET(tblDimCultHardship[[#This Row],[Score]],-1,0))),1,SUM(OFFSET(tblDimCultHardship[[#This Row],[Score]],-1,0),-1/ROWS(tblDimCultHardship[Score])))</f>
        <v>0.60000000000000009</v>
      </c>
      <c r="K4" s="15" t="s">
        <v>1079</v>
      </c>
      <c r="L4" s="15"/>
      <c r="M4" s="3">
        <f ca="1">IF(NOT(ISNUMBER(OFFSET(tblDimCultLeader[[#This Row],[Score]],-1,0))),1,SUM(OFFSET(tblDimCultLeader[[#This Row],[Score]],-1,0),-1/ROWS(tblDimCultLeader[Score])))</f>
        <v>0.75</v>
      </c>
      <c r="N4" s="15" t="s">
        <v>1080</v>
      </c>
      <c r="O4" s="15"/>
      <c r="P4" s="3">
        <f ca="1">IF(NOT(ISNUMBER(OFFSET(tblDimCultSize[[#This Row],[Score]],-1,0))),1,SUM(OFFSET(tblDimCultSize[[#This Row],[Score]],-1,0),-1/ROWS(tblDimCultSize[Score])))</f>
        <v>0.66666666666666674</v>
      </c>
      <c r="Q4" s="15" t="s">
        <v>1241</v>
      </c>
      <c r="R4" s="15">
        <v>1</v>
      </c>
      <c r="S4" s="15">
        <v>250</v>
      </c>
      <c r="T4" s="15"/>
      <c r="U4" s="3">
        <f ca="1">IF(NOT(ISNUMBER(OFFSET(tblDimCultFanaticism[[#This Row],[Score]],-1,0))),1,SUM(OFFSET(tblDimCultFanaticism[[#This Row],[Score]],-1,0),-1/ROWS(tblDimCultFanaticism[Score])))</f>
        <v>0.5</v>
      </c>
      <c r="V4" s="15" t="s">
        <v>1081</v>
      </c>
      <c r="W4" s="15"/>
      <c r="X4" s="3">
        <f ca="1">IF(NOT(ISNUMBER(OFFSET(tblDimCultName[[#This Row],[Score]],-1,0))),1,SUM(OFFSET(tblDimCultName[[#This Row],[Score]],-1,0),-1/ROWS(tblDimCultName[Score])))</f>
        <v>0.95</v>
      </c>
      <c r="Y4" s="15" t="s">
        <v>1082</v>
      </c>
      <c r="Z4" s="15"/>
    </row>
    <row r="5" spans="1:26" x14ac:dyDescent="0.2">
      <c r="A5" s="3">
        <f ca="1">IF(NOT(ISNUMBER(OFFSET(tblDimCultGoal[[#This Row],[Score]],-1,0))),1,SUM(OFFSET(tblDimCultGoal[[#This Row],[Score]],-1,0),-1/ROWS(tblDimCultGoal[Score])))</f>
        <v>0.50000000000000011</v>
      </c>
      <c r="B5" s="15" t="s">
        <v>1083</v>
      </c>
      <c r="C5" s="15"/>
      <c r="D5" s="3">
        <f ca="1">IF(NOT(ISNUMBER(OFFSET(tblDimCultResource[[#This Row],[Score]],-1,0))),1,SUM(OFFSET(tblDimCultResource[[#This Row],[Score]],-1,0),-1/ROWS(tblDimCultResource[Score])))</f>
        <v>0.50000000000000011</v>
      </c>
      <c r="E5" s="15" t="s">
        <v>1084</v>
      </c>
      <c r="F5" s="15"/>
      <c r="G5" s="3">
        <f ca="1">IF(NOT(ISNUMBER(OFFSET(tblDimCultOrganization[[#This Row],[Score]],-1,0))),1,SUM(OFFSET(tblDimCultOrganization[[#This Row],[Score]],-1,0),-1/ROWS(tblDimCultOrganization[Score])))</f>
        <v>0.50000000000000011</v>
      </c>
      <c r="H5" s="15" t="s">
        <v>1085</v>
      </c>
      <c r="I5" s="15"/>
      <c r="J5" s="3">
        <f ca="1">IF(NOT(ISNUMBER(OFFSET(tblDimCultHardship[[#This Row],[Score]],-1,0))),1,SUM(OFFSET(tblDimCultHardship[[#This Row],[Score]],-1,0),-1/ROWS(tblDimCultHardship[Score])))</f>
        <v>0.40000000000000008</v>
      </c>
      <c r="K5" s="15" t="s">
        <v>1086</v>
      </c>
      <c r="L5" s="15"/>
      <c r="M5" s="3">
        <f ca="1">IF(NOT(ISNUMBER(OFFSET(tblDimCultLeader[[#This Row],[Score]],-1,0))),1,SUM(OFFSET(tblDimCultLeader[[#This Row],[Score]],-1,0),-1/ROWS(tblDimCultLeader[Score])))</f>
        <v>0.625</v>
      </c>
      <c r="N5" s="15" t="s">
        <v>1087</v>
      </c>
      <c r="O5" s="15"/>
      <c r="P5" s="3">
        <f ca="1">IF(NOT(ISNUMBER(OFFSET(tblDimCultSize[[#This Row],[Score]],-1,0))),1,SUM(OFFSET(tblDimCultSize[[#This Row],[Score]],-1,0),-1/ROWS(tblDimCultSize[Score])))</f>
        <v>0.50000000000000011</v>
      </c>
      <c r="Q5" s="15" t="s">
        <v>1242</v>
      </c>
      <c r="R5" s="15">
        <v>1</v>
      </c>
      <c r="S5" s="15">
        <v>750</v>
      </c>
      <c r="T5" s="15"/>
      <c r="U5" s="3">
        <f ca="1">IF(NOT(ISNUMBER(OFFSET(tblDimCultFanaticism[[#This Row],[Score]],-1,0))),1,SUM(OFFSET(tblDimCultFanaticism[[#This Row],[Score]],-1,0),-1/ROWS(tblDimCultFanaticism[Score])))</f>
        <v>0.25</v>
      </c>
      <c r="V5" s="15" t="s">
        <v>1088</v>
      </c>
      <c r="W5" s="15"/>
      <c r="X5" s="3">
        <f ca="1">IF(NOT(ISNUMBER(OFFSET(tblDimCultName[[#This Row],[Score]],-1,0))),1,SUM(OFFSET(tblDimCultName[[#This Row],[Score]],-1,0),-1/ROWS(tblDimCultName[Score])))</f>
        <v>0.92499999999999993</v>
      </c>
      <c r="Y5" s="15" t="s">
        <v>1089</v>
      </c>
      <c r="Z5" s="15"/>
    </row>
    <row r="6" spans="1:26" x14ac:dyDescent="0.2">
      <c r="A6" s="3">
        <f ca="1">IF(NOT(ISNUMBER(OFFSET(tblDimCultGoal[[#This Row],[Score]],-1,0))),1,SUM(OFFSET(tblDimCultGoal[[#This Row],[Score]],-1,0),-1/ROWS(tblDimCultGoal[Score])))</f>
        <v>0.33333333333333348</v>
      </c>
      <c r="B6" s="15" t="s">
        <v>1090</v>
      </c>
      <c r="C6" s="15"/>
      <c r="D6" s="3">
        <f ca="1">IF(NOT(ISNUMBER(OFFSET(tblDimCultResource[[#This Row],[Score]],-1,0))),1,SUM(OFFSET(tblDimCultResource[[#This Row],[Score]],-1,0),-1/ROWS(tblDimCultResource[Score])))</f>
        <v>0.33333333333333348</v>
      </c>
      <c r="E6" s="15" t="s">
        <v>1091</v>
      </c>
      <c r="F6" s="15"/>
      <c r="G6" s="3">
        <f ca="1">IF(NOT(ISNUMBER(OFFSET(tblDimCultOrganization[[#This Row],[Score]],-1,0))),1,SUM(OFFSET(tblDimCultOrganization[[#This Row],[Score]],-1,0),-1/ROWS(tblDimCultOrganization[Score])))</f>
        <v>0.33333333333333348</v>
      </c>
      <c r="H6" s="15" t="s">
        <v>1092</v>
      </c>
      <c r="I6" s="15"/>
      <c r="J6" s="3">
        <f ca="1">IF(NOT(ISNUMBER(OFFSET(tblDimCultHardship[[#This Row],[Score]],-1,0))),1,SUM(OFFSET(tblDimCultHardship[[#This Row],[Score]],-1,0),-1/ROWS(tblDimCultHardship[Score])))</f>
        <v>0.20000000000000007</v>
      </c>
      <c r="K6" s="15" t="s">
        <v>1093</v>
      </c>
      <c r="L6" s="15"/>
      <c r="M6" s="3">
        <f ca="1">IF(NOT(ISNUMBER(OFFSET(tblDimCultLeader[[#This Row],[Score]],-1,0))),1,SUM(OFFSET(tblDimCultLeader[[#This Row],[Score]],-1,0),-1/ROWS(tblDimCultLeader[Score])))</f>
        <v>0.5</v>
      </c>
      <c r="N6" s="15" t="s">
        <v>1094</v>
      </c>
      <c r="O6" s="15"/>
      <c r="P6" s="3">
        <f ca="1">IF(NOT(ISNUMBER(OFFSET(tblDimCultSize[[#This Row],[Score]],-1,0))),1,SUM(OFFSET(tblDimCultSize[[#This Row],[Score]],-1,0),-1/ROWS(tblDimCultSize[Score])))</f>
        <v>0.33333333333333348</v>
      </c>
      <c r="Q6" s="15" t="s">
        <v>1243</v>
      </c>
      <c r="R6" s="15">
        <v>1</v>
      </c>
      <c r="S6" s="15">
        <v>1000</v>
      </c>
      <c r="T6" s="15"/>
      <c r="U6" s="15"/>
      <c r="V6" s="15"/>
      <c r="W6" s="15"/>
      <c r="X6" s="3">
        <f ca="1">IF(NOT(ISNUMBER(OFFSET(tblDimCultName[[#This Row],[Score]],-1,0))),1,SUM(OFFSET(tblDimCultName[[#This Row],[Score]],-1,0),-1/ROWS(tblDimCultName[Score])))</f>
        <v>0.89999999999999991</v>
      </c>
      <c r="Y6" s="15" t="s">
        <v>1095</v>
      </c>
      <c r="Z6" s="15"/>
    </row>
    <row r="7" spans="1:26" x14ac:dyDescent="0.2">
      <c r="A7" s="3">
        <f ca="1">IF(NOT(ISNUMBER(OFFSET(tblDimCultGoal[[#This Row],[Score]],-1,0))),1,SUM(OFFSET(tblDimCultGoal[[#This Row],[Score]],-1,0),-1/ROWS(tblDimCultGoal[Score])))</f>
        <v>0.16666666666666682</v>
      </c>
      <c r="B7" s="15" t="s">
        <v>1096</v>
      </c>
      <c r="C7" s="15"/>
      <c r="D7" s="3">
        <f ca="1">IF(NOT(ISNUMBER(OFFSET(tblDimCultResource[[#This Row],[Score]],-1,0))),1,SUM(OFFSET(tblDimCultResource[[#This Row],[Score]],-1,0),-1/ROWS(tblDimCultResource[Score])))</f>
        <v>0.16666666666666682</v>
      </c>
      <c r="E7" s="15" t="s">
        <v>1097</v>
      </c>
      <c r="F7" s="15"/>
      <c r="G7" s="3">
        <f ca="1">IF(NOT(ISNUMBER(OFFSET(tblDimCultOrganization[[#This Row],[Score]],-1,0))),1,SUM(OFFSET(tblDimCultOrganization[[#This Row],[Score]],-1,0),-1/ROWS(tblDimCultOrganization[Score])))</f>
        <v>0.16666666666666682</v>
      </c>
      <c r="H7" s="15" t="s">
        <v>1098</v>
      </c>
      <c r="I7" s="15"/>
      <c r="J7" s="15"/>
      <c r="K7" s="15"/>
      <c r="L7" s="15"/>
      <c r="M7" s="3">
        <f ca="1">IF(NOT(ISNUMBER(OFFSET(tblDimCultLeader[[#This Row],[Score]],-1,0))),1,SUM(OFFSET(tblDimCultLeader[[#This Row],[Score]],-1,0),-1/ROWS(tblDimCultLeader[Score])))</f>
        <v>0.375</v>
      </c>
      <c r="N7" s="15" t="s">
        <v>1099</v>
      </c>
      <c r="O7" s="15"/>
      <c r="P7" s="3">
        <f ca="1">IF(NOT(ISNUMBER(OFFSET(tblDimCultSize[[#This Row],[Score]],-1,0))),1,SUM(OFFSET(tblDimCultSize[[#This Row],[Score]],-1,0),-1/ROWS(tblDimCultSize[Score])))</f>
        <v>0.16666666666666682</v>
      </c>
      <c r="Q7" s="15" t="s">
        <v>1244</v>
      </c>
      <c r="R7" s="15">
        <v>1</v>
      </c>
      <c r="S7" s="15">
        <v>5000</v>
      </c>
      <c r="T7" s="15"/>
      <c r="U7" s="15"/>
      <c r="V7" s="15"/>
      <c r="W7" s="15"/>
      <c r="X7" s="3">
        <f ca="1">IF(NOT(ISNUMBER(OFFSET(tblDimCultName[[#This Row],[Score]],-1,0))),1,SUM(OFFSET(tblDimCultName[[#This Row],[Score]],-1,0),-1/ROWS(tblDimCultName[Score])))</f>
        <v>0.87499999999999989</v>
      </c>
      <c r="Y7" s="15" t="s">
        <v>1100</v>
      </c>
      <c r="Z7" s="15"/>
    </row>
    <row r="8" spans="1:26" x14ac:dyDescent="0.2">
      <c r="A8" s="15"/>
      <c r="B8" s="15"/>
      <c r="C8" s="15"/>
      <c r="D8" s="15"/>
      <c r="E8" s="15"/>
      <c r="F8" s="15"/>
      <c r="G8" s="15"/>
      <c r="H8" s="15"/>
      <c r="I8" s="15"/>
      <c r="J8" s="15"/>
      <c r="K8" s="15"/>
      <c r="L8" s="15"/>
      <c r="M8" s="3">
        <f ca="1">IF(NOT(ISNUMBER(OFFSET(tblDimCultLeader[[#This Row],[Score]],-1,0))),1,SUM(OFFSET(tblDimCultLeader[[#This Row],[Score]],-1,0),-1/ROWS(tblDimCultLeader[Score])))</f>
        <v>0.25</v>
      </c>
      <c r="N8" s="15" t="s">
        <v>1101</v>
      </c>
      <c r="O8" s="15"/>
      <c r="P8" s="15"/>
      <c r="Q8" s="15"/>
      <c r="R8" s="15"/>
      <c r="S8" s="15"/>
      <c r="T8" s="15"/>
      <c r="U8" s="15"/>
      <c r="V8" s="15"/>
      <c r="W8" s="15"/>
      <c r="X8" s="3">
        <f ca="1">IF(NOT(ISNUMBER(OFFSET(tblDimCultName[[#This Row],[Score]],-1,0))),1,SUM(OFFSET(tblDimCultName[[#This Row],[Score]],-1,0),-1/ROWS(tblDimCultName[Score])))</f>
        <v>0.84999999999999987</v>
      </c>
      <c r="Y8" s="15" t="s">
        <v>1102</v>
      </c>
      <c r="Z8" s="15"/>
    </row>
    <row r="9" spans="1:26" x14ac:dyDescent="0.2">
      <c r="A9" s="15"/>
      <c r="B9" s="15"/>
      <c r="C9" s="15"/>
      <c r="D9" s="15"/>
      <c r="E9" s="15"/>
      <c r="F9" s="15"/>
      <c r="G9" s="15"/>
      <c r="H9" s="15"/>
      <c r="I9" s="15"/>
      <c r="J9" s="15"/>
      <c r="K9" s="15"/>
      <c r="L9" s="15"/>
      <c r="M9" s="3">
        <f ca="1">IF(NOT(ISNUMBER(OFFSET(tblDimCultLeader[[#This Row],[Score]],-1,0))),1,SUM(OFFSET(tblDimCultLeader[[#This Row],[Score]],-1,0),-1/ROWS(tblDimCultLeader[Score])))</f>
        <v>0.125</v>
      </c>
      <c r="N9" s="15" t="s">
        <v>933</v>
      </c>
      <c r="O9" s="15"/>
      <c r="P9" s="15"/>
      <c r="Q9" s="15"/>
      <c r="R9" s="15"/>
      <c r="S9" s="15"/>
      <c r="T9" s="15"/>
      <c r="U9" s="15"/>
      <c r="V9" s="15"/>
      <c r="W9" s="15"/>
      <c r="X9" s="3">
        <f ca="1">IF(NOT(ISNUMBER(OFFSET(tblDimCultName[[#This Row],[Score]],-1,0))),1,SUM(OFFSET(tblDimCultName[[#This Row],[Score]],-1,0),-1/ROWS(tblDimCultName[Score])))</f>
        <v>0.82499999999999984</v>
      </c>
      <c r="Y9" s="15" t="s">
        <v>1103</v>
      </c>
      <c r="Z9" s="15"/>
    </row>
    <row r="10" spans="1:26" x14ac:dyDescent="0.2">
      <c r="A10" s="15"/>
      <c r="B10" s="15"/>
      <c r="C10" s="15"/>
      <c r="D10" s="15"/>
      <c r="E10" s="15"/>
      <c r="F10" s="15"/>
      <c r="G10" s="15"/>
      <c r="H10" s="15"/>
      <c r="I10" s="15"/>
      <c r="J10" s="15"/>
      <c r="K10" s="15"/>
      <c r="L10" s="15"/>
      <c r="M10" s="15"/>
      <c r="N10" s="15"/>
      <c r="O10" s="15"/>
      <c r="P10" s="15"/>
      <c r="Q10" s="15"/>
      <c r="R10" s="15"/>
      <c r="S10" s="15"/>
      <c r="T10" s="15"/>
      <c r="U10" s="15"/>
      <c r="V10" s="15"/>
      <c r="W10" s="15"/>
      <c r="X10" s="3">
        <f ca="1">IF(NOT(ISNUMBER(OFFSET(tblDimCultName[[#This Row],[Score]],-1,0))),1,SUM(OFFSET(tblDimCultName[[#This Row],[Score]],-1,0),-1/ROWS(tblDimCultName[Score])))</f>
        <v>0.79999999999999982</v>
      </c>
      <c r="Y10" s="15" t="s">
        <v>1104</v>
      </c>
      <c r="Z10" s="15"/>
    </row>
    <row r="11" spans="1:26" x14ac:dyDescent="0.2">
      <c r="A11" s="15"/>
      <c r="B11" s="15"/>
      <c r="C11" s="15"/>
      <c r="D11" s="15"/>
      <c r="E11" s="15"/>
      <c r="F11" s="15"/>
      <c r="G11" s="15"/>
      <c r="H11" s="15"/>
      <c r="I11" s="15"/>
      <c r="J11" s="15"/>
      <c r="K11" s="15"/>
      <c r="L11" s="15"/>
      <c r="M11" s="15"/>
      <c r="N11" s="15"/>
      <c r="O11" s="15"/>
      <c r="P11" s="15"/>
      <c r="Q11" s="15"/>
      <c r="R11" s="15"/>
      <c r="S11" s="15"/>
      <c r="T11" s="15"/>
      <c r="U11" s="15"/>
      <c r="V11" s="15"/>
      <c r="W11" s="15"/>
      <c r="X11" s="3">
        <f ca="1">IF(NOT(ISNUMBER(OFFSET(tblDimCultName[[#This Row],[Score]],-1,0))),1,SUM(OFFSET(tblDimCultName[[#This Row],[Score]],-1,0),-1/ROWS(tblDimCultName[Score])))</f>
        <v>0.7749999999999998</v>
      </c>
      <c r="Y11" s="15" t="s">
        <v>1105</v>
      </c>
      <c r="Z11" s="15"/>
    </row>
    <row r="12" spans="1:26" x14ac:dyDescent="0.2">
      <c r="A12" s="15"/>
      <c r="B12" s="15"/>
      <c r="C12" s="15"/>
      <c r="D12" s="15"/>
      <c r="E12" s="15"/>
      <c r="F12" s="15"/>
      <c r="G12" s="15"/>
      <c r="H12" s="15"/>
      <c r="I12" s="15"/>
      <c r="J12" s="15"/>
      <c r="K12" s="15"/>
      <c r="L12" s="15"/>
      <c r="M12" s="15"/>
      <c r="N12" s="15"/>
      <c r="O12" s="15"/>
      <c r="P12" s="15"/>
      <c r="Q12" s="15"/>
      <c r="R12" s="15"/>
      <c r="S12" s="15"/>
      <c r="T12" s="15"/>
      <c r="U12" s="15"/>
      <c r="V12" s="15"/>
      <c r="W12" s="15"/>
      <c r="X12" s="3">
        <f ca="1">IF(NOT(ISNUMBER(OFFSET(tblDimCultName[[#This Row],[Score]],-1,0))),1,SUM(OFFSET(tblDimCultName[[#This Row],[Score]],-1,0),-1/ROWS(tblDimCultName[Score])))</f>
        <v>0.74999999999999978</v>
      </c>
      <c r="Y12" s="15" t="s">
        <v>1106</v>
      </c>
      <c r="Z12" s="15"/>
    </row>
    <row r="13" spans="1:26" x14ac:dyDescent="0.2">
      <c r="A13" s="15"/>
      <c r="B13" s="15"/>
      <c r="C13" s="15"/>
      <c r="D13" s="15"/>
      <c r="E13" s="15"/>
      <c r="F13" s="15"/>
      <c r="G13" s="15"/>
      <c r="H13" s="15"/>
      <c r="I13" s="15"/>
      <c r="J13" s="15"/>
      <c r="K13" s="15"/>
      <c r="L13" s="15"/>
      <c r="M13" s="15"/>
      <c r="N13" s="15"/>
      <c r="O13" s="15"/>
      <c r="P13" s="15"/>
      <c r="Q13" s="15"/>
      <c r="R13" s="15"/>
      <c r="S13" s="15"/>
      <c r="T13" s="15"/>
      <c r="U13" s="15"/>
      <c r="V13" s="15"/>
      <c r="W13" s="15"/>
      <c r="X13" s="3">
        <f ca="1">IF(NOT(ISNUMBER(OFFSET(tblDimCultName[[#This Row],[Score]],-1,0))),1,SUM(OFFSET(tblDimCultName[[#This Row],[Score]],-1,0),-1/ROWS(tblDimCultName[Score])))</f>
        <v>0.72499999999999976</v>
      </c>
      <c r="Y13" s="15" t="s">
        <v>1107</v>
      </c>
      <c r="Z13" s="15"/>
    </row>
    <row r="14" spans="1:26" x14ac:dyDescent="0.2">
      <c r="A14" s="15"/>
      <c r="B14" s="15"/>
      <c r="C14" s="15"/>
      <c r="D14" s="15"/>
      <c r="E14" s="15"/>
      <c r="F14" s="15"/>
      <c r="G14" s="15"/>
      <c r="H14" s="15"/>
      <c r="I14" s="15"/>
      <c r="J14" s="15"/>
      <c r="K14" s="15"/>
      <c r="L14" s="15"/>
      <c r="M14" s="15"/>
      <c r="N14" s="15"/>
      <c r="O14" s="15"/>
      <c r="P14" s="15"/>
      <c r="Q14" s="15"/>
      <c r="R14" s="15"/>
      <c r="S14" s="15"/>
      <c r="T14" s="15"/>
      <c r="U14" s="15"/>
      <c r="V14" s="15"/>
      <c r="W14" s="15"/>
      <c r="X14" s="3">
        <f ca="1">IF(NOT(ISNUMBER(OFFSET(tblDimCultName[[#This Row],[Score]],-1,0))),1,SUM(OFFSET(tblDimCultName[[#This Row],[Score]],-1,0),-1/ROWS(tblDimCultName[Score])))</f>
        <v>0.69999999999999973</v>
      </c>
      <c r="Y14" s="15" t="s">
        <v>1108</v>
      </c>
      <c r="Z14" s="15"/>
    </row>
    <row r="15" spans="1:26" x14ac:dyDescent="0.2">
      <c r="A15" s="15"/>
      <c r="B15" s="15"/>
      <c r="C15" s="15"/>
      <c r="D15" s="15"/>
      <c r="E15" s="15"/>
      <c r="F15" s="15"/>
      <c r="G15" s="15"/>
      <c r="H15" s="15"/>
      <c r="I15" s="15"/>
      <c r="J15" s="15"/>
      <c r="K15" s="15"/>
      <c r="L15" s="15"/>
      <c r="M15" s="15"/>
      <c r="N15" s="15"/>
      <c r="O15" s="15"/>
      <c r="P15" s="15"/>
      <c r="Q15" s="15"/>
      <c r="R15" s="15"/>
      <c r="S15" s="15"/>
      <c r="T15" s="15"/>
      <c r="U15" s="15"/>
      <c r="V15" s="15"/>
      <c r="W15" s="15"/>
      <c r="X15" s="3">
        <f ca="1">IF(NOT(ISNUMBER(OFFSET(tblDimCultName[[#This Row],[Score]],-1,0))),1,SUM(OFFSET(tblDimCultName[[#This Row],[Score]],-1,0),-1/ROWS(tblDimCultName[Score])))</f>
        <v>0.67499999999999971</v>
      </c>
      <c r="Y15" s="15" t="s">
        <v>1109</v>
      </c>
      <c r="Z15" s="15"/>
    </row>
    <row r="16" spans="1:26" x14ac:dyDescent="0.2">
      <c r="A16" s="15"/>
      <c r="B16" s="15"/>
      <c r="C16" s="15"/>
      <c r="D16" s="15"/>
      <c r="E16" s="15"/>
      <c r="F16" s="15"/>
      <c r="G16" s="15"/>
      <c r="H16" s="15"/>
      <c r="I16" s="15"/>
      <c r="J16" s="15"/>
      <c r="K16" s="15"/>
      <c r="L16" s="15"/>
      <c r="M16" s="15"/>
      <c r="N16" s="15"/>
      <c r="O16" s="15"/>
      <c r="P16" s="15"/>
      <c r="Q16" s="15"/>
      <c r="R16" s="15"/>
      <c r="S16" s="15"/>
      <c r="T16" s="15"/>
      <c r="U16" s="15"/>
      <c r="V16" s="15"/>
      <c r="W16" s="15"/>
      <c r="X16" s="3">
        <f ca="1">IF(NOT(ISNUMBER(OFFSET(tblDimCultName[[#This Row],[Score]],-1,0))),1,SUM(OFFSET(tblDimCultName[[#This Row],[Score]],-1,0),-1/ROWS(tblDimCultName[Score])))</f>
        <v>0.64999999999999969</v>
      </c>
      <c r="Y16" s="15" t="s">
        <v>1110</v>
      </c>
      <c r="Z16" s="15"/>
    </row>
    <row r="17" spans="1:26" x14ac:dyDescent="0.2">
      <c r="A17" s="15"/>
      <c r="B17" s="15"/>
      <c r="C17" s="15"/>
      <c r="D17" s="15"/>
      <c r="E17" s="15"/>
      <c r="F17" s="15"/>
      <c r="G17" s="15"/>
      <c r="H17" s="15"/>
      <c r="I17" s="15"/>
      <c r="J17" s="15"/>
      <c r="K17" s="15"/>
      <c r="L17" s="15"/>
      <c r="M17" s="15"/>
      <c r="N17" s="15"/>
      <c r="O17" s="15"/>
      <c r="P17" s="15"/>
      <c r="Q17" s="15"/>
      <c r="R17" s="15"/>
      <c r="S17" s="15"/>
      <c r="T17" s="15"/>
      <c r="U17" s="15"/>
      <c r="V17" s="15"/>
      <c r="W17" s="15"/>
      <c r="X17" s="3">
        <f ca="1">IF(NOT(ISNUMBER(OFFSET(tblDimCultName[[#This Row],[Score]],-1,0))),1,SUM(OFFSET(tblDimCultName[[#This Row],[Score]],-1,0),-1/ROWS(tblDimCultName[Score])))</f>
        <v>0.62499999999999967</v>
      </c>
      <c r="Y17" s="15" t="s">
        <v>1111</v>
      </c>
      <c r="Z17" s="15"/>
    </row>
    <row r="18" spans="1:26" x14ac:dyDescent="0.2">
      <c r="A18" s="15"/>
      <c r="B18" s="15"/>
      <c r="C18" s="15"/>
      <c r="D18" s="15"/>
      <c r="E18" s="15"/>
      <c r="F18" s="15"/>
      <c r="G18" s="15"/>
      <c r="H18" s="15"/>
      <c r="I18" s="15"/>
      <c r="J18" s="15"/>
      <c r="K18" s="15"/>
      <c r="L18" s="15"/>
      <c r="M18" s="15"/>
      <c r="N18" s="15"/>
      <c r="O18" s="15"/>
      <c r="P18" s="15"/>
      <c r="Q18" s="15"/>
      <c r="R18" s="15"/>
      <c r="S18" s="15"/>
      <c r="T18" s="15"/>
      <c r="U18" s="15"/>
      <c r="V18" s="15"/>
      <c r="W18" s="15"/>
      <c r="X18" s="3">
        <f ca="1">IF(NOT(ISNUMBER(OFFSET(tblDimCultName[[#This Row],[Score]],-1,0))),1,SUM(OFFSET(tblDimCultName[[#This Row],[Score]],-1,0),-1/ROWS(tblDimCultName[Score])))</f>
        <v>0.59999999999999964</v>
      </c>
      <c r="Y18" s="15" t="s">
        <v>1112</v>
      </c>
      <c r="Z18" s="15"/>
    </row>
    <row r="19" spans="1:26" x14ac:dyDescent="0.2">
      <c r="A19" s="15"/>
      <c r="B19" s="15"/>
      <c r="C19" s="15"/>
      <c r="D19" s="15"/>
      <c r="E19" s="15"/>
      <c r="F19" s="15"/>
      <c r="G19" s="15"/>
      <c r="H19" s="15"/>
      <c r="I19" s="15"/>
      <c r="J19" s="15"/>
      <c r="K19" s="15"/>
      <c r="L19" s="15"/>
      <c r="M19" s="15"/>
      <c r="N19" s="15"/>
      <c r="O19" s="15"/>
      <c r="P19" s="15"/>
      <c r="Q19" s="15"/>
      <c r="R19" s="15"/>
      <c r="S19" s="15"/>
      <c r="T19" s="15"/>
      <c r="U19" s="15"/>
      <c r="V19" s="15"/>
      <c r="W19" s="15"/>
      <c r="X19" s="3">
        <f ca="1">IF(NOT(ISNUMBER(OFFSET(tblDimCultName[[#This Row],[Score]],-1,0))),1,SUM(OFFSET(tblDimCultName[[#This Row],[Score]],-1,0),-1/ROWS(tblDimCultName[Score])))</f>
        <v>0.57499999999999962</v>
      </c>
      <c r="Y19" s="15" t="s">
        <v>1113</v>
      </c>
      <c r="Z19" s="15"/>
    </row>
    <row r="20" spans="1:26" x14ac:dyDescent="0.2">
      <c r="A20" s="15"/>
      <c r="B20" s="15"/>
      <c r="C20" s="15"/>
      <c r="D20" s="15"/>
      <c r="E20" s="15"/>
      <c r="F20" s="15"/>
      <c r="G20" s="15"/>
      <c r="H20" s="15"/>
      <c r="I20" s="15"/>
      <c r="J20" s="15"/>
      <c r="K20" s="15"/>
      <c r="L20" s="15"/>
      <c r="M20" s="15"/>
      <c r="N20" s="15"/>
      <c r="O20" s="15"/>
      <c r="P20" s="15"/>
      <c r="Q20" s="15"/>
      <c r="R20" s="15"/>
      <c r="S20" s="15"/>
      <c r="T20" s="15"/>
      <c r="U20" s="15"/>
      <c r="V20" s="15"/>
      <c r="W20" s="15"/>
      <c r="X20" s="3">
        <f ca="1">IF(NOT(ISNUMBER(OFFSET(tblDimCultName[[#This Row],[Score]],-1,0))),1,SUM(OFFSET(tblDimCultName[[#This Row],[Score]],-1,0),-1/ROWS(tblDimCultName[Score])))</f>
        <v>0.5499999999999996</v>
      </c>
      <c r="Y20" s="15" t="s">
        <v>1114</v>
      </c>
      <c r="Z20" s="15"/>
    </row>
    <row r="21" spans="1:26" x14ac:dyDescent="0.2">
      <c r="A21" s="15"/>
      <c r="B21" s="15"/>
      <c r="C21" s="15"/>
      <c r="D21" s="15"/>
      <c r="E21" s="15"/>
      <c r="F21" s="15"/>
      <c r="G21" s="15"/>
      <c r="H21" s="15"/>
      <c r="I21" s="15"/>
      <c r="J21" s="15"/>
      <c r="K21" s="15"/>
      <c r="L21" s="15"/>
      <c r="M21" s="15"/>
      <c r="N21" s="15"/>
      <c r="O21" s="15"/>
      <c r="P21" s="15"/>
      <c r="Q21" s="15"/>
      <c r="R21" s="15"/>
      <c r="S21" s="15"/>
      <c r="T21" s="15"/>
      <c r="U21" s="15"/>
      <c r="V21" s="15"/>
      <c r="W21" s="15"/>
      <c r="X21" s="3">
        <f ca="1">IF(NOT(ISNUMBER(OFFSET(tblDimCultName[[#This Row],[Score]],-1,0))),1,SUM(OFFSET(tblDimCultName[[#This Row],[Score]],-1,0),-1/ROWS(tblDimCultName[Score])))</f>
        <v>0.52499999999999958</v>
      </c>
      <c r="Y21" s="15" t="s">
        <v>1115</v>
      </c>
      <c r="Z21" s="15"/>
    </row>
    <row r="22" spans="1:26" x14ac:dyDescent="0.2">
      <c r="A22" s="15"/>
      <c r="B22" s="15"/>
      <c r="C22" s="15"/>
      <c r="D22" s="15"/>
      <c r="E22" s="15"/>
      <c r="F22" s="15"/>
      <c r="G22" s="15"/>
      <c r="H22" s="15"/>
      <c r="I22" s="15"/>
      <c r="J22" s="15"/>
      <c r="K22" s="15"/>
      <c r="L22" s="15"/>
      <c r="M22" s="15"/>
      <c r="N22" s="15"/>
      <c r="O22" s="15"/>
      <c r="P22" s="15"/>
      <c r="Q22" s="15"/>
      <c r="R22" s="15"/>
      <c r="S22" s="15"/>
      <c r="T22" s="15"/>
      <c r="U22" s="15"/>
      <c r="V22" s="15"/>
      <c r="W22" s="15"/>
      <c r="X22" s="3">
        <f ca="1">IF(NOT(ISNUMBER(OFFSET(tblDimCultName[[#This Row],[Score]],-1,0))),1,SUM(OFFSET(tblDimCultName[[#This Row],[Score]],-1,0),-1/ROWS(tblDimCultName[Score])))</f>
        <v>0.49999999999999956</v>
      </c>
      <c r="Y22" s="15" t="s">
        <v>1116</v>
      </c>
      <c r="Z22" s="15"/>
    </row>
    <row r="23" spans="1:26" x14ac:dyDescent="0.2">
      <c r="A23" s="15"/>
      <c r="B23" s="15"/>
      <c r="C23" s="15"/>
      <c r="D23" s="15"/>
      <c r="E23" s="15"/>
      <c r="F23" s="15"/>
      <c r="G23" s="15"/>
      <c r="H23" s="15"/>
      <c r="I23" s="15"/>
      <c r="J23" s="15"/>
      <c r="K23" s="15"/>
      <c r="L23" s="15"/>
      <c r="M23" s="15"/>
      <c r="N23" s="15"/>
      <c r="O23" s="15"/>
      <c r="P23" s="15"/>
      <c r="Q23" s="15"/>
      <c r="R23" s="15"/>
      <c r="S23" s="15"/>
      <c r="T23" s="15"/>
      <c r="U23" s="15"/>
      <c r="V23" s="15"/>
      <c r="W23" s="15"/>
      <c r="X23" s="3">
        <f ca="1">IF(NOT(ISNUMBER(OFFSET(tblDimCultName[[#This Row],[Score]],-1,0))),1,SUM(OFFSET(tblDimCultName[[#This Row],[Score]],-1,0),-1/ROWS(tblDimCultName[Score])))</f>
        <v>0.47499999999999953</v>
      </c>
      <c r="Y23" s="15" t="s">
        <v>1117</v>
      </c>
      <c r="Z23" s="15"/>
    </row>
    <row r="24" spans="1:26" x14ac:dyDescent="0.2">
      <c r="A24" s="15"/>
      <c r="B24" s="15"/>
      <c r="C24" s="15"/>
      <c r="D24" s="15"/>
      <c r="E24" s="15"/>
      <c r="F24" s="15"/>
      <c r="G24" s="15"/>
      <c r="H24" s="15"/>
      <c r="I24" s="15"/>
      <c r="J24" s="15"/>
      <c r="K24" s="15"/>
      <c r="L24" s="15"/>
      <c r="M24" s="15"/>
      <c r="N24" s="15"/>
      <c r="O24" s="15"/>
      <c r="P24" s="15"/>
      <c r="Q24" s="15"/>
      <c r="R24" s="15"/>
      <c r="S24" s="15"/>
      <c r="T24" s="15"/>
      <c r="U24" s="15"/>
      <c r="V24" s="15"/>
      <c r="W24" s="15"/>
      <c r="X24" s="3">
        <f ca="1">IF(NOT(ISNUMBER(OFFSET(tblDimCultName[[#This Row],[Score]],-1,0))),1,SUM(OFFSET(tblDimCultName[[#This Row],[Score]],-1,0),-1/ROWS(tblDimCultName[Score])))</f>
        <v>0.44999999999999951</v>
      </c>
      <c r="Y24" s="15" t="s">
        <v>1118</v>
      </c>
      <c r="Z24" s="15"/>
    </row>
    <row r="25" spans="1:26" x14ac:dyDescent="0.2">
      <c r="A25" s="15"/>
      <c r="B25" s="15"/>
      <c r="C25" s="15"/>
      <c r="D25" s="15"/>
      <c r="E25" s="15"/>
      <c r="F25" s="15"/>
      <c r="G25" s="15"/>
      <c r="H25" s="15"/>
      <c r="I25" s="15"/>
      <c r="J25" s="15"/>
      <c r="K25" s="15"/>
      <c r="L25" s="15"/>
      <c r="M25" s="15"/>
      <c r="N25" s="15"/>
      <c r="O25" s="15"/>
      <c r="P25" s="15"/>
      <c r="Q25" s="15"/>
      <c r="R25" s="15"/>
      <c r="S25" s="15"/>
      <c r="T25" s="15"/>
      <c r="U25" s="15"/>
      <c r="V25" s="15"/>
      <c r="W25" s="15"/>
      <c r="X25" s="3">
        <f ca="1">IF(NOT(ISNUMBER(OFFSET(tblDimCultName[[#This Row],[Score]],-1,0))),1,SUM(OFFSET(tblDimCultName[[#This Row],[Score]],-1,0),-1/ROWS(tblDimCultName[Score])))</f>
        <v>0.42499999999999949</v>
      </c>
      <c r="Y25" s="15" t="s">
        <v>1119</v>
      </c>
      <c r="Z25" s="15"/>
    </row>
    <row r="26" spans="1:26" x14ac:dyDescent="0.2">
      <c r="A26" s="15"/>
      <c r="B26" s="15"/>
      <c r="C26" s="15"/>
      <c r="D26" s="15"/>
      <c r="E26" s="15"/>
      <c r="F26" s="15"/>
      <c r="G26" s="15"/>
      <c r="H26" s="15"/>
      <c r="I26" s="15"/>
      <c r="J26" s="15"/>
      <c r="K26" s="15"/>
      <c r="L26" s="15"/>
      <c r="M26" s="15"/>
      <c r="N26" s="15"/>
      <c r="O26" s="15"/>
      <c r="P26" s="15"/>
      <c r="Q26" s="15"/>
      <c r="R26" s="15"/>
      <c r="S26" s="15"/>
      <c r="T26" s="15"/>
      <c r="U26" s="15"/>
      <c r="V26" s="15"/>
      <c r="W26" s="15"/>
      <c r="X26" s="3">
        <f ca="1">IF(NOT(ISNUMBER(OFFSET(tblDimCultName[[#This Row],[Score]],-1,0))),1,SUM(OFFSET(tblDimCultName[[#This Row],[Score]],-1,0),-1/ROWS(tblDimCultName[Score])))</f>
        <v>0.39999999999999947</v>
      </c>
      <c r="Y26" s="15" t="s">
        <v>1120</v>
      </c>
      <c r="Z26" s="15"/>
    </row>
    <row r="27" spans="1:26" x14ac:dyDescent="0.2">
      <c r="A27" s="15"/>
      <c r="B27" s="15"/>
      <c r="C27" s="15"/>
      <c r="D27" s="15"/>
      <c r="E27" s="15"/>
      <c r="F27" s="15"/>
      <c r="G27" s="15"/>
      <c r="H27" s="15"/>
      <c r="I27" s="15"/>
      <c r="J27" s="15"/>
      <c r="K27" s="15"/>
      <c r="L27" s="15"/>
      <c r="M27" s="15"/>
      <c r="N27" s="15"/>
      <c r="O27" s="15"/>
      <c r="P27" s="15"/>
      <c r="Q27" s="15"/>
      <c r="R27" s="15"/>
      <c r="S27" s="15"/>
      <c r="T27" s="15"/>
      <c r="U27" s="15"/>
      <c r="V27" s="15"/>
      <c r="W27" s="15"/>
      <c r="X27" s="3">
        <f ca="1">IF(NOT(ISNUMBER(OFFSET(tblDimCultName[[#This Row],[Score]],-1,0))),1,SUM(OFFSET(tblDimCultName[[#This Row],[Score]],-1,0),-1/ROWS(tblDimCultName[Score])))</f>
        <v>0.37499999999999944</v>
      </c>
      <c r="Y27" s="15" t="s">
        <v>1121</v>
      </c>
      <c r="Z27" s="15"/>
    </row>
    <row r="28" spans="1:26" x14ac:dyDescent="0.2">
      <c r="A28" s="15"/>
      <c r="B28" s="15"/>
      <c r="C28" s="15"/>
      <c r="D28" s="15"/>
      <c r="E28" s="15"/>
      <c r="F28" s="15"/>
      <c r="G28" s="15"/>
      <c r="H28" s="15"/>
      <c r="I28" s="15"/>
      <c r="J28" s="15"/>
      <c r="K28" s="15"/>
      <c r="L28" s="15"/>
      <c r="M28" s="15"/>
      <c r="N28" s="15"/>
      <c r="O28" s="15"/>
      <c r="P28" s="15"/>
      <c r="Q28" s="15"/>
      <c r="R28" s="15"/>
      <c r="S28" s="15"/>
      <c r="T28" s="15"/>
      <c r="U28" s="15"/>
      <c r="V28" s="15"/>
      <c r="W28" s="15"/>
      <c r="X28" s="3">
        <f ca="1">IF(NOT(ISNUMBER(OFFSET(tblDimCultName[[#This Row],[Score]],-1,0))),1,SUM(OFFSET(tblDimCultName[[#This Row],[Score]],-1,0),-1/ROWS(tblDimCultName[Score])))</f>
        <v>0.34999999999999942</v>
      </c>
      <c r="Y28" s="15" t="s">
        <v>1122</v>
      </c>
      <c r="Z28" s="15"/>
    </row>
    <row r="29" spans="1:26" x14ac:dyDescent="0.2">
      <c r="A29" s="15"/>
      <c r="B29" s="15"/>
      <c r="C29" s="15"/>
      <c r="D29" s="15"/>
      <c r="E29" s="15"/>
      <c r="F29" s="15"/>
      <c r="G29" s="15"/>
      <c r="H29" s="15"/>
      <c r="I29" s="15"/>
      <c r="J29" s="15"/>
      <c r="K29" s="15"/>
      <c r="L29" s="15"/>
      <c r="M29" s="15"/>
      <c r="N29" s="15"/>
      <c r="O29" s="15"/>
      <c r="P29" s="15"/>
      <c r="Q29" s="15"/>
      <c r="R29" s="15"/>
      <c r="S29" s="15"/>
      <c r="T29" s="15"/>
      <c r="U29" s="15"/>
      <c r="V29" s="15"/>
      <c r="W29" s="15"/>
      <c r="X29" s="3">
        <f ca="1">IF(NOT(ISNUMBER(OFFSET(tblDimCultName[[#This Row],[Score]],-1,0))),1,SUM(OFFSET(tblDimCultName[[#This Row],[Score]],-1,0),-1/ROWS(tblDimCultName[Score])))</f>
        <v>0.3249999999999994</v>
      </c>
      <c r="Y29" s="15" t="s">
        <v>1123</v>
      </c>
      <c r="Z29" s="15"/>
    </row>
    <row r="30" spans="1:26" x14ac:dyDescent="0.2">
      <c r="A30" s="15"/>
      <c r="B30" s="15"/>
      <c r="C30" s="15"/>
      <c r="D30" s="15"/>
      <c r="E30" s="15"/>
      <c r="F30" s="15"/>
      <c r="G30" s="15"/>
      <c r="H30" s="15"/>
      <c r="I30" s="15"/>
      <c r="J30" s="15"/>
      <c r="K30" s="15"/>
      <c r="L30" s="15"/>
      <c r="M30" s="15"/>
      <c r="N30" s="15"/>
      <c r="O30" s="15"/>
      <c r="P30" s="15"/>
      <c r="Q30" s="15"/>
      <c r="R30" s="15"/>
      <c r="S30" s="15"/>
      <c r="T30" s="15"/>
      <c r="U30" s="15"/>
      <c r="V30" s="15"/>
      <c r="W30" s="15"/>
      <c r="X30" s="3">
        <f ca="1">IF(NOT(ISNUMBER(OFFSET(tblDimCultName[[#This Row],[Score]],-1,0))),1,SUM(OFFSET(tblDimCultName[[#This Row],[Score]],-1,0),-1/ROWS(tblDimCultName[Score])))</f>
        <v>0.29999999999999938</v>
      </c>
      <c r="Y30" s="15" t="s">
        <v>1124</v>
      </c>
      <c r="Z30" s="15"/>
    </row>
    <row r="31" spans="1:26" x14ac:dyDescent="0.2">
      <c r="A31" s="15"/>
      <c r="B31" s="15"/>
      <c r="C31" s="15"/>
      <c r="D31" s="15"/>
      <c r="E31" s="15"/>
      <c r="F31" s="15"/>
      <c r="G31" s="15"/>
      <c r="H31" s="15"/>
      <c r="I31" s="15"/>
      <c r="J31" s="15"/>
      <c r="K31" s="15"/>
      <c r="L31" s="15"/>
      <c r="M31" s="15"/>
      <c r="N31" s="15"/>
      <c r="O31" s="15"/>
      <c r="P31" s="15"/>
      <c r="Q31" s="15"/>
      <c r="R31" s="15"/>
      <c r="S31" s="15"/>
      <c r="T31" s="15"/>
      <c r="U31" s="15"/>
      <c r="V31" s="15"/>
      <c r="W31" s="15"/>
      <c r="X31" s="3">
        <f ca="1">IF(NOT(ISNUMBER(OFFSET(tblDimCultName[[#This Row],[Score]],-1,0))),1,SUM(OFFSET(tblDimCultName[[#This Row],[Score]],-1,0),-1/ROWS(tblDimCultName[Score])))</f>
        <v>0.27499999999999936</v>
      </c>
      <c r="Y31" s="15" t="s">
        <v>1125</v>
      </c>
      <c r="Z31" s="15"/>
    </row>
    <row r="32" spans="1:26" x14ac:dyDescent="0.2">
      <c r="A32" s="15"/>
      <c r="B32" s="15"/>
      <c r="C32" s="15"/>
      <c r="D32" s="15"/>
      <c r="E32" s="15"/>
      <c r="F32" s="15"/>
      <c r="G32" s="15"/>
      <c r="H32" s="15"/>
      <c r="I32" s="15"/>
      <c r="J32" s="15"/>
      <c r="K32" s="15"/>
      <c r="L32" s="15"/>
      <c r="M32" s="15"/>
      <c r="N32" s="15"/>
      <c r="O32" s="15"/>
      <c r="P32" s="15"/>
      <c r="Q32" s="15"/>
      <c r="R32" s="15"/>
      <c r="S32" s="15"/>
      <c r="T32" s="15"/>
      <c r="U32" s="15"/>
      <c r="V32" s="15"/>
      <c r="W32" s="15"/>
      <c r="X32" s="3">
        <f ca="1">IF(NOT(ISNUMBER(OFFSET(tblDimCultName[[#This Row],[Score]],-1,0))),1,SUM(OFFSET(tblDimCultName[[#This Row],[Score]],-1,0),-1/ROWS(tblDimCultName[Score])))</f>
        <v>0.24999999999999936</v>
      </c>
      <c r="Y32" s="15" t="s">
        <v>1126</v>
      </c>
      <c r="Z32" s="15"/>
    </row>
    <row r="33" spans="1:26" x14ac:dyDescent="0.2">
      <c r="A33" s="15"/>
      <c r="B33" s="15"/>
      <c r="C33" s="15"/>
      <c r="D33" s="15"/>
      <c r="E33" s="15"/>
      <c r="F33" s="15"/>
      <c r="G33" s="15"/>
      <c r="H33" s="15"/>
      <c r="I33" s="15"/>
      <c r="J33" s="15"/>
      <c r="K33" s="15"/>
      <c r="L33" s="15"/>
      <c r="M33" s="15"/>
      <c r="N33" s="15"/>
      <c r="O33" s="15"/>
      <c r="P33" s="15"/>
      <c r="Q33" s="15"/>
      <c r="R33" s="15"/>
      <c r="S33" s="15"/>
      <c r="T33" s="15"/>
      <c r="U33" s="15"/>
      <c r="V33" s="15"/>
      <c r="W33" s="15"/>
      <c r="X33" s="3">
        <f ca="1">IF(NOT(ISNUMBER(OFFSET(tblDimCultName[[#This Row],[Score]],-1,0))),1,SUM(OFFSET(tblDimCultName[[#This Row],[Score]],-1,0),-1/ROWS(tblDimCultName[Score])))</f>
        <v>0.22499999999999937</v>
      </c>
      <c r="Y33" s="15" t="s">
        <v>1127</v>
      </c>
      <c r="Z33" s="15"/>
    </row>
    <row r="34" spans="1:26" x14ac:dyDescent="0.2">
      <c r="A34" s="15"/>
      <c r="B34" s="15"/>
      <c r="C34" s="15"/>
      <c r="D34" s="15"/>
      <c r="E34" s="15"/>
      <c r="F34" s="15"/>
      <c r="G34" s="15"/>
      <c r="H34" s="15"/>
      <c r="I34" s="15"/>
      <c r="J34" s="15"/>
      <c r="K34" s="15"/>
      <c r="L34" s="15"/>
      <c r="M34" s="15"/>
      <c r="N34" s="15"/>
      <c r="O34" s="15"/>
      <c r="P34" s="15"/>
      <c r="Q34" s="15"/>
      <c r="R34" s="15"/>
      <c r="S34" s="15"/>
      <c r="T34" s="15"/>
      <c r="U34" s="15"/>
      <c r="V34" s="15"/>
      <c r="W34" s="15"/>
      <c r="X34" s="3">
        <f ca="1">IF(NOT(ISNUMBER(OFFSET(tblDimCultName[[#This Row],[Score]],-1,0))),1,SUM(OFFSET(tblDimCultName[[#This Row],[Score]],-1,0),-1/ROWS(tblDimCultName[Score])))</f>
        <v>0.19999999999999937</v>
      </c>
      <c r="Y34" s="15" t="s">
        <v>1128</v>
      </c>
      <c r="Z34" s="15"/>
    </row>
    <row r="35" spans="1:26" x14ac:dyDescent="0.2">
      <c r="A35" s="15"/>
      <c r="B35" s="15"/>
      <c r="C35" s="15"/>
      <c r="D35" s="15"/>
      <c r="E35" s="15"/>
      <c r="F35" s="15"/>
      <c r="G35" s="15"/>
      <c r="H35" s="15"/>
      <c r="I35" s="15"/>
      <c r="J35" s="15"/>
      <c r="K35" s="15"/>
      <c r="L35" s="15"/>
      <c r="M35" s="15"/>
      <c r="N35" s="15"/>
      <c r="O35" s="15"/>
      <c r="P35" s="15"/>
      <c r="Q35" s="15"/>
      <c r="R35" s="15"/>
      <c r="S35" s="15"/>
      <c r="T35" s="15"/>
      <c r="U35" s="15"/>
      <c r="V35" s="15"/>
      <c r="W35" s="15"/>
      <c r="X35" s="3">
        <f ca="1">IF(NOT(ISNUMBER(OFFSET(tblDimCultName[[#This Row],[Score]],-1,0))),1,SUM(OFFSET(tblDimCultName[[#This Row],[Score]],-1,0),-1/ROWS(tblDimCultName[Score])))</f>
        <v>0.17499999999999938</v>
      </c>
      <c r="Y35" s="15" t="s">
        <v>1129</v>
      </c>
      <c r="Z35" s="15"/>
    </row>
    <row r="36" spans="1:26" x14ac:dyDescent="0.2">
      <c r="A36" s="15"/>
      <c r="B36" s="15"/>
      <c r="C36" s="15"/>
      <c r="D36" s="15"/>
      <c r="E36" s="15"/>
      <c r="F36" s="15"/>
      <c r="G36" s="15"/>
      <c r="H36" s="15"/>
      <c r="I36" s="15"/>
      <c r="J36" s="15"/>
      <c r="K36" s="15"/>
      <c r="L36" s="15"/>
      <c r="M36" s="15"/>
      <c r="N36" s="15"/>
      <c r="O36" s="15"/>
      <c r="P36" s="15"/>
      <c r="Q36" s="15"/>
      <c r="R36" s="15"/>
      <c r="S36" s="15"/>
      <c r="T36" s="15"/>
      <c r="U36" s="15"/>
      <c r="V36" s="15"/>
      <c r="W36" s="15"/>
      <c r="X36" s="3">
        <f ca="1">IF(NOT(ISNUMBER(OFFSET(tblDimCultName[[#This Row],[Score]],-1,0))),1,SUM(OFFSET(tblDimCultName[[#This Row],[Score]],-1,0),-1/ROWS(tblDimCultName[Score])))</f>
        <v>0.14999999999999938</v>
      </c>
      <c r="Y36" s="15" t="s">
        <v>1130</v>
      </c>
      <c r="Z36" s="15"/>
    </row>
    <row r="37" spans="1:26" x14ac:dyDescent="0.2">
      <c r="A37" s="15"/>
      <c r="B37" s="15"/>
      <c r="C37" s="15"/>
      <c r="D37" s="15"/>
      <c r="E37" s="15"/>
      <c r="F37" s="15"/>
      <c r="G37" s="15"/>
      <c r="H37" s="15"/>
      <c r="I37" s="15"/>
      <c r="J37" s="15"/>
      <c r="K37" s="15"/>
      <c r="L37" s="15"/>
      <c r="M37" s="15"/>
      <c r="N37" s="15"/>
      <c r="O37" s="15"/>
      <c r="P37" s="15"/>
      <c r="Q37" s="15"/>
      <c r="R37" s="15"/>
      <c r="S37" s="15"/>
      <c r="T37" s="15"/>
      <c r="U37" s="15"/>
      <c r="V37" s="15"/>
      <c r="W37" s="15"/>
      <c r="X37" s="3">
        <f ca="1">IF(NOT(ISNUMBER(OFFSET(tblDimCultName[[#This Row],[Score]],-1,0))),1,SUM(OFFSET(tblDimCultName[[#This Row],[Score]],-1,0),-1/ROWS(tblDimCultName[Score])))</f>
        <v>0.12499999999999939</v>
      </c>
      <c r="Y37" s="15" t="s">
        <v>1131</v>
      </c>
      <c r="Z37" s="15"/>
    </row>
    <row r="38" spans="1:26" x14ac:dyDescent="0.2">
      <c r="A38" s="15"/>
      <c r="B38" s="15"/>
      <c r="C38" s="15"/>
      <c r="D38" s="15"/>
      <c r="E38" s="15"/>
      <c r="F38" s="15"/>
      <c r="G38" s="15"/>
      <c r="H38" s="15"/>
      <c r="I38" s="15"/>
      <c r="J38" s="15"/>
      <c r="K38" s="15"/>
      <c r="L38" s="15"/>
      <c r="M38" s="15"/>
      <c r="N38" s="15"/>
      <c r="O38" s="15"/>
      <c r="P38" s="15"/>
      <c r="Q38" s="15"/>
      <c r="R38" s="15"/>
      <c r="S38" s="15"/>
      <c r="T38" s="15"/>
      <c r="U38" s="15"/>
      <c r="V38" s="15"/>
      <c r="W38" s="15"/>
      <c r="X38" s="3">
        <f ca="1">IF(NOT(ISNUMBER(OFFSET(tblDimCultName[[#This Row],[Score]],-1,0))),1,SUM(OFFSET(tblDimCultName[[#This Row],[Score]],-1,0),-1/ROWS(tblDimCultName[Score])))</f>
        <v>9.9999999999999395E-2</v>
      </c>
      <c r="Y38" s="15" t="s">
        <v>1132</v>
      </c>
      <c r="Z38" s="15"/>
    </row>
    <row r="39" spans="1:26" x14ac:dyDescent="0.2">
      <c r="A39" s="15"/>
      <c r="B39" s="15"/>
      <c r="C39" s="15"/>
      <c r="D39" s="15"/>
      <c r="E39" s="15"/>
      <c r="F39" s="15"/>
      <c r="G39" s="15"/>
      <c r="H39" s="15"/>
      <c r="I39" s="15"/>
      <c r="J39" s="15"/>
      <c r="K39" s="15"/>
      <c r="L39" s="15"/>
      <c r="M39" s="15"/>
      <c r="N39" s="15"/>
      <c r="O39" s="15"/>
      <c r="P39" s="15"/>
      <c r="Q39" s="15"/>
      <c r="R39" s="15"/>
      <c r="S39" s="15"/>
      <c r="T39" s="15"/>
      <c r="U39" s="15"/>
      <c r="V39" s="15"/>
      <c r="W39" s="15"/>
      <c r="X39" s="3">
        <f ca="1">IF(NOT(ISNUMBER(OFFSET(tblDimCultName[[#This Row],[Score]],-1,0))),1,SUM(OFFSET(tblDimCultName[[#This Row],[Score]],-1,0),-1/ROWS(tblDimCultName[Score])))</f>
        <v>7.49999999999994E-2</v>
      </c>
      <c r="Y39" s="15" t="s">
        <v>1133</v>
      </c>
      <c r="Z39" s="15"/>
    </row>
    <row r="40" spans="1:26" x14ac:dyDescent="0.2">
      <c r="A40" s="15"/>
      <c r="B40" s="15"/>
      <c r="C40" s="15"/>
      <c r="D40" s="15"/>
      <c r="E40" s="15"/>
      <c r="F40" s="15"/>
      <c r="G40" s="15"/>
      <c r="H40" s="15"/>
      <c r="I40" s="15"/>
      <c r="J40" s="15"/>
      <c r="K40" s="15"/>
      <c r="L40" s="15"/>
      <c r="M40" s="15"/>
      <c r="N40" s="15"/>
      <c r="O40" s="15"/>
      <c r="P40" s="15"/>
      <c r="Q40" s="15"/>
      <c r="R40" s="15"/>
      <c r="S40" s="15"/>
      <c r="T40" s="15"/>
      <c r="U40" s="15"/>
      <c r="V40" s="15"/>
      <c r="W40" s="15"/>
      <c r="X40" s="3">
        <f ca="1">IF(NOT(ISNUMBER(OFFSET(tblDimCultName[[#This Row],[Score]],-1,0))),1,SUM(OFFSET(tblDimCultName[[#This Row],[Score]],-1,0),-1/ROWS(tblDimCultName[Score])))</f>
        <v>4.9999999999999399E-2</v>
      </c>
      <c r="Y40" s="15" t="s">
        <v>1134</v>
      </c>
      <c r="Z40" s="15"/>
    </row>
    <row r="41" spans="1:26" x14ac:dyDescent="0.2">
      <c r="A41" s="15"/>
      <c r="B41" s="15"/>
      <c r="C41" s="15"/>
      <c r="D41" s="15"/>
      <c r="E41" s="15"/>
      <c r="F41" s="15"/>
      <c r="G41" s="15"/>
      <c r="H41" s="15"/>
      <c r="I41" s="15"/>
      <c r="J41" s="15"/>
      <c r="K41" s="15"/>
      <c r="L41" s="15"/>
      <c r="M41" s="15"/>
      <c r="N41" s="15"/>
      <c r="O41" s="15"/>
      <c r="P41" s="15"/>
      <c r="Q41" s="15"/>
      <c r="R41" s="15"/>
      <c r="S41" s="15"/>
      <c r="T41" s="15"/>
      <c r="U41" s="15"/>
      <c r="V41" s="15"/>
      <c r="W41" s="15"/>
      <c r="X41" s="3">
        <f ca="1">IF(NOT(ISNUMBER(OFFSET(tblDimCultName[[#This Row],[Score]],-1,0))),1,SUM(OFFSET(tblDimCultName[[#This Row],[Score]],-1,0),-1/ROWS(tblDimCultName[Score])))</f>
        <v>2.4999999999999398E-2</v>
      </c>
      <c r="Y41" s="15" t="s">
        <v>1135</v>
      </c>
      <c r="Z41" s="15"/>
    </row>
  </sheetData>
  <pageMargins left="0.7" right="0.7" top="0.75" bottom="0.75" header="0.3" footer="0.3"/>
  <tableParts count="8">
    <tablePart r:id="rId1"/>
    <tablePart r:id="rId2"/>
    <tablePart r:id="rId3"/>
    <tablePart r:id="rId4"/>
    <tablePart r:id="rId5"/>
    <tablePart r:id="rId6"/>
    <tablePart r:id="rId7"/>
    <tablePart r:id="rId8"/>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E38"/>
  <sheetViews>
    <sheetView zoomScale="75" zoomScaleNormal="75" zoomScalePageLayoutView="75" workbookViewId="0">
      <selection activeCell="A2" sqref="A2:A38"/>
    </sheetView>
  </sheetViews>
  <sheetFormatPr baseColWidth="10" defaultColWidth="9" defaultRowHeight="15" x14ac:dyDescent="0.2"/>
  <cols>
    <col min="1" max="1" width="8" style="21" bestFit="1" customWidth="1"/>
    <col min="2" max="2" width="35.796875" style="21" bestFit="1" customWidth="1"/>
    <col min="3" max="3" width="12.3984375" style="21" bestFit="1" customWidth="1"/>
    <col min="4" max="4" width="20.796875" style="21" bestFit="1" customWidth="1"/>
    <col min="5" max="5" width="71.59765625" style="21" bestFit="1" customWidth="1"/>
    <col min="6" max="16384" width="9" style="21"/>
  </cols>
  <sheetData>
    <row r="1" spans="1:5" x14ac:dyDescent="0.2">
      <c r="A1" s="15" t="s">
        <v>0</v>
      </c>
      <c r="B1" s="15" t="s">
        <v>1136</v>
      </c>
      <c r="C1" s="15" t="s">
        <v>48</v>
      </c>
      <c r="D1" s="15" t="s">
        <v>1137</v>
      </c>
      <c r="E1" s="15" t="s">
        <v>1138</v>
      </c>
    </row>
    <row r="2" spans="1:5" x14ac:dyDescent="0.2">
      <c r="A2" s="34">
        <f ca="1">IF(NOT(ISNUMBER(OFFSET(tblDimDiety[[#This Row],[Score]],-1,0))),1,SUM(OFFSET(tblDimDiety[[#This Row],[Score]],-1,0),-1/ROWS(tblDimDiety[Score])))</f>
        <v>1</v>
      </c>
      <c r="B2" s="15" t="s">
        <v>1139</v>
      </c>
      <c r="C2" s="15" t="s">
        <v>1140</v>
      </c>
      <c r="D2" s="15" t="s">
        <v>1141</v>
      </c>
      <c r="E2" s="15" t="s">
        <v>1142</v>
      </c>
    </row>
    <row r="3" spans="1:5" x14ac:dyDescent="0.2">
      <c r="A3" s="3">
        <f ca="1">IF(NOT(ISNUMBER(OFFSET(tblDimDiety[[#This Row],[Score]],-1,0))),1,SUM(OFFSET(tblDimDiety[[#This Row],[Score]],-1,0),-1/ROWS(tblDimDiety[Score])))</f>
        <v>0.97297297297297303</v>
      </c>
      <c r="B3" s="15" t="s">
        <v>1143</v>
      </c>
      <c r="C3" s="15" t="s">
        <v>1144</v>
      </c>
      <c r="D3" s="15" t="s">
        <v>1145</v>
      </c>
      <c r="E3" s="15" t="s">
        <v>1146</v>
      </c>
    </row>
    <row r="4" spans="1:5" x14ac:dyDescent="0.2">
      <c r="A4" s="3">
        <f ca="1">IF(NOT(ISNUMBER(OFFSET(tblDimDiety[[#This Row],[Score]],-1,0))),1,SUM(OFFSET(tblDimDiety[[#This Row],[Score]],-1,0),-1/ROWS(tblDimDiety[Score])))</f>
        <v>0.94594594594594605</v>
      </c>
      <c r="B4" s="15" t="s">
        <v>1147</v>
      </c>
      <c r="C4" s="15" t="s">
        <v>1148</v>
      </c>
      <c r="D4" s="15" t="s">
        <v>841</v>
      </c>
      <c r="E4" s="15" t="s">
        <v>1149</v>
      </c>
    </row>
    <row r="5" spans="1:5" x14ac:dyDescent="0.2">
      <c r="A5" s="3">
        <f ca="1">IF(NOT(ISNUMBER(OFFSET(tblDimDiety[[#This Row],[Score]],-1,0))),1,SUM(OFFSET(tblDimDiety[[#This Row],[Score]],-1,0),-1/ROWS(tblDimDiety[Score])))</f>
        <v>0.91891891891891908</v>
      </c>
      <c r="B5" s="15" t="s">
        <v>1150</v>
      </c>
      <c r="C5" s="15" t="s">
        <v>1151</v>
      </c>
      <c r="D5" s="15" t="s">
        <v>1152</v>
      </c>
      <c r="E5" s="15" t="s">
        <v>1153</v>
      </c>
    </row>
    <row r="6" spans="1:5" x14ac:dyDescent="0.2">
      <c r="A6" s="3">
        <f ca="1">IF(NOT(ISNUMBER(OFFSET(tblDimDiety[[#This Row],[Score]],-1,0))),1,SUM(OFFSET(tblDimDiety[[#This Row],[Score]],-1,0),-1/ROWS(tblDimDiety[Score])))</f>
        <v>0.89189189189189211</v>
      </c>
      <c r="B6" s="15" t="s">
        <v>1154</v>
      </c>
      <c r="C6" s="15" t="s">
        <v>1140</v>
      </c>
      <c r="D6" s="15" t="s">
        <v>1155</v>
      </c>
      <c r="E6" s="15" t="s">
        <v>1156</v>
      </c>
    </row>
    <row r="7" spans="1:5" x14ac:dyDescent="0.2">
      <c r="A7" s="3">
        <f ca="1">IF(NOT(ISNUMBER(OFFSET(tblDimDiety[[#This Row],[Score]],-1,0))),1,SUM(OFFSET(tblDimDiety[[#This Row],[Score]],-1,0),-1/ROWS(tblDimDiety[Score])))</f>
        <v>0.86486486486486513</v>
      </c>
      <c r="B7" s="15" t="s">
        <v>1157</v>
      </c>
      <c r="C7" s="15" t="s">
        <v>1158</v>
      </c>
      <c r="D7" s="15" t="s">
        <v>1159</v>
      </c>
      <c r="E7" s="15" t="s">
        <v>1160</v>
      </c>
    </row>
    <row r="8" spans="1:5" x14ac:dyDescent="0.2">
      <c r="A8" s="3">
        <f ca="1">IF(NOT(ISNUMBER(OFFSET(tblDimDiety[[#This Row],[Score]],-1,0))),1,SUM(OFFSET(tblDimDiety[[#This Row],[Score]],-1,0),-1/ROWS(tblDimDiety[Score])))</f>
        <v>0.83783783783783816</v>
      </c>
      <c r="B8" s="15" t="s">
        <v>1161</v>
      </c>
      <c r="C8" s="15" t="s">
        <v>1151</v>
      </c>
      <c r="D8" s="15" t="s">
        <v>1152</v>
      </c>
      <c r="E8" s="15" t="s">
        <v>1162</v>
      </c>
    </row>
    <row r="9" spans="1:5" x14ac:dyDescent="0.2">
      <c r="A9" s="3">
        <f ca="1">IF(NOT(ISNUMBER(OFFSET(tblDimDiety[[#This Row],[Score]],-1,0))),1,SUM(OFFSET(tblDimDiety[[#This Row],[Score]],-1,0),-1/ROWS(tblDimDiety[Score])))</f>
        <v>0.81081081081081119</v>
      </c>
      <c r="B9" s="15" t="s">
        <v>1163</v>
      </c>
      <c r="C9" s="15" t="s">
        <v>1158</v>
      </c>
      <c r="D9" s="15" t="s">
        <v>1145</v>
      </c>
      <c r="E9" s="15" t="s">
        <v>1164</v>
      </c>
    </row>
    <row r="10" spans="1:5" x14ac:dyDescent="0.2">
      <c r="A10" s="3">
        <f ca="1">IF(NOT(ISNUMBER(OFFSET(tblDimDiety[[#This Row],[Score]],-1,0))),1,SUM(OFFSET(tblDimDiety[[#This Row],[Score]],-1,0),-1/ROWS(tblDimDiety[Score])))</f>
        <v>0.78378378378378422</v>
      </c>
      <c r="B10" s="15" t="s">
        <v>1165</v>
      </c>
      <c r="C10" s="15" t="s">
        <v>1158</v>
      </c>
      <c r="D10" s="15" t="s">
        <v>1166</v>
      </c>
      <c r="E10" s="15" t="s">
        <v>1167</v>
      </c>
    </row>
    <row r="11" spans="1:5" x14ac:dyDescent="0.2">
      <c r="A11" s="3">
        <f ca="1">IF(NOT(ISNUMBER(OFFSET(tblDimDiety[[#This Row],[Score]],-1,0))),1,SUM(OFFSET(tblDimDiety[[#This Row],[Score]],-1,0),-1/ROWS(tblDimDiety[Score])))</f>
        <v>0.75675675675675724</v>
      </c>
      <c r="B11" s="15" t="s">
        <v>1168</v>
      </c>
      <c r="C11" s="15" t="s">
        <v>1169</v>
      </c>
      <c r="D11" s="15" t="s">
        <v>1145</v>
      </c>
      <c r="E11" s="15" t="s">
        <v>1170</v>
      </c>
    </row>
    <row r="12" spans="1:5" x14ac:dyDescent="0.2">
      <c r="A12" s="3">
        <f ca="1">IF(NOT(ISNUMBER(OFFSET(tblDimDiety[[#This Row],[Score]],-1,0))),1,SUM(OFFSET(tblDimDiety[[#This Row],[Score]],-1,0),-1/ROWS(tblDimDiety[Score])))</f>
        <v>0.72972972972973027</v>
      </c>
      <c r="B12" s="15" t="s">
        <v>1171</v>
      </c>
      <c r="C12" s="15" t="s">
        <v>1144</v>
      </c>
      <c r="D12" s="15" t="s">
        <v>1172</v>
      </c>
      <c r="E12" s="15" t="s">
        <v>1173</v>
      </c>
    </row>
    <row r="13" spans="1:5" x14ac:dyDescent="0.2">
      <c r="A13" s="3">
        <f ca="1">IF(NOT(ISNUMBER(OFFSET(tblDimDiety[[#This Row],[Score]],-1,0))),1,SUM(OFFSET(tblDimDiety[[#This Row],[Score]],-1,0),-1/ROWS(tblDimDiety[Score])))</f>
        <v>0.7027027027027033</v>
      </c>
      <c r="B13" s="15" t="s">
        <v>1174</v>
      </c>
      <c r="C13" s="15" t="s">
        <v>1175</v>
      </c>
      <c r="D13" s="15" t="s">
        <v>1159</v>
      </c>
      <c r="E13" s="15" t="s">
        <v>1176</v>
      </c>
    </row>
    <row r="14" spans="1:5" x14ac:dyDescent="0.2">
      <c r="A14" s="3">
        <f ca="1">IF(NOT(ISNUMBER(OFFSET(tblDimDiety[[#This Row],[Score]],-1,0))),1,SUM(OFFSET(tblDimDiety[[#This Row],[Score]],-1,0),-1/ROWS(tblDimDiety[Score])))</f>
        <v>0.67567567567567632</v>
      </c>
      <c r="B14" s="15" t="s">
        <v>1177</v>
      </c>
      <c r="C14" s="15" t="s">
        <v>1144</v>
      </c>
      <c r="D14" s="15" t="s">
        <v>1155</v>
      </c>
      <c r="E14" s="15" t="s">
        <v>1178</v>
      </c>
    </row>
    <row r="15" spans="1:5" x14ac:dyDescent="0.2">
      <c r="A15" s="3">
        <f ca="1">IF(NOT(ISNUMBER(OFFSET(tblDimDiety[[#This Row],[Score]],-1,0))),1,SUM(OFFSET(tblDimDiety[[#This Row],[Score]],-1,0),-1/ROWS(tblDimDiety[Score])))</f>
        <v>0.64864864864864935</v>
      </c>
      <c r="B15" s="15" t="s">
        <v>1179</v>
      </c>
      <c r="C15" s="15" t="s">
        <v>1158</v>
      </c>
      <c r="D15" s="15" t="s">
        <v>1172</v>
      </c>
      <c r="E15" s="15" t="s">
        <v>1180</v>
      </c>
    </row>
    <row r="16" spans="1:5" x14ac:dyDescent="0.2">
      <c r="A16" s="3">
        <f ca="1">IF(NOT(ISNUMBER(OFFSET(tblDimDiety[[#This Row],[Score]],-1,0))),1,SUM(OFFSET(tblDimDiety[[#This Row],[Score]],-1,0),-1/ROWS(tblDimDiety[Score])))</f>
        <v>0.62162162162162238</v>
      </c>
      <c r="B16" s="15" t="s">
        <v>1181</v>
      </c>
      <c r="C16" s="15" t="s">
        <v>1182</v>
      </c>
      <c r="D16" s="15" t="s">
        <v>1152</v>
      </c>
      <c r="E16" s="15" t="s">
        <v>1183</v>
      </c>
    </row>
    <row r="17" spans="1:5" x14ac:dyDescent="0.2">
      <c r="A17" s="3">
        <f ca="1">IF(NOT(ISNUMBER(OFFSET(tblDimDiety[[#This Row],[Score]],-1,0))),1,SUM(OFFSET(tblDimDiety[[#This Row],[Score]],-1,0),-1/ROWS(tblDimDiety[Score])))</f>
        <v>0.5945945945945954</v>
      </c>
      <c r="B17" s="15" t="s">
        <v>1184</v>
      </c>
      <c r="C17" s="15" t="s">
        <v>1185</v>
      </c>
      <c r="D17" s="15" t="s">
        <v>1159</v>
      </c>
      <c r="E17" s="15" t="s">
        <v>1186</v>
      </c>
    </row>
    <row r="18" spans="1:5" x14ac:dyDescent="0.2">
      <c r="A18" s="3">
        <f ca="1">IF(NOT(ISNUMBER(OFFSET(tblDimDiety[[#This Row],[Score]],-1,0))),1,SUM(OFFSET(tblDimDiety[[#This Row],[Score]],-1,0),-1/ROWS(tblDimDiety[Score])))</f>
        <v>0.56756756756756843</v>
      </c>
      <c r="B18" s="15" t="s">
        <v>1187</v>
      </c>
      <c r="C18" s="15" t="s">
        <v>1148</v>
      </c>
      <c r="D18" s="15" t="s">
        <v>1155</v>
      </c>
      <c r="E18" s="15" t="s">
        <v>1188</v>
      </c>
    </row>
    <row r="19" spans="1:5" x14ac:dyDescent="0.2">
      <c r="A19" s="3">
        <f ca="1">IF(NOT(ISNUMBER(OFFSET(tblDimDiety[[#This Row],[Score]],-1,0))),1,SUM(OFFSET(tblDimDiety[[#This Row],[Score]],-1,0),-1/ROWS(tblDimDiety[Score])))</f>
        <v>0.54054054054054146</v>
      </c>
      <c r="B19" s="15" t="s">
        <v>1189</v>
      </c>
      <c r="C19" s="15" t="s">
        <v>1151</v>
      </c>
      <c r="D19" s="15" t="s">
        <v>1190</v>
      </c>
      <c r="E19" s="15" t="s">
        <v>1191</v>
      </c>
    </row>
    <row r="20" spans="1:5" x14ac:dyDescent="0.2">
      <c r="A20" s="3">
        <f ca="1">IF(NOT(ISNUMBER(OFFSET(tblDimDiety[[#This Row],[Score]],-1,0))),1,SUM(OFFSET(tblDimDiety[[#This Row],[Score]],-1,0),-1/ROWS(tblDimDiety[Score])))</f>
        <v>0.51351351351351449</v>
      </c>
      <c r="B20" s="15" t="s">
        <v>1192</v>
      </c>
      <c r="C20" s="15" t="s">
        <v>1182</v>
      </c>
      <c r="D20" s="15" t="s">
        <v>1152</v>
      </c>
      <c r="E20" s="15" t="s">
        <v>1193</v>
      </c>
    </row>
    <row r="21" spans="1:5" x14ac:dyDescent="0.2">
      <c r="A21" s="3">
        <f ca="1">IF(NOT(ISNUMBER(OFFSET(tblDimDiety[[#This Row],[Score]],-1,0))),1,SUM(OFFSET(tblDimDiety[[#This Row],[Score]],-1,0),-1/ROWS(tblDimDiety[Score])))</f>
        <v>0.48648648648648746</v>
      </c>
      <c r="B21" s="15" t="s">
        <v>1194</v>
      </c>
      <c r="C21" s="15" t="s">
        <v>1158</v>
      </c>
      <c r="D21" s="15" t="s">
        <v>1190</v>
      </c>
      <c r="E21" s="15" t="s">
        <v>1195</v>
      </c>
    </row>
    <row r="22" spans="1:5" x14ac:dyDescent="0.2">
      <c r="A22" s="3">
        <f ca="1">IF(NOT(ISNUMBER(OFFSET(tblDimDiety[[#This Row],[Score]],-1,0))),1,SUM(OFFSET(tblDimDiety[[#This Row],[Score]],-1,0),-1/ROWS(tblDimDiety[Score])))</f>
        <v>0.45945945945946043</v>
      </c>
      <c r="B22" s="15" t="s">
        <v>1196</v>
      </c>
      <c r="C22" s="15" t="s">
        <v>1158</v>
      </c>
      <c r="D22" s="15" t="s">
        <v>1197</v>
      </c>
      <c r="E22" s="15" t="s">
        <v>1198</v>
      </c>
    </row>
    <row r="23" spans="1:5" x14ac:dyDescent="0.2">
      <c r="A23" s="3">
        <f ca="1">IF(NOT(ISNUMBER(OFFSET(tblDimDiety[[#This Row],[Score]],-1,0))),1,SUM(OFFSET(tblDimDiety[[#This Row],[Score]],-1,0),-1/ROWS(tblDimDiety[Score])))</f>
        <v>0.4324324324324334</v>
      </c>
      <c r="B23" s="15" t="s">
        <v>1199</v>
      </c>
      <c r="C23" s="15" t="s">
        <v>1140</v>
      </c>
      <c r="D23" s="15" t="s">
        <v>1155</v>
      </c>
      <c r="E23" s="15" t="s">
        <v>1200</v>
      </c>
    </row>
    <row r="24" spans="1:5" x14ac:dyDescent="0.2">
      <c r="A24" s="3">
        <f ca="1">IF(NOT(ISNUMBER(OFFSET(tblDimDiety[[#This Row],[Score]],-1,0))),1,SUM(OFFSET(tblDimDiety[[#This Row],[Score]],-1,0),-1/ROWS(tblDimDiety[Score])))</f>
        <v>0.40540540540540637</v>
      </c>
      <c r="B24" s="15" t="s">
        <v>1201</v>
      </c>
      <c r="C24" s="15" t="s">
        <v>1158</v>
      </c>
      <c r="D24" s="15" t="s">
        <v>1145</v>
      </c>
      <c r="E24" s="15" t="s">
        <v>1202</v>
      </c>
    </row>
    <row r="25" spans="1:5" x14ac:dyDescent="0.2">
      <c r="A25" s="3">
        <f ca="1">IF(NOT(ISNUMBER(OFFSET(tblDimDiety[[#This Row],[Score]],-1,0))),1,SUM(OFFSET(tblDimDiety[[#This Row],[Score]],-1,0),-1/ROWS(tblDimDiety[Score])))</f>
        <v>0.37837837837837934</v>
      </c>
      <c r="B25" s="15" t="s">
        <v>1203</v>
      </c>
      <c r="C25" s="15" t="s">
        <v>1169</v>
      </c>
      <c r="D25" s="15" t="s">
        <v>1145</v>
      </c>
      <c r="E25" s="15" t="s">
        <v>1204</v>
      </c>
    </row>
    <row r="26" spans="1:5" x14ac:dyDescent="0.2">
      <c r="A26" s="3">
        <f ca="1">IF(NOT(ISNUMBER(OFFSET(tblDimDiety[[#This Row],[Score]],-1,0))),1,SUM(OFFSET(tblDimDiety[[#This Row],[Score]],-1,0),-1/ROWS(tblDimDiety[Score])))</f>
        <v>0.35135135135135231</v>
      </c>
      <c r="B26" s="15" t="s">
        <v>1205</v>
      </c>
      <c r="C26" s="15" t="s">
        <v>1144</v>
      </c>
      <c r="D26" s="15" t="s">
        <v>1145</v>
      </c>
      <c r="E26" s="15" t="s">
        <v>1206</v>
      </c>
    </row>
    <row r="27" spans="1:5" x14ac:dyDescent="0.2">
      <c r="A27" s="3">
        <f ca="1">IF(NOT(ISNUMBER(OFFSET(tblDimDiety[[#This Row],[Score]],-1,0))),1,SUM(OFFSET(tblDimDiety[[#This Row],[Score]],-1,0),-1/ROWS(tblDimDiety[Score])))</f>
        <v>0.32432432432432529</v>
      </c>
      <c r="B27" s="15" t="s">
        <v>1207</v>
      </c>
      <c r="C27" s="15" t="s">
        <v>1185</v>
      </c>
      <c r="D27" s="15" t="s">
        <v>1208</v>
      </c>
      <c r="E27" s="15" t="s">
        <v>1209</v>
      </c>
    </row>
    <row r="28" spans="1:5" x14ac:dyDescent="0.2">
      <c r="A28" s="3">
        <f ca="1">IF(NOT(ISNUMBER(OFFSET(tblDimDiety[[#This Row],[Score]],-1,0))),1,SUM(OFFSET(tblDimDiety[[#This Row],[Score]],-1,0),-1/ROWS(tblDimDiety[Score])))</f>
        <v>0.29729729729729826</v>
      </c>
      <c r="B28" s="15" t="s">
        <v>1210</v>
      </c>
      <c r="C28" s="15" t="s">
        <v>1140</v>
      </c>
      <c r="D28" s="15" t="s">
        <v>1211</v>
      </c>
      <c r="E28" s="15" t="s">
        <v>1212</v>
      </c>
    </row>
    <row r="29" spans="1:5" x14ac:dyDescent="0.2">
      <c r="A29" s="3">
        <f ca="1">IF(NOT(ISNUMBER(OFFSET(tblDimDiety[[#This Row],[Score]],-1,0))),1,SUM(OFFSET(tblDimDiety[[#This Row],[Score]],-1,0),-1/ROWS(tblDimDiety[Score])))</f>
        <v>0.27027027027027123</v>
      </c>
      <c r="B29" s="15" t="s">
        <v>1213</v>
      </c>
      <c r="C29" s="15" t="s">
        <v>1169</v>
      </c>
      <c r="D29" s="15" t="s">
        <v>1190</v>
      </c>
      <c r="E29" s="15" t="s">
        <v>1214</v>
      </c>
    </row>
    <row r="30" spans="1:5" x14ac:dyDescent="0.2">
      <c r="A30" s="3">
        <f ca="1">IF(NOT(ISNUMBER(OFFSET(tblDimDiety[[#This Row],[Score]],-1,0))),1,SUM(OFFSET(tblDimDiety[[#This Row],[Score]],-1,0),-1/ROWS(tblDimDiety[Score])))</f>
        <v>0.2432432432432442</v>
      </c>
      <c r="B30" s="15" t="s">
        <v>1215</v>
      </c>
      <c r="C30" s="15" t="s">
        <v>1185</v>
      </c>
      <c r="D30" s="15" t="s">
        <v>1172</v>
      </c>
      <c r="E30" s="15" t="s">
        <v>1216</v>
      </c>
    </row>
    <row r="31" spans="1:5" x14ac:dyDescent="0.2">
      <c r="A31" s="3">
        <f ca="1">IF(NOT(ISNUMBER(OFFSET(tblDimDiety[[#This Row],[Score]],-1,0))),1,SUM(OFFSET(tblDimDiety[[#This Row],[Score]],-1,0),-1/ROWS(tblDimDiety[Score])))</f>
        <v>0.21621621621621717</v>
      </c>
      <c r="B31" s="15" t="s">
        <v>1217</v>
      </c>
      <c r="C31" s="15" t="s">
        <v>1151</v>
      </c>
      <c r="D31" s="15" t="s">
        <v>1155</v>
      </c>
      <c r="E31" s="15" t="s">
        <v>1218</v>
      </c>
    </row>
    <row r="32" spans="1:5" x14ac:dyDescent="0.2">
      <c r="A32" s="3">
        <f ca="1">IF(NOT(ISNUMBER(OFFSET(tblDimDiety[[#This Row],[Score]],-1,0))),1,SUM(OFFSET(tblDimDiety[[#This Row],[Score]],-1,0),-1/ROWS(tblDimDiety[Score])))</f>
        <v>0.18918918918919014</v>
      </c>
      <c r="B32" s="15" t="s">
        <v>1219</v>
      </c>
      <c r="C32" s="15" t="s">
        <v>1151</v>
      </c>
      <c r="D32" s="15" t="s">
        <v>1220</v>
      </c>
      <c r="E32" s="15" t="s">
        <v>1221</v>
      </c>
    </row>
    <row r="33" spans="1:5" x14ac:dyDescent="0.2">
      <c r="A33" s="3">
        <f ca="1">IF(NOT(ISNUMBER(OFFSET(tblDimDiety[[#This Row],[Score]],-1,0))),1,SUM(OFFSET(tblDimDiety[[#This Row],[Score]],-1,0),-1/ROWS(tblDimDiety[Score])))</f>
        <v>0.16216216216216311</v>
      </c>
      <c r="B33" s="15" t="s">
        <v>1222</v>
      </c>
      <c r="C33" s="15" t="s">
        <v>1169</v>
      </c>
      <c r="D33" s="15" t="s">
        <v>841</v>
      </c>
      <c r="E33" s="15" t="s">
        <v>1223</v>
      </c>
    </row>
    <row r="34" spans="1:5" x14ac:dyDescent="0.2">
      <c r="A34" s="3">
        <f ca="1">IF(NOT(ISNUMBER(OFFSET(tblDimDiety[[#This Row],[Score]],-1,0))),1,SUM(OFFSET(tblDimDiety[[#This Row],[Score]],-1,0),-1/ROWS(tblDimDiety[Score])))</f>
        <v>0.13513513513513609</v>
      </c>
      <c r="B34" s="15" t="s">
        <v>1224</v>
      </c>
      <c r="C34" s="15" t="s">
        <v>1175</v>
      </c>
      <c r="D34" s="15" t="s">
        <v>841</v>
      </c>
      <c r="E34" s="15" t="s">
        <v>1225</v>
      </c>
    </row>
    <row r="35" spans="1:5" x14ac:dyDescent="0.2">
      <c r="A35" s="3">
        <f ca="1">IF(NOT(ISNUMBER(OFFSET(tblDimDiety[[#This Row],[Score]],-1,0))),1,SUM(OFFSET(tblDimDiety[[#This Row],[Score]],-1,0),-1/ROWS(tblDimDiety[Score])))</f>
        <v>0.10810810810810906</v>
      </c>
      <c r="B35" s="15" t="s">
        <v>1226</v>
      </c>
      <c r="C35" s="15" t="s">
        <v>1185</v>
      </c>
      <c r="D35" s="15" t="s">
        <v>1152</v>
      </c>
      <c r="E35" s="15" t="s">
        <v>1227</v>
      </c>
    </row>
    <row r="36" spans="1:5" x14ac:dyDescent="0.2">
      <c r="A36" s="3">
        <f ca="1">IF(NOT(ISNUMBER(OFFSET(tblDimDiety[[#This Row],[Score]],-1,0))),1,SUM(OFFSET(tblDimDiety[[#This Row],[Score]],-1,0),-1/ROWS(tblDimDiety[Score])))</f>
        <v>8.1081081081082029E-2</v>
      </c>
      <c r="B36" s="15" t="s">
        <v>1228</v>
      </c>
      <c r="C36" s="15" t="s">
        <v>1175</v>
      </c>
      <c r="D36" s="15" t="s">
        <v>841</v>
      </c>
      <c r="E36" s="15" t="s">
        <v>1229</v>
      </c>
    </row>
    <row r="37" spans="1:5" x14ac:dyDescent="0.2">
      <c r="A37" s="3">
        <f ca="1">IF(NOT(ISNUMBER(OFFSET(tblDimDiety[[#This Row],[Score]],-1,0))),1,SUM(OFFSET(tblDimDiety[[#This Row],[Score]],-1,0),-1/ROWS(tblDimDiety[Score])))</f>
        <v>5.4054054054055001E-2</v>
      </c>
      <c r="B37" s="15" t="s">
        <v>1230</v>
      </c>
      <c r="C37" s="15" t="s">
        <v>1151</v>
      </c>
      <c r="D37" s="15" t="s">
        <v>1220</v>
      </c>
      <c r="E37" s="15" t="s">
        <v>1231</v>
      </c>
    </row>
    <row r="38" spans="1:5" x14ac:dyDescent="0.2">
      <c r="A38" s="3">
        <f ca="1">IF(NOT(ISNUMBER(OFFSET(tblDimDiety[[#This Row],[Score]],-1,0))),1,SUM(OFFSET(tblDimDiety[[#This Row],[Score]],-1,0),-1/ROWS(tblDimDiety[Score])))</f>
        <v>2.7027027027027972E-2</v>
      </c>
      <c r="B38" s="15" t="s">
        <v>1232</v>
      </c>
      <c r="C38" s="15" t="s">
        <v>1169</v>
      </c>
      <c r="D38" s="15" t="s">
        <v>1233</v>
      </c>
      <c r="E38" s="15" t="s">
        <v>1234</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A1:A2"/>
  <sheetViews>
    <sheetView zoomScale="75" zoomScaleNormal="75" zoomScalePageLayoutView="75" workbookViewId="0">
      <selection sqref="A1:XFD1048576"/>
    </sheetView>
  </sheetViews>
  <sheetFormatPr baseColWidth="10" defaultColWidth="9" defaultRowHeight="15" x14ac:dyDescent="0.2"/>
  <cols>
    <col min="1" max="16384" width="9" style="21"/>
  </cols>
  <sheetData>
    <row r="1" spans="1:1" x14ac:dyDescent="0.2">
      <c r="A1" s="21" t="s">
        <v>1235</v>
      </c>
    </row>
    <row r="2" spans="1:1" x14ac:dyDescent="0.2">
      <c r="A2" s="21" t="s">
        <v>1236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Generator</vt:lpstr>
      <vt:lpstr>Add a New Table</vt:lpstr>
      <vt:lpstr>Name Tables</vt:lpstr>
      <vt:lpstr>First Impression Tables</vt:lpstr>
      <vt:lpstr>Class Tables</vt:lpstr>
      <vt:lpstr>Ethos Table</vt:lpstr>
      <vt:lpstr>Personality Tables</vt:lpstr>
      <vt:lpstr>Background Tables</vt:lpstr>
      <vt:lpstr>Early Life Tables</vt:lpstr>
      <vt:lpstr>Life Events Tables</vt:lpstr>
      <vt:lpstr>Image URL Tables</vt:lpstr>
      <vt:lpstr>Stat Block Tables</vt:lpstr>
      <vt:lpstr>Orc Tables</vt:lpstr>
      <vt:lpstr>Demon Tables</vt:lpstr>
      <vt:lpstr>Cult Tables</vt:lpstr>
      <vt:lpstr>Forgotten Realms Tables</vt:lpstr>
      <vt:lpstr>References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dc:creator>
  <cp:lastModifiedBy>Microsoft Office User</cp:lastModifiedBy>
  <dcterms:created xsi:type="dcterms:W3CDTF">2019-01-07T01:26:48Z</dcterms:created>
  <dcterms:modified xsi:type="dcterms:W3CDTF">2019-01-16T03:36:55Z</dcterms:modified>
</cp:coreProperties>
</file>
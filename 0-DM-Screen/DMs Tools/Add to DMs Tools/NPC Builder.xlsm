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/>
  <workbookPr codeName="ThisWorkbook"/>
  <mc:AlternateContent xmlns:mc="http://schemas.openxmlformats.org/markup-compatibility/2006">
    <mc:Choice Requires="x15">
      <x15ac:absPath xmlns:x15ac="http://schemas.microsoft.com/office/spreadsheetml/2010/11/ac" url="D:\User Archive\GoogleDrive\HOB\DnD Stuff\DM\Homebrew\Generators\"/>
    </mc:Choice>
  </mc:AlternateContent>
  <bookViews>
    <workbookView xWindow="19200" yWindow="465" windowWidth="19200" windowHeight="23460"/>
  </bookViews>
  <sheets>
    <sheet name="Random NPC" sheetId="2" r:id="rId1"/>
  </sheets>
  <calcPr calcId="171027" iterateDelta="1E-4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6" i="2" l="1"/>
  <c r="O16" i="2"/>
  <c r="N2" i="2"/>
  <c r="O2" i="2"/>
  <c r="M15" i="2"/>
  <c r="N15" i="2"/>
  <c r="O15" i="2"/>
  <c r="M14" i="2"/>
  <c r="N14" i="2"/>
  <c r="O14" i="2"/>
  <c r="N13" i="2"/>
  <c r="O13" i="2"/>
  <c r="N12" i="2"/>
  <c r="O12" i="2"/>
  <c r="N11" i="2"/>
  <c r="O11" i="2"/>
  <c r="N10" i="2"/>
  <c r="O10" i="2"/>
  <c r="N9" i="2"/>
  <c r="O9" i="2"/>
  <c r="N8" i="2"/>
  <c r="O8" i="2"/>
  <c r="N7" i="2"/>
  <c r="O7" i="2"/>
  <c r="N6" i="2"/>
  <c r="O6" i="2"/>
  <c r="N5" i="2"/>
  <c r="O5" i="2"/>
  <c r="N4" i="2"/>
  <c r="O4" i="2"/>
  <c r="N3" i="2"/>
  <c r="O3" i="2"/>
</calcChain>
</file>

<file path=xl/sharedStrings.xml><?xml version="1.0" encoding="utf-8"?>
<sst xmlns="http://schemas.openxmlformats.org/spreadsheetml/2006/main" count="747" uniqueCount="288">
  <si>
    <t>Roll</t>
  </si>
  <si>
    <t>Appearance</t>
  </si>
  <si>
    <t>HighAbility</t>
  </si>
  <si>
    <t>LowAbility</t>
  </si>
  <si>
    <t>Talents</t>
  </si>
  <si>
    <t>Mannerisms</t>
  </si>
  <si>
    <t>InteractionStyle</t>
  </si>
  <si>
    <t>GoodIdeal</t>
  </si>
  <si>
    <t>EvilIdeal</t>
  </si>
  <si>
    <t>LawfulIdeal</t>
  </si>
  <si>
    <t>ChaoticIdeal</t>
  </si>
  <si>
    <t>NeutralIdeal</t>
  </si>
  <si>
    <t>OtherIdeal</t>
  </si>
  <si>
    <t>Bonds</t>
  </si>
  <si>
    <t>FlawSecret</t>
  </si>
  <si>
    <t>Alignment</t>
  </si>
  <si>
    <t>Race</t>
  </si>
  <si>
    <t>Gender</t>
  </si>
  <si>
    <t>Class</t>
  </si>
  <si>
    <t>Element</t>
  </si>
  <si>
    <t>Neutral Other</t>
  </si>
  <si>
    <t>Lawful Good</t>
  </si>
  <si>
    <t>Lawful Neutral</t>
  </si>
  <si>
    <t>Neutral Good</t>
  </si>
  <si>
    <t>Neutral Evil</t>
  </si>
  <si>
    <t>Chaotic Good</t>
  </si>
  <si>
    <t>Lawful Evil</t>
  </si>
  <si>
    <t>Chaotic Neutral</t>
  </si>
  <si>
    <t>Chaotic Evil</t>
  </si>
  <si>
    <t>Value</t>
  </si>
  <si>
    <t>Dragonborn</t>
  </si>
  <si>
    <t>Drow</t>
  </si>
  <si>
    <t>Dwarf</t>
  </si>
  <si>
    <t>Elf</t>
  </si>
  <si>
    <t>Gnome</t>
  </si>
  <si>
    <t>Half-Elf</t>
  </si>
  <si>
    <t>Half-Orc</t>
  </si>
  <si>
    <t>Halfling</t>
  </si>
  <si>
    <t>Human</t>
  </si>
  <si>
    <t>Tiefling</t>
  </si>
  <si>
    <t>Male</t>
  </si>
  <si>
    <t>Female</t>
  </si>
  <si>
    <t>Barbarian</t>
  </si>
  <si>
    <t>Bard</t>
  </si>
  <si>
    <t>Druid</t>
  </si>
  <si>
    <t>Monk</t>
  </si>
  <si>
    <t>Paladin</t>
  </si>
  <si>
    <t>Ranger</t>
  </si>
  <si>
    <t>Sorcerer</t>
  </si>
  <si>
    <t>Warlock</t>
  </si>
  <si>
    <t>Argumentative</t>
  </si>
  <si>
    <t>Arrogant</t>
  </si>
  <si>
    <t>Blustering</t>
  </si>
  <si>
    <t>Rude</t>
  </si>
  <si>
    <t>Curious</t>
  </si>
  <si>
    <t>Friendly</t>
  </si>
  <si>
    <t>Honest</t>
  </si>
  <si>
    <t>Hot tempered</t>
  </si>
  <si>
    <t>Irritable</t>
  </si>
  <si>
    <t>Ponderous</t>
  </si>
  <si>
    <t>Quiet</t>
  </si>
  <si>
    <t>Suspicious</t>
  </si>
  <si>
    <t>Paranoid</t>
  </si>
  <si>
    <t>Strength-powerful, brawny, strong as an ox</t>
  </si>
  <si>
    <t>Dexterity-lithe, agile, graceful</t>
  </si>
  <si>
    <t>Constitution-hardy, hale, healthy</t>
  </si>
  <si>
    <t>Intelligence-studious, learned, inquisitive</t>
  </si>
  <si>
    <t>Wisdom-perceptive, spiritual, insightful</t>
  </si>
  <si>
    <t>Charisma-persuasive, forceful, born leader</t>
  </si>
  <si>
    <t>Strength-feeble, scrawny</t>
  </si>
  <si>
    <t>Dexterity-clumsy, fumbling</t>
  </si>
  <si>
    <t>Constitution-sickly, pale</t>
  </si>
  <si>
    <t>Intelligence-dim-witted, slow</t>
  </si>
  <si>
    <t>Wisdom-oblivious, absentminded</t>
  </si>
  <si>
    <t>Charisma-dull, boring</t>
  </si>
  <si>
    <t>Forbidden love or susceptibility to romance</t>
  </si>
  <si>
    <t>Enjoys decadent pleasures</t>
  </si>
  <si>
    <t>Arrogance</t>
  </si>
  <si>
    <t>Envies anothers possessions or station</t>
  </si>
  <si>
    <t>Overpowering greed</t>
  </si>
  <si>
    <t>Prone to rage</t>
  </si>
  <si>
    <t>Has a powerful enemy</t>
  </si>
  <si>
    <t>Specific phobia</t>
  </si>
  <si>
    <t>Shameful or scandalous history</t>
  </si>
  <si>
    <t>Secret crime or misdeed</t>
  </si>
  <si>
    <t xml:space="preserve">Possesses forbidden lore (object or knowledge) </t>
  </si>
  <si>
    <t>Foolhardy bravery</t>
  </si>
  <si>
    <t>Commoner</t>
  </si>
  <si>
    <t>Distinctive jewelry: earrings, necklace, circlet, bracelets</t>
  </si>
  <si>
    <t>Piercings</t>
  </si>
  <si>
    <t>Flamboyant or outlandish clothes</t>
  </si>
  <si>
    <t>Formal, clean clothes</t>
  </si>
  <si>
    <t>Ragged, dirty clothes</t>
  </si>
  <si>
    <t>Pronounced scar</t>
  </si>
  <si>
    <t>Missing teeth</t>
  </si>
  <si>
    <t>Missing fingers</t>
  </si>
  <si>
    <t>Tattoos</t>
  </si>
  <si>
    <t>Unusual eye color (or two different colors)</t>
  </si>
  <si>
    <t>Birthmark</t>
  </si>
  <si>
    <t>Unusual skin color</t>
  </si>
  <si>
    <t>Bald</t>
  </si>
  <si>
    <t>Braided beard or hair</t>
  </si>
  <si>
    <t>Unusual hair color</t>
  </si>
  <si>
    <t>Nervous eye twitch</t>
  </si>
  <si>
    <t>Distinctive nose</t>
  </si>
  <si>
    <t>Exceptionally ugly</t>
  </si>
  <si>
    <t>Exceptionally beautiful</t>
  </si>
  <si>
    <t>Distinctive posture (crooked or rigid)</t>
  </si>
  <si>
    <t>Plays a musical instrument</t>
  </si>
  <si>
    <t>Speaks several languages fluently</t>
  </si>
  <si>
    <t>Unbelievably lucky</t>
  </si>
  <si>
    <t>Perfect memory</t>
  </si>
  <si>
    <t>Great with animals</t>
  </si>
  <si>
    <t>Great with children</t>
  </si>
  <si>
    <t>Great at solving puzzles</t>
  </si>
  <si>
    <t>Great at one game</t>
  </si>
  <si>
    <t>Great at impersonations</t>
  </si>
  <si>
    <t>Draws beautifully</t>
  </si>
  <si>
    <t>Paints beautifully</t>
  </si>
  <si>
    <t>Sings beautifully</t>
  </si>
  <si>
    <t>Drinks everyone under the table</t>
  </si>
  <si>
    <t>Expert carpenter</t>
  </si>
  <si>
    <t>Expert cook</t>
  </si>
  <si>
    <t>Expert dart thrower and rock skipper</t>
  </si>
  <si>
    <t>Expert juggler</t>
  </si>
  <si>
    <t>Skilled actor and master of disguise</t>
  </si>
  <si>
    <t>Skilled dancer</t>
  </si>
  <si>
    <t>Knows thieves' cant</t>
  </si>
  <si>
    <t>Slurs words, lisps, or stutters</t>
  </si>
  <si>
    <t>Enunciates overly clearly</t>
  </si>
  <si>
    <t>Speaks loudly</t>
  </si>
  <si>
    <t>Whispers</t>
  </si>
  <si>
    <t>Squints</t>
  </si>
  <si>
    <t>Paces</t>
  </si>
  <si>
    <t>Taps fingers</t>
  </si>
  <si>
    <t>Bites fingernails</t>
  </si>
  <si>
    <t>Twirls hair or tugs beard</t>
  </si>
  <si>
    <t>Particularly low or high voice</t>
  </si>
  <si>
    <t>Speaks in rhyme or some other peculiar way</t>
  </si>
  <si>
    <t>Prone to singing, whistling, or humming quietly</t>
  </si>
  <si>
    <t>Uses flowery speech or long words</t>
  </si>
  <si>
    <t>Frequently uses the wrong word</t>
  </si>
  <si>
    <t>Uses colorful oaths and exclamations</t>
  </si>
  <si>
    <t>Makes constant jokes or puns</t>
  </si>
  <si>
    <t>Fidgets</t>
  </si>
  <si>
    <t>Prone to predictions of doom</t>
  </si>
  <si>
    <t>Chews something</t>
  </si>
  <si>
    <t>Stares into the distance</t>
  </si>
  <si>
    <t>Beauty</t>
  </si>
  <si>
    <t>Charity</t>
  </si>
  <si>
    <t>Greater good</t>
  </si>
  <si>
    <t>Life</t>
  </si>
  <si>
    <t>Respect</t>
  </si>
  <si>
    <t>Self-sacrifice</t>
  </si>
  <si>
    <t>Domination</t>
  </si>
  <si>
    <t>Greed</t>
  </si>
  <si>
    <t>Might</t>
  </si>
  <si>
    <t>Pain</t>
  </si>
  <si>
    <t>Retribution</t>
  </si>
  <si>
    <t>Slaughter</t>
  </si>
  <si>
    <t>Community</t>
  </si>
  <si>
    <t>Fairness</t>
  </si>
  <si>
    <t>Honor</t>
  </si>
  <si>
    <t>Logic</t>
  </si>
  <si>
    <t>Responsibility</t>
  </si>
  <si>
    <t>Tradition</t>
  </si>
  <si>
    <t>Change</t>
  </si>
  <si>
    <t>Creativity</t>
  </si>
  <si>
    <t>Freeom</t>
  </si>
  <si>
    <t>Independence</t>
  </si>
  <si>
    <t>No limits</t>
  </si>
  <si>
    <t>Whimsy</t>
  </si>
  <si>
    <t>Balance</t>
  </si>
  <si>
    <t>Knowledge</t>
  </si>
  <si>
    <t>Live and let live</t>
  </si>
  <si>
    <t>Moderation</t>
  </si>
  <si>
    <t>Neutrality</t>
  </si>
  <si>
    <t>People</t>
  </si>
  <si>
    <t>Aspiration</t>
  </si>
  <si>
    <t>Discovery</t>
  </si>
  <si>
    <t>Glory</t>
  </si>
  <si>
    <t>Nation</t>
  </si>
  <si>
    <t>Redemption</t>
  </si>
  <si>
    <t>Self-knowledge</t>
  </si>
  <si>
    <t>Dedicated to fulfilling a personal life goal</t>
  </si>
  <si>
    <t>Protective of close family members</t>
  </si>
  <si>
    <t>Protective of colleagues or compatriots</t>
  </si>
  <si>
    <t>Loyal to a benefactor, patron, or employer</t>
  </si>
  <si>
    <t>Captivated by a romantic interest</t>
  </si>
  <si>
    <t>Drawn to a special place</t>
  </si>
  <si>
    <t>Protective of a sentimental keepsake</t>
  </si>
  <si>
    <t>Protective ofa valuable possession</t>
  </si>
  <si>
    <t>Out for revenge</t>
  </si>
  <si>
    <t>Lock</t>
  </si>
  <si>
    <t>http://www.joshuad.net/new-bard-handbook-files/imgs/dragonborn.jpg</t>
  </si>
  <si>
    <t>Image</t>
  </si>
  <si>
    <t>Name</t>
  </si>
  <si>
    <t>NPC 1</t>
  </si>
  <si>
    <t>https://s-media-cache-ak0.pinimg.com/564x/8e/40/32/8e40329bcb7928b2dcd3d102ae1511b9.jpg</t>
  </si>
  <si>
    <t>http://img4.wikia.nocookie.net/__cb20080301231104/gauntlet/images/d/d1/Elf.jpg</t>
  </si>
  <si>
    <t>NPC 3</t>
  </si>
  <si>
    <t>NPC 2</t>
  </si>
  <si>
    <t>http://images.akamai.steamusercontent.com/ugc/488932624340347658/C5B791D41F4AACF9259396AE09670E39D821316D/</t>
  </si>
  <si>
    <t>https://olddungeonmaster.files.wordpress.com/2013/02/halfling_barbarian.jpg?w=340</t>
  </si>
  <si>
    <t>NPC 4</t>
  </si>
  <si>
    <t>NPC 5</t>
  </si>
  <si>
    <t>NPC 6</t>
  </si>
  <si>
    <t>NPC 7</t>
  </si>
  <si>
    <t>NPC 8</t>
  </si>
  <si>
    <t>NPC 9</t>
  </si>
  <si>
    <t>NPC 10</t>
  </si>
  <si>
    <t>NPC 11</t>
  </si>
  <si>
    <t>NPC 12</t>
  </si>
  <si>
    <t>NPC 13</t>
  </si>
  <si>
    <t>NPC 14</t>
  </si>
  <si>
    <t>NPC 15</t>
  </si>
  <si>
    <t>NPC 16</t>
  </si>
  <si>
    <t>NPC 17</t>
  </si>
  <si>
    <t>NPC 18</t>
  </si>
  <si>
    <t>NPC 19</t>
  </si>
  <si>
    <t>NPC 20</t>
  </si>
  <si>
    <t>NPC 21</t>
  </si>
  <si>
    <t>NPC 22</t>
  </si>
  <si>
    <t>NPC 23</t>
  </si>
  <si>
    <t>NPC 24</t>
  </si>
  <si>
    <t>NPC 25</t>
  </si>
  <si>
    <t>Fighter</t>
  </si>
  <si>
    <t>Wizard</t>
  </si>
  <si>
    <t>http://cdn.obsidianportal.com/assets/163238/Rosie.jpg</t>
  </si>
  <si>
    <t>https://67.media.tumblr.com/ac22eb08a9fd44003e2e0a4f884e1641/tumblr_o1llmtXcyd1sjxgryo1_r2_500.jpg</t>
  </si>
  <si>
    <t>http://www.nerdsonearth.com/wp-content/uploads/2015/08/PZO9009-Monk.jpg</t>
  </si>
  <si>
    <t>https://67.media.tumblr.com/ad5b5821bc6d96ef8b72bce8a2203f01/tumblr_o2v4s7kLX81qgktxbo1_500.jpg</t>
  </si>
  <si>
    <t>https://neverwintervault.org/sites/neverwintervault.org/files/project/23126/images/1141419625fullres.jpg</t>
  </si>
  <si>
    <t>http://vignette3.wikia.nocookie.net/officialbestiary/images/e/ec/HalfBloodElf.jpg/revision/latest?cb=20150625231436</t>
  </si>
  <si>
    <t>https://s-media-cache-ak0.pinimg.com/originals/e5/f1/b0/e5f1b0f1dcc966589960dd26f7bf29cd.jpg</t>
  </si>
  <si>
    <t>https://s-media-cache-ak0.pinimg.com/564x/ea/4e/52/ea4e524f1e38c58709d835fcf3094afa.jpg</t>
  </si>
  <si>
    <t>http://orig10.deviantart.net/c107/f/2014/318/2/5/female_dwarf_render_by_shiroyama_chan-d86el2p.png</t>
  </si>
  <si>
    <t>https://s-media-cache-ak0.pinimg.com/236x/e1/35/36/e13536e4d62f526ad7ce0b346f776276.jpg</t>
  </si>
  <si>
    <t>https://s-media-cache-ak0.pinimg.com/236x/b5/81/92/b581925139b5768252c0701f8fda7baf.jpg</t>
  </si>
  <si>
    <t>https://s-media-cache-ak0.pinimg.com/736x/12/4e/ae/124eae1719c4933baefc6679b8bfee04.jpg</t>
  </si>
  <si>
    <t>https://s-media-cache-ak0.pinimg.com/originals/a1/37/66/a1376601f1493eefc0b677d26e86887c.jpg</t>
  </si>
  <si>
    <t>https://s-media-cache-ak0.pinimg.com/236x/61/79/12/61791226038bc8e17209830e63c467d2.jpg</t>
  </si>
  <si>
    <t>http://img4.wikia.nocookie.net/__cb20140721210529/forgottenrealms/images/f/fc/157992_SunElfWizard_ScottMFischer.jpg</t>
  </si>
  <si>
    <t>http://images.akamai.steamusercontent.com/ugc/470919765628016583/5320D61D74742BE14ABB72826214B1EBABA3510B/</t>
  </si>
  <si>
    <t>https://s-media-cache-ak0.pinimg.com/236x/bc/43/74/bc4374c99f6566d34bd3a4fe0a406a91.jpg</t>
  </si>
  <si>
    <t>https://s-media-cache-ak0.pinimg.com/564x/ce/fd/84/cefd84fd0d561697358675af47df0355.jpg</t>
  </si>
  <si>
    <t>https://skaldforge.files.wordpress.com/2014/10/tw2_full_triss.png</t>
  </si>
  <si>
    <t>https://s-media-cache-ak0.pinimg.com/564x/02/29/40/0229408bad97b85b09e7e3ff93a60fd7.jpg</t>
  </si>
  <si>
    <t>Olyassa</t>
  </si>
  <si>
    <t>Alarys</t>
  </si>
  <si>
    <t>http://donjon.bin.sh/fantasy/name/#type=common;common=Human%20Male</t>
  </si>
  <si>
    <t>Portrait Links</t>
  </si>
  <si>
    <t>Men</t>
  </si>
  <si>
    <t>Women</t>
  </si>
  <si>
    <t>Other Men</t>
  </si>
  <si>
    <t>Protective of a valuable possession</t>
  </si>
  <si>
    <t>Aglarond</t>
  </si>
  <si>
    <t>Amn</t>
  </si>
  <si>
    <t>Calimshan</t>
  </si>
  <si>
    <t>Chessenta</t>
  </si>
  <si>
    <t>Chondath</t>
  </si>
  <si>
    <t>Cormyr</t>
  </si>
  <si>
    <t>Damara</t>
  </si>
  <si>
    <t>Dambrath</t>
  </si>
  <si>
    <t>Durpar</t>
  </si>
  <si>
    <t>Estagund</t>
  </si>
  <si>
    <t>Halruaa</t>
  </si>
  <si>
    <t>Impiltur</t>
  </si>
  <si>
    <t>Lantan</t>
  </si>
  <si>
    <t>Luiren</t>
  </si>
  <si>
    <t>Moonshae Isles</t>
  </si>
  <si>
    <t>Mulhorand</t>
  </si>
  <si>
    <t>Murghôm</t>
  </si>
  <si>
    <t>Narfell</t>
  </si>
  <si>
    <t>Rashemen</t>
  </si>
  <si>
    <t>Sembia</t>
  </si>
  <si>
    <t>Semphar</t>
  </si>
  <si>
    <t>Sossal</t>
  </si>
  <si>
    <t>Tethyr</t>
  </si>
  <si>
    <t>Thay</t>
  </si>
  <si>
    <t>Thesk</t>
  </si>
  <si>
    <t>Turmish</t>
  </si>
  <si>
    <t>Ulgarth</t>
  </si>
  <si>
    <t>Unther</t>
  </si>
  <si>
    <t>Vaasa</t>
  </si>
  <si>
    <t>Var the Golden</t>
  </si>
  <si>
    <t>Veldorn</t>
  </si>
  <si>
    <t>Neutral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</si>
</sst>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/>
    </xf>
    <xf numFmtId="0" fontId="1" fillId="0" borderId="0" xfId="55" applyAlignment="1">
      <alignment horizontal="left"/>
    </xf>
    <xf numFmtId="0" fontId="1" fillId="0" borderId="0" xfId="55"/>
    <xf numFmtId="0" fontId="0" fillId="0" borderId="0" xfId="0" applyNumberFormat="1" applyAlignment="1">
      <alignment horizontal="left"/>
    </xf>
  </cellXfs>
  <cellStyles count="6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/>
    <cellStyle name="Normal" xfId="0" builtinId="0"/>
  </cellStyles>
  <dxfs count="82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blAppearance" displayName="tblAppearance" ref="D1:E21" totalsRowShown="0" headerRowDxfId="81" dataDxfId="80">
  <autoFilter ref="D1:E21"/>
  <tableColumns count="2">
    <tableColumn id="1" name="Roll" dataDxfId="79"/>
    <tableColumn id="2" name="Appearance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HighAbility" displayName="tblHighAbility" ref="G15:H21" totalsRowShown="0" headerRowDxfId="77" dataDxfId="76">
  <autoFilter ref="G15:H21"/>
  <tableColumns count="2">
    <tableColumn id="1" name="Roll" dataDxfId="75"/>
    <tableColumn id="2" name="HighAbility" dataDxfId="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LowAbility" displayName="tblLowAbility" ref="G23:H29" totalsRowShown="0" headerRowDxfId="73" dataDxfId="72">
  <autoFilter ref="G23:H29"/>
  <tableColumns count="2">
    <tableColumn id="1" name="Roll" dataDxfId="71"/>
    <tableColumn id="2" name="LowAbility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Talents" displayName="tblTalents" ref="D23:E43" totalsRowShown="0" headerRowDxfId="69" dataDxfId="68">
  <autoFilter ref="D23:E43"/>
  <tableColumns count="2">
    <tableColumn id="1" name="Roll" dataDxfId="67"/>
    <tableColumn id="2" name="Talents" dataDxfId="6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Mannerisms" displayName="tblMannerisms" ref="D45:E65" totalsRowShown="0" headerRowDxfId="65" dataDxfId="64">
  <autoFilter ref="D45:E65"/>
  <tableColumns count="2">
    <tableColumn id="1" name="Roll" dataDxfId="63"/>
    <tableColumn id="2" name="Mannerisms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InteractionStyle" displayName="tblInteractionStyle" ref="G31:H44" totalsRowShown="0" headerRowDxfId="61" dataDxfId="60">
  <autoFilter ref="G31:H44"/>
  <tableColumns count="2">
    <tableColumn id="1" name="Roll" dataDxfId="59"/>
    <tableColumn id="2" name="InteractionStyle" dataDxfId="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4" name="tblFlawSecret" displayName="tblFlawSecret" ref="G1:H13" totalsRowShown="0" headerRowDxfId="57" dataDxfId="56">
  <autoFilter ref="G1:H13"/>
  <tableColumns count="2">
    <tableColumn id="1" name="Roll" dataDxfId="55"/>
    <tableColumn id="2" name="FlawSecret" dataDxfId="5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6" name="tblAlignment" displayName="tblAlignment" ref="A1:B10" totalsRowShown="0" headerRowDxfId="53" dataDxfId="52">
  <autoFilter ref="A1:B10"/>
  <tableColumns count="2">
    <tableColumn id="1" name="Roll" dataDxfId="51"/>
    <tableColumn id="2" name="Alignment" dataDxfId="5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7" name="tblRace" displayName="tblRace" ref="A12:B22" totalsRowShown="0" headerRowDxfId="49" dataDxfId="48">
  <autoFilter ref="A12:B22"/>
  <tableColumns count="2">
    <tableColumn id="1" name="Roll" dataDxfId="47"/>
    <tableColumn id="2" name="Race" dataDxfId="4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8" name="tblGender" displayName="tblGender" ref="A24:B26" totalsRowShown="0" headerRowDxfId="45" dataDxfId="44">
  <autoFilter ref="A24:B26"/>
  <tableColumns count="2">
    <tableColumn id="1" name="Roll" dataDxfId="43"/>
    <tableColumn id="2" name="Gender" dataDxfId="4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9" name="tblClass" displayName="tblClass" ref="A28:B39" totalsRowShown="0" headerRowDxfId="41" dataDxfId="40">
  <autoFilter ref="A28:B39"/>
  <tableColumns count="2">
    <tableColumn id="1" name="Roll" dataDxfId="39"/>
    <tableColumn id="2" name="Class" dataDxfId="3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tblNPCRolls21" displayName="tblNPCRolls21" ref="M1:P16" totalsRowShown="0" headerRowDxfId="37" dataDxfId="36">
  <autoFilter ref="M1:P16"/>
  <tableColumns count="4">
    <tableColumn id="1" name="Element" dataDxfId="35"/>
    <tableColumn id="2" name="Roll" dataDxfId="34">
      <calculatedColumnFormula>RANDBETWEEN(1,COUNT(INDIRECT("tbl"&amp;tblNPCRolls21[[#This Row],[Element]]&amp;"[Roll]")))</calculatedColumnFormula>
    </tableColumn>
    <tableColumn id="4" name="Value" dataDxfId="33">
      <calculatedColumnFormula>VLOOKUP(tblNPCRolls21[[#This Row],[Roll]],INDIRECT("tbl"&amp;tblNPCRolls21[[#This Row],[Element]]),2,FALSE)</calculatedColumnFormula>
    </tableColumn>
    <tableColumn id="3" name="Lock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Bonds" displayName="tblBonds" ref="G46:H55" totalsRowShown="0" headerRowDxfId="31" dataDxfId="30">
  <autoFilter ref="G46:H55"/>
  <tableColumns count="2">
    <tableColumn id="1" name="Roll" dataDxfId="29"/>
    <tableColumn id="2" name="Bonds" dataDxfId="2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2" name="tblOtherIdeal" displayName="tblOtherIdeal" ref="J41:K47" totalsRowShown="0" headerRowDxfId="27" dataDxfId="26">
  <autoFilter ref="J41:K47"/>
  <tableColumns count="2">
    <tableColumn id="1" name="Roll" dataDxfId="25"/>
    <tableColumn id="2" name="OtherIdeal" dataDxfId="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1" name="tblNeutralIdeal" displayName="tblNeutralIdeal" ref="J33:K39" totalsRowShown="0" headerRowDxfId="23" dataDxfId="22">
  <autoFilter ref="J33:K39"/>
  <tableColumns count="2">
    <tableColumn id="1" name="Roll" dataDxfId="21"/>
    <tableColumn id="2" name="NeutralIdeal" dataDxfId="2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tblChaoticIdeal" displayName="tblChaoticIdeal" ref="J25:K31" totalsRowShown="0" headerRowDxfId="19" dataDxfId="18">
  <autoFilter ref="J25:K31"/>
  <tableColumns count="2">
    <tableColumn id="1" name="Roll" dataDxfId="17"/>
    <tableColumn id="2" name="ChaoticIdeal" dataDxf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tblLawfulIdeal" displayName="tblLawfulIdeal" ref="J17:K23" totalsRowShown="0" headerRowDxfId="15" dataDxfId="14">
  <autoFilter ref="J17:K23"/>
  <tableColumns count="2">
    <tableColumn id="1" name="Roll" dataDxfId="13"/>
    <tableColumn id="2" name="LawfulIdeal" dataDxfId="1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8" name="tblEvilIdeal" displayName="tblEvilIdeal" ref="J9:K15" totalsRowShown="0" headerRowDxfId="11" dataDxfId="10">
  <autoFilter ref="J9:K15"/>
  <tableColumns count="2">
    <tableColumn id="1" name="Roll" dataDxfId="9"/>
    <tableColumn id="2" name="EvilIdeal" dataDxf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tblGoodIdeal" displayName="tblGoodIdeal" ref="J1:K7" totalsRowShown="0" headerRowDxfId="7" dataDxfId="6">
  <autoFilter ref="J1:K7"/>
  <tableColumns count="2">
    <tableColumn id="1" name="Roll" dataDxfId="5"/>
    <tableColumn id="2" name="GoodIdeal" dataDxfId="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5" name="tblNation" displayName="tblNation" ref="A41:B72" totalsRowShown="0" headerRowDxfId="0" dataDxfId="1">
  <autoFilter ref="A41:B72"/>
  <tableColumns count="2">
    <tableColumn id="1" name="Roll" dataDxfId="3"/>
    <tableColumn id="2" name="Na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s-media-cache-ak0.pinimg.com/564x/ea/4e/52/ea4e524f1e38c58709d835fcf3094afa.jpg" TargetMode="External"/><Relationship Id="rId18" Type="http://schemas.openxmlformats.org/officeDocument/2006/relationships/hyperlink" Target="https://s-media-cache-ak0.pinimg.com/originals/a1/37/66/a1376601f1493eefc0b677d26e86887c.jpg" TargetMode="External"/><Relationship Id="rId26" Type="http://schemas.openxmlformats.org/officeDocument/2006/relationships/hyperlink" Target="http://donjon.bin.sh/fantasy/name/" TargetMode="External"/><Relationship Id="rId39" Type="http://schemas.openxmlformats.org/officeDocument/2006/relationships/table" Target="../tables/table9.xml"/><Relationship Id="rId3" Type="http://schemas.openxmlformats.org/officeDocument/2006/relationships/hyperlink" Target="http://img4.wikia.nocookie.net/__cb20080301231104/gauntlet/images/d/d1/Elf.jpg" TargetMode="External"/><Relationship Id="rId21" Type="http://schemas.openxmlformats.org/officeDocument/2006/relationships/hyperlink" Target="http://images.akamai.steamusercontent.com/ugc/470919765628016583/5320D61D74742BE14ABB72826214B1EBABA3510B/" TargetMode="External"/><Relationship Id="rId34" Type="http://schemas.openxmlformats.org/officeDocument/2006/relationships/table" Target="../tables/table4.xml"/><Relationship Id="rId42" Type="http://schemas.openxmlformats.org/officeDocument/2006/relationships/table" Target="../tables/table12.xml"/><Relationship Id="rId47" Type="http://schemas.openxmlformats.org/officeDocument/2006/relationships/table" Target="../tables/table17.xml"/><Relationship Id="rId50" Type="http://schemas.openxmlformats.org/officeDocument/2006/relationships/table" Target="../tables/table20.xml"/><Relationship Id="rId7" Type="http://schemas.openxmlformats.org/officeDocument/2006/relationships/hyperlink" Target="https://67.media.tumblr.com/ac22eb08a9fd44003e2e0a4f884e1641/tumblr_o1llmtXcyd1sjxgryo1_r2_500.jpg" TargetMode="External"/><Relationship Id="rId12" Type="http://schemas.openxmlformats.org/officeDocument/2006/relationships/hyperlink" Target="https://s-media-cache-ak0.pinimg.com/originals/e5/f1/b0/e5f1b0f1dcc966589960dd26f7bf29cd.jpg" TargetMode="External"/><Relationship Id="rId17" Type="http://schemas.openxmlformats.org/officeDocument/2006/relationships/hyperlink" Target="https://s-media-cache-ak0.pinimg.com/736x/12/4e/ae/124eae1719c4933baefc6679b8bfee04.jpg" TargetMode="External"/><Relationship Id="rId25" Type="http://schemas.openxmlformats.org/officeDocument/2006/relationships/hyperlink" Target="https://s-media-cache-ak0.pinimg.com/564x/02/29/40/0229408bad97b85b09e7e3ff93a60fd7.jpg" TargetMode="External"/><Relationship Id="rId33" Type="http://schemas.openxmlformats.org/officeDocument/2006/relationships/table" Target="../tables/table3.xml"/><Relationship Id="rId38" Type="http://schemas.openxmlformats.org/officeDocument/2006/relationships/table" Target="../tables/table8.xml"/><Relationship Id="rId46" Type="http://schemas.openxmlformats.org/officeDocument/2006/relationships/table" Target="../tables/table16.xml"/><Relationship Id="rId2" Type="http://schemas.openxmlformats.org/officeDocument/2006/relationships/hyperlink" Target="https://s-media-cache-ak0.pinimg.com/564x/8e/40/32/8e40329bcb7928b2dcd3d102ae1511b9.jpg" TargetMode="External"/><Relationship Id="rId16" Type="http://schemas.openxmlformats.org/officeDocument/2006/relationships/hyperlink" Target="https://s-media-cache-ak0.pinimg.com/236x/b5/81/92/b581925139b5768252c0701f8fda7baf.jpg" TargetMode="External"/><Relationship Id="rId20" Type="http://schemas.openxmlformats.org/officeDocument/2006/relationships/hyperlink" Target="http://img4.wikia.nocookie.net/__cb20140721210529/forgottenrealms/images/f/fc/157992_SunElfWizard_ScottMFischer.jpg" TargetMode="External"/><Relationship Id="rId29" Type="http://schemas.openxmlformats.org/officeDocument/2006/relationships/hyperlink" Target="https://www.google.com/search?tbm=isch&amp;tbs=rimg%3ACa6ftBWo-ofsIjgQuYV8FlDrrkpi1w_19FUCmvIfl_1MxePNkpHC91nwVgjgxckfQpjuGz3F918fPRoDP4w6ABv3gYbyoSCRC5hXwWUOuuEcXanG9PBPg4KhIJSmLXD_10VQKYR6Vhib9Oox38qEgm8h-X8zF482RE_1Q4V1_1OP9QyoSCSkcL3WfBWCOERh4Nxjb" TargetMode="External"/><Relationship Id="rId41" Type="http://schemas.openxmlformats.org/officeDocument/2006/relationships/table" Target="../tables/table11.xml"/><Relationship Id="rId1" Type="http://schemas.openxmlformats.org/officeDocument/2006/relationships/hyperlink" Target="http://www.joshuad.net/new-bard-handbook-files/imgs/dragonborn.jpg" TargetMode="External"/><Relationship Id="rId6" Type="http://schemas.openxmlformats.org/officeDocument/2006/relationships/hyperlink" Target="http://cdn.obsidianportal.com/assets/163238/Rosie.jpg" TargetMode="External"/><Relationship Id="rId11" Type="http://schemas.openxmlformats.org/officeDocument/2006/relationships/hyperlink" Target="http://vignette3.wikia.nocookie.net/officialbestiary/images/e/ec/HalfBloodElf.jpg/revision/latest?cb=20150625231436" TargetMode="External"/><Relationship Id="rId24" Type="http://schemas.openxmlformats.org/officeDocument/2006/relationships/hyperlink" Target="https://skaldforge.files.wordpress.com/2014/10/tw2_full_triss.png" TargetMode="External"/><Relationship Id="rId32" Type="http://schemas.openxmlformats.org/officeDocument/2006/relationships/table" Target="../tables/table2.xml"/><Relationship Id="rId37" Type="http://schemas.openxmlformats.org/officeDocument/2006/relationships/table" Target="../tables/table7.xml"/><Relationship Id="rId40" Type="http://schemas.openxmlformats.org/officeDocument/2006/relationships/table" Target="../tables/table10.xml"/><Relationship Id="rId45" Type="http://schemas.openxmlformats.org/officeDocument/2006/relationships/table" Target="../tables/table15.xml"/><Relationship Id="rId5" Type="http://schemas.openxmlformats.org/officeDocument/2006/relationships/hyperlink" Target="https://olddungeonmaster.files.wordpress.com/2013/02/halfling_barbarian.jpg?w=340" TargetMode="External"/><Relationship Id="rId15" Type="http://schemas.openxmlformats.org/officeDocument/2006/relationships/hyperlink" Target="https://s-media-cache-ak0.pinimg.com/236x/e1/35/36/e13536e4d62f526ad7ce0b346f776276.jpg" TargetMode="External"/><Relationship Id="rId23" Type="http://schemas.openxmlformats.org/officeDocument/2006/relationships/hyperlink" Target="https://s-media-cache-ak0.pinimg.com/564x/ce/fd/84/cefd84fd0d561697358675af47df0355.jpg" TargetMode="External"/><Relationship Id="rId28" Type="http://schemas.openxmlformats.org/officeDocument/2006/relationships/hyperlink" Target="https://www.google.com/search?tbm=isch&amp;tbs=rimg%3ACTz1B5bG1hXtIjjY6R-Au2MX2tDz7j-XsZmZFhjIGlp264Y4oaUCr2WCiYC2i8-UqAag5vvi_1uEVFdTPz0z0NkrMcyoSCdjpH4C7YxfaEUGayDG3kNX3KhIJ0PPuP5exmZkRozP8u-so-IYqEgkWGMgaWnbrhhGVbNEtA9PI2CoSCTihpQKvZYKJEZRqJ-qC-xgm" TargetMode="External"/><Relationship Id="rId36" Type="http://schemas.openxmlformats.org/officeDocument/2006/relationships/table" Target="../tables/table6.xml"/><Relationship Id="rId49" Type="http://schemas.openxmlformats.org/officeDocument/2006/relationships/table" Target="../tables/table19.xml"/><Relationship Id="rId10" Type="http://schemas.openxmlformats.org/officeDocument/2006/relationships/hyperlink" Target="https://neverwintervault.org/sites/neverwintervault.org/files/project/23126/images/1141419625fullres.jpg" TargetMode="External"/><Relationship Id="rId19" Type="http://schemas.openxmlformats.org/officeDocument/2006/relationships/hyperlink" Target="https://s-media-cache-ak0.pinimg.com/236x/61/79/12/61791226038bc8e17209830e63c467d2.jpg" TargetMode="External"/><Relationship Id="rId31" Type="http://schemas.openxmlformats.org/officeDocument/2006/relationships/table" Target="../tables/table1.xml"/><Relationship Id="rId44" Type="http://schemas.openxmlformats.org/officeDocument/2006/relationships/table" Target="../tables/table14.xml"/><Relationship Id="rId4" Type="http://schemas.openxmlformats.org/officeDocument/2006/relationships/hyperlink" Target="http://images.akamai.steamusercontent.com/ugc/488932624340347658/C5B791D41F4AACF9259396AE09670E39D821316D/" TargetMode="External"/><Relationship Id="rId9" Type="http://schemas.openxmlformats.org/officeDocument/2006/relationships/hyperlink" Target="https://67.media.tumblr.com/ad5b5821bc6d96ef8b72bce8a2203f01/tumblr_o2v4s7kLX81qgktxbo1_500.jpg" TargetMode="External"/><Relationship Id="rId14" Type="http://schemas.openxmlformats.org/officeDocument/2006/relationships/hyperlink" Target="http://orig10.deviantart.net/c107/f/2014/318/2/5/female_dwarf_render_by_shiroyama_chan-d86el2p.png" TargetMode="External"/><Relationship Id="rId22" Type="http://schemas.openxmlformats.org/officeDocument/2006/relationships/hyperlink" Target="https://s-media-cache-ak0.pinimg.com/236x/bc/43/74/bc4374c99f6566d34bd3a4fe0a406a91.jpg" TargetMode="External"/><Relationship Id="rId27" Type="http://schemas.openxmlformats.org/officeDocument/2006/relationships/hyperlink" Target="https://www.google.com/search?tbm=isch&amp;tbs=rimg%3ACXJvh-z1sB40IjjE8FvY26NuvdXzo2OqdYm9kVPzDiIlPZXE-HQ1xJeLwinzn2zprfTlxFWtipS8wsF-tUysVOndGCoSCcTwW9jbo269EZR84x9cUlvLKhIJ1fOjY6p1ib0RkFUdjcKmqF0qEgmRU_1MOIiU9lRH3fDZutcR6ACoSCcT4dDXEl4vCEVB91X27CmHS" TargetMode="External"/><Relationship Id="rId30" Type="http://schemas.openxmlformats.org/officeDocument/2006/relationships/printerSettings" Target="../printerSettings/printerSettings1.bin"/><Relationship Id="rId35" Type="http://schemas.openxmlformats.org/officeDocument/2006/relationships/table" Target="../tables/table5.xml"/><Relationship Id="rId43" Type="http://schemas.openxmlformats.org/officeDocument/2006/relationships/table" Target="../tables/table13.xml"/><Relationship Id="rId48" Type="http://schemas.openxmlformats.org/officeDocument/2006/relationships/table" Target="../tables/table18.xml"/><Relationship Id="rId8" Type="http://schemas.openxmlformats.org/officeDocument/2006/relationships/hyperlink" Target="http://www.nerdsonearth.com/wp-content/uploads/2015/08/PZO9009-Monk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90"/>
  <sheetViews>
    <sheetView tabSelected="1" topLeftCell="L1" workbookViewId="0">
      <selection activeCell="O20" sqref="O20"/>
    </sheetView>
  </sheetViews>
  <sheetFormatPr defaultColWidth="8.85546875" defaultRowHeight="15" outlineLevelCol="1" x14ac:dyDescent="0.25"/>
  <cols>
    <col min="1" max="1" width="6.7109375" style="1" hidden="1" customWidth="1" outlineLevel="1"/>
    <col min="2" max="2" width="12.7109375" style="1" hidden="1" customWidth="1" outlineLevel="1"/>
    <col min="3" max="3" width="2.42578125" style="1" hidden="1" customWidth="1" outlineLevel="1"/>
    <col min="4" max="4" width="6.7109375" style="1" hidden="1" customWidth="1" outlineLevel="1"/>
    <col min="5" max="5" width="42.140625" style="1" hidden="1" customWidth="1" outlineLevel="1"/>
    <col min="6" max="6" width="2.42578125" style="1" hidden="1" customWidth="1" outlineLevel="1"/>
    <col min="7" max="7" width="6.7109375" style="1" hidden="1" customWidth="1" outlineLevel="1"/>
    <col min="8" max="8" width="36.7109375" style="1" hidden="1" customWidth="1" outlineLevel="1"/>
    <col min="9" max="9" width="2.42578125" style="1" hidden="1" customWidth="1" outlineLevel="1"/>
    <col min="10" max="10" width="6.7109375" style="1" hidden="1" customWidth="1" outlineLevel="1"/>
    <col min="11" max="11" width="13.28515625" style="1" hidden="1" customWidth="1" outlineLevel="1"/>
    <col min="12" max="12" width="8.85546875" style="1" collapsed="1"/>
    <col min="13" max="13" width="12.85546875" style="1" bestFit="1" customWidth="1"/>
    <col min="14" max="14" width="6.7109375" style="1" bestFit="1" customWidth="1"/>
    <col min="15" max="15" width="33.42578125" style="1" bestFit="1" customWidth="1"/>
    <col min="16" max="16" width="6.7109375" style="1" bestFit="1" customWidth="1"/>
    <col min="17" max="17" width="6.7109375" style="1" customWidth="1"/>
    <col min="18" max="18" width="28.42578125" style="1" bestFit="1" customWidth="1"/>
    <col min="19" max="26" width="8.28515625" style="1" customWidth="1"/>
    <col min="27" max="27" width="15.85546875" style="1" bestFit="1" customWidth="1"/>
    <col min="28" max="28" width="8.85546875" style="1"/>
    <col min="29" max="29" width="6.7109375" style="1" bestFit="1" customWidth="1"/>
    <col min="30" max="30" width="36.7109375" style="1" bestFit="1" customWidth="1"/>
    <col min="31" max="31" width="8.85546875" style="1"/>
    <col min="32" max="32" width="6.7109375" style="1" customWidth="1"/>
    <col min="33" max="33" width="33.28515625" style="1" bestFit="1" customWidth="1"/>
    <col min="34" max="34" width="8.85546875" style="1"/>
    <col min="35" max="35" width="6.7109375" style="1" customWidth="1"/>
    <col min="36" max="36" width="11.7109375" style="1" bestFit="1" customWidth="1"/>
    <col min="37" max="37" width="8.85546875" style="1"/>
    <col min="38" max="38" width="6.7109375" style="1" customWidth="1"/>
    <col min="39" max="39" width="13.140625" style="1" bestFit="1" customWidth="1"/>
    <col min="40" max="40" width="8.85546875" style="1"/>
    <col min="41" max="41" width="6.7109375" style="1" customWidth="1"/>
    <col min="42" max="42" width="13.28515625" style="1" bestFit="1" customWidth="1"/>
    <col min="43" max="16384" width="8.85546875" style="1"/>
  </cols>
  <sheetData>
    <row r="1" spans="1:23" x14ac:dyDescent="0.25">
      <c r="A1" s="1" t="s">
        <v>0</v>
      </c>
      <c r="B1" s="1" t="s">
        <v>15</v>
      </c>
      <c r="D1" s="1" t="s">
        <v>0</v>
      </c>
      <c r="E1" s="1" t="s">
        <v>1</v>
      </c>
      <c r="G1" s="1" t="s">
        <v>0</v>
      </c>
      <c r="H1" s="1" t="s">
        <v>14</v>
      </c>
      <c r="J1" s="1" t="s">
        <v>0</v>
      </c>
      <c r="K1" s="1" t="s">
        <v>7</v>
      </c>
      <c r="M1" s="1" t="s">
        <v>19</v>
      </c>
      <c r="N1" s="1" t="s">
        <v>0</v>
      </c>
      <c r="O1" s="1" t="s">
        <v>29</v>
      </c>
      <c r="P1" s="1" t="s">
        <v>193</v>
      </c>
    </row>
    <row r="2" spans="1:23" x14ac:dyDescent="0.25">
      <c r="A2" s="1">
        <v>1</v>
      </c>
      <c r="B2" s="1" t="s">
        <v>21</v>
      </c>
      <c r="D2" s="1">
        <v>1</v>
      </c>
      <c r="E2" s="1" t="s">
        <v>88</v>
      </c>
      <c r="G2" s="1">
        <v>1</v>
      </c>
      <c r="H2" s="1" t="s">
        <v>75</v>
      </c>
      <c r="J2" s="1">
        <v>1</v>
      </c>
      <c r="K2" s="1" t="s">
        <v>148</v>
      </c>
      <c r="M2" s="1" t="s">
        <v>15</v>
      </c>
      <c r="N2" s="1">
        <f ca="1">RANDBETWEEN(1,COUNT(INDIRECT("tbl"&amp;tblNPCRolls21[[#This Row],[Element]]&amp;"[Roll]")))</f>
        <v>9</v>
      </c>
      <c r="O2" s="1" t="str">
        <f ca="1">VLOOKUP(tblNPCRolls21[[#This Row],[Roll]],INDIRECT("tbl"&amp;tblNPCRolls21[[#This Row],[Element]]),2,FALSE)</f>
        <v>Chaotic Evil</v>
      </c>
      <c r="S2" s="1" t="s">
        <v>197</v>
      </c>
      <c r="T2" s="1" t="s">
        <v>201</v>
      </c>
      <c r="U2" s="1" t="s">
        <v>200</v>
      </c>
      <c r="V2" s="1" t="s">
        <v>204</v>
      </c>
      <c r="W2" s="1" t="s">
        <v>205</v>
      </c>
    </row>
    <row r="3" spans="1:23" x14ac:dyDescent="0.25">
      <c r="A3" s="1">
        <v>2</v>
      </c>
      <c r="B3" s="1" t="s">
        <v>22</v>
      </c>
      <c r="D3" s="1">
        <v>2</v>
      </c>
      <c r="E3" s="1" t="s">
        <v>89</v>
      </c>
      <c r="G3" s="1">
        <v>2</v>
      </c>
      <c r="H3" s="1" t="s">
        <v>76</v>
      </c>
      <c r="J3" s="1">
        <v>2</v>
      </c>
      <c r="K3" s="1" t="s">
        <v>149</v>
      </c>
      <c r="M3" s="1" t="s">
        <v>16</v>
      </c>
      <c r="N3" s="1">
        <f ca="1">RANDBETWEEN(1,COUNT(INDIRECT("tbl"&amp;tblNPCRolls21[[#This Row],[Element]]&amp;"[Roll]")))</f>
        <v>6</v>
      </c>
      <c r="O3" s="1" t="str">
        <f ca="1">VLOOKUP(tblNPCRolls21[[#This Row],[Roll]],INDIRECT("tbl"&amp;tblNPCRolls21[[#This Row],[Element]]),2,FALSE)</f>
        <v>Half-Elf</v>
      </c>
      <c r="R3" s="1" t="s">
        <v>15</v>
      </c>
      <c r="S3" s="1" t="s">
        <v>24</v>
      </c>
      <c r="T3" s="1" t="s">
        <v>26</v>
      </c>
      <c r="U3" s="1" t="s">
        <v>26</v>
      </c>
      <c r="V3" s="1" t="s">
        <v>25</v>
      </c>
      <c r="W3" s="1" t="s">
        <v>26</v>
      </c>
    </row>
    <row r="4" spans="1:23" x14ac:dyDescent="0.25">
      <c r="A4" s="1">
        <v>3</v>
      </c>
      <c r="B4" s="1" t="s">
        <v>26</v>
      </c>
      <c r="D4" s="1">
        <v>3</v>
      </c>
      <c r="E4" s="1" t="s">
        <v>90</v>
      </c>
      <c r="G4" s="1">
        <v>3</v>
      </c>
      <c r="H4" s="1" t="s">
        <v>77</v>
      </c>
      <c r="J4" s="1">
        <v>3</v>
      </c>
      <c r="K4" s="1" t="s">
        <v>150</v>
      </c>
      <c r="M4" s="1" t="s">
        <v>17</v>
      </c>
      <c r="N4" s="1">
        <f ca="1">RANDBETWEEN(1,COUNT(INDIRECT("tbl"&amp;tblNPCRolls21[[#This Row],[Element]]&amp;"[Roll]")))</f>
        <v>1</v>
      </c>
      <c r="O4" s="1" t="str">
        <f ca="1">VLOOKUP(tblNPCRolls21[[#This Row],[Roll]],INDIRECT("tbl"&amp;tblNPCRolls21[[#This Row],[Element]]),2,FALSE)</f>
        <v>Male</v>
      </c>
      <c r="R4" s="1" t="s">
        <v>16</v>
      </c>
      <c r="S4" s="1" t="s">
        <v>30</v>
      </c>
      <c r="T4" s="1" t="s">
        <v>35</v>
      </c>
      <c r="U4" s="1" t="s">
        <v>35</v>
      </c>
      <c r="V4" s="1" t="s">
        <v>35</v>
      </c>
      <c r="W4" s="1" t="s">
        <v>37</v>
      </c>
    </row>
    <row r="5" spans="1:23" x14ac:dyDescent="0.25">
      <c r="A5" s="1">
        <v>4</v>
      </c>
      <c r="B5" s="1" t="s">
        <v>23</v>
      </c>
      <c r="D5" s="1">
        <v>4</v>
      </c>
      <c r="E5" s="1" t="s">
        <v>91</v>
      </c>
      <c r="G5" s="1">
        <v>4</v>
      </c>
      <c r="H5" s="1" t="s">
        <v>78</v>
      </c>
      <c r="J5" s="1">
        <v>4</v>
      </c>
      <c r="K5" s="1" t="s">
        <v>151</v>
      </c>
      <c r="M5" s="1" t="s">
        <v>18</v>
      </c>
      <c r="N5" s="1">
        <f ca="1">RANDBETWEEN(1,COUNT(INDIRECT("tbl"&amp;tblNPCRolls21[[#This Row],[Element]]&amp;"[Roll]")))</f>
        <v>1</v>
      </c>
      <c r="O5" s="1" t="str">
        <f ca="1">VLOOKUP(tblNPCRolls21[[#This Row],[Roll]],INDIRECT("tbl"&amp;tblNPCRolls21[[#This Row],[Element]]),2,FALSE)</f>
        <v>Barbarian</v>
      </c>
      <c r="R5" s="1" t="s">
        <v>17</v>
      </c>
      <c r="S5" s="1" t="s">
        <v>41</v>
      </c>
      <c r="T5" s="1" t="s">
        <v>41</v>
      </c>
      <c r="U5" s="1" t="s">
        <v>41</v>
      </c>
      <c r="V5" s="1" t="s">
        <v>41</v>
      </c>
      <c r="W5" s="1" t="s">
        <v>40</v>
      </c>
    </row>
    <row r="6" spans="1:23" x14ac:dyDescent="0.25">
      <c r="A6" s="1">
        <v>5</v>
      </c>
      <c r="B6" s="1" t="s">
        <v>287</v>
      </c>
      <c r="D6" s="1">
        <v>5</v>
      </c>
      <c r="E6" s="1" t="s">
        <v>92</v>
      </c>
      <c r="G6" s="1">
        <v>5</v>
      </c>
      <c r="H6" s="1" t="s">
        <v>79</v>
      </c>
      <c r="J6" s="1">
        <v>5</v>
      </c>
      <c r="K6" s="1" t="s">
        <v>152</v>
      </c>
      <c r="M6" s="1" t="s">
        <v>1</v>
      </c>
      <c r="N6" s="1">
        <f ca="1">RANDBETWEEN(1,COUNT(INDIRECT("tbl"&amp;tblNPCRolls21[[#This Row],[Element]]&amp;"[Roll]")))</f>
        <v>16</v>
      </c>
      <c r="O6" s="1" t="str">
        <f ca="1">VLOOKUP(tblNPCRolls21[[#This Row],[Roll]],INDIRECT("tbl"&amp;tblNPCRolls21[[#This Row],[Element]]),2,FALSE)</f>
        <v>Nervous eye twitch</v>
      </c>
      <c r="R6" s="1" t="s">
        <v>18</v>
      </c>
      <c r="S6" s="1" t="s">
        <v>43</v>
      </c>
      <c r="T6" s="1" t="s">
        <v>46</v>
      </c>
      <c r="U6" s="1" t="s">
        <v>49</v>
      </c>
      <c r="V6" s="1" t="s">
        <v>48</v>
      </c>
      <c r="W6" s="1" t="s">
        <v>42</v>
      </c>
    </row>
    <row r="7" spans="1:23" x14ac:dyDescent="0.25">
      <c r="A7" s="1">
        <v>6</v>
      </c>
      <c r="B7" s="1" t="s">
        <v>24</v>
      </c>
      <c r="D7" s="1">
        <v>6</v>
      </c>
      <c r="E7" s="1" t="s">
        <v>93</v>
      </c>
      <c r="G7" s="1">
        <v>6</v>
      </c>
      <c r="H7" s="1" t="s">
        <v>80</v>
      </c>
      <c r="J7" s="1">
        <v>6</v>
      </c>
      <c r="K7" s="1" t="s">
        <v>153</v>
      </c>
      <c r="M7" s="1" t="s">
        <v>4</v>
      </c>
      <c r="N7" s="1">
        <f ca="1">RANDBETWEEN(1,COUNT(INDIRECT("tbl"&amp;tblNPCRolls21[[#This Row],[Element]]&amp;"[Roll]")))</f>
        <v>3</v>
      </c>
      <c r="O7" s="1" t="str">
        <f ca="1">VLOOKUP(tblNPCRolls21[[#This Row],[Roll]],INDIRECT("tbl"&amp;tblNPCRolls21[[#This Row],[Element]]),2,FALSE)</f>
        <v>Unbelievably lucky</v>
      </c>
      <c r="R7" s="1" t="s">
        <v>1</v>
      </c>
      <c r="S7" s="1" t="s">
        <v>89</v>
      </c>
      <c r="T7" s="1" t="s">
        <v>103</v>
      </c>
      <c r="U7" s="1" t="s">
        <v>101</v>
      </c>
      <c r="V7" s="1" t="s">
        <v>92</v>
      </c>
      <c r="W7" s="1" t="s">
        <v>102</v>
      </c>
    </row>
    <row r="8" spans="1:23" x14ac:dyDescent="0.25">
      <c r="A8" s="1">
        <v>7</v>
      </c>
      <c r="B8" s="1" t="s">
        <v>25</v>
      </c>
      <c r="D8" s="1">
        <v>7</v>
      </c>
      <c r="E8" s="1" t="s">
        <v>94</v>
      </c>
      <c r="G8" s="1">
        <v>7</v>
      </c>
      <c r="H8" s="1" t="s">
        <v>81</v>
      </c>
      <c r="M8" s="1" t="s">
        <v>5</v>
      </c>
      <c r="N8" s="1">
        <f ca="1">RANDBETWEEN(1,COUNT(INDIRECT("tbl"&amp;tblNPCRolls21[[#This Row],[Element]]&amp;"[Roll]")))</f>
        <v>19</v>
      </c>
      <c r="O8" s="1" t="str">
        <f ca="1">VLOOKUP(tblNPCRolls21[[#This Row],[Roll]],INDIRECT("tbl"&amp;tblNPCRolls21[[#This Row],[Element]]),2,FALSE)</f>
        <v>Bites fingernails</v>
      </c>
      <c r="R8" s="1" t="s">
        <v>4</v>
      </c>
      <c r="S8" s="1" t="s">
        <v>108</v>
      </c>
      <c r="T8" s="1" t="s">
        <v>126</v>
      </c>
      <c r="U8" s="1" t="s">
        <v>126</v>
      </c>
      <c r="V8" s="1" t="s">
        <v>119</v>
      </c>
      <c r="W8" s="1" t="s">
        <v>121</v>
      </c>
    </row>
    <row r="9" spans="1:23" x14ac:dyDescent="0.25">
      <c r="A9" s="1">
        <v>8</v>
      </c>
      <c r="B9" s="1" t="s">
        <v>27</v>
      </c>
      <c r="D9" s="1">
        <v>8</v>
      </c>
      <c r="E9" s="1" t="s">
        <v>95</v>
      </c>
      <c r="G9" s="1">
        <v>8</v>
      </c>
      <c r="H9" s="1" t="s">
        <v>82</v>
      </c>
      <c r="J9" s="1" t="s">
        <v>0</v>
      </c>
      <c r="K9" s="1" t="s">
        <v>8</v>
      </c>
      <c r="M9" s="1" t="s">
        <v>13</v>
      </c>
      <c r="N9" s="1">
        <f ca="1">RANDBETWEEN(1,COUNT(INDIRECT("tbl"&amp;tblNPCRolls21[[#This Row],[Element]]&amp;"[Roll]")))</f>
        <v>2</v>
      </c>
      <c r="O9" s="1" t="str">
        <f ca="1">VLOOKUP(tblNPCRolls21[[#This Row],[Roll]],INDIRECT("tbl"&amp;tblNPCRolls21[[#This Row],[Element]]),2,FALSE)</f>
        <v>Protective of close family members</v>
      </c>
      <c r="R9" s="1" t="s">
        <v>5</v>
      </c>
      <c r="S9" s="1" t="s">
        <v>142</v>
      </c>
      <c r="T9" s="1" t="s">
        <v>140</v>
      </c>
      <c r="U9" s="1" t="s">
        <v>141</v>
      </c>
      <c r="V9" s="1" t="s">
        <v>128</v>
      </c>
      <c r="W9" s="1" t="s">
        <v>131</v>
      </c>
    </row>
    <row r="10" spans="1:23" x14ac:dyDescent="0.25">
      <c r="A10" s="1">
        <v>9</v>
      </c>
      <c r="B10" s="1" t="s">
        <v>28</v>
      </c>
      <c r="D10" s="1">
        <v>9</v>
      </c>
      <c r="E10" s="1" t="s">
        <v>97</v>
      </c>
      <c r="G10" s="1">
        <v>9</v>
      </c>
      <c r="H10" s="1" t="s">
        <v>83</v>
      </c>
      <c r="J10" s="1">
        <v>1</v>
      </c>
      <c r="K10" s="1" t="s">
        <v>154</v>
      </c>
      <c r="M10" s="1" t="s">
        <v>6</v>
      </c>
      <c r="N10" s="1">
        <f ca="1">RANDBETWEEN(1,COUNT(INDIRECT("tbl"&amp;tblNPCRolls21[[#This Row],[Element]]&amp;"[Roll]")))</f>
        <v>6</v>
      </c>
      <c r="O10" s="1" t="str">
        <f ca="1">VLOOKUP(tblNPCRolls21[[#This Row],[Roll]],INDIRECT("tbl"&amp;tblNPCRolls21[[#This Row],[Element]]),2,FALSE)</f>
        <v>Friendly</v>
      </c>
      <c r="R10" s="1" t="s">
        <v>13</v>
      </c>
      <c r="S10" s="1" t="s">
        <v>188</v>
      </c>
      <c r="T10" s="1" t="s">
        <v>187</v>
      </c>
      <c r="U10" s="1" t="s">
        <v>192</v>
      </c>
      <c r="V10" s="1" t="s">
        <v>189</v>
      </c>
      <c r="W10" s="1" t="s">
        <v>186</v>
      </c>
    </row>
    <row r="11" spans="1:23" x14ac:dyDescent="0.25">
      <c r="D11" s="1">
        <v>10</v>
      </c>
      <c r="E11" s="1" t="s">
        <v>96</v>
      </c>
      <c r="G11" s="1">
        <v>10</v>
      </c>
      <c r="H11" s="1" t="s">
        <v>84</v>
      </c>
      <c r="J11" s="1">
        <v>2</v>
      </c>
      <c r="K11" s="1" t="s">
        <v>155</v>
      </c>
      <c r="M11" s="1" t="s">
        <v>14</v>
      </c>
      <c r="N11" s="1">
        <f ca="1">RANDBETWEEN(1,COUNT(INDIRECT("tbl"&amp;tblNPCRolls21[[#This Row],[Element]]&amp;"[Roll]")))</f>
        <v>5</v>
      </c>
      <c r="O11" s="1" t="str">
        <f ca="1">VLOOKUP(tblNPCRolls21[[#This Row],[Roll]],INDIRECT("tbl"&amp;tblNPCRolls21[[#This Row],[Element]]),2,FALSE)</f>
        <v>Overpowering greed</v>
      </c>
      <c r="R11" s="1" t="s">
        <v>6</v>
      </c>
      <c r="S11" s="1" t="s">
        <v>58</v>
      </c>
      <c r="T11" s="1" t="s">
        <v>60</v>
      </c>
      <c r="U11" s="1" t="s">
        <v>52</v>
      </c>
      <c r="V11" s="1" t="s">
        <v>52</v>
      </c>
      <c r="W11" s="1" t="s">
        <v>53</v>
      </c>
    </row>
    <row r="12" spans="1:23" x14ac:dyDescent="0.25">
      <c r="A12" s="1" t="s">
        <v>0</v>
      </c>
      <c r="B12" s="1" t="s">
        <v>16</v>
      </c>
      <c r="D12" s="1">
        <v>11</v>
      </c>
      <c r="E12" s="1" t="s">
        <v>98</v>
      </c>
      <c r="G12" s="1">
        <v>11</v>
      </c>
      <c r="H12" s="1" t="s">
        <v>85</v>
      </c>
      <c r="J12" s="1">
        <v>3</v>
      </c>
      <c r="K12" s="1" t="s">
        <v>156</v>
      </c>
      <c r="M12" s="1" t="s">
        <v>2</v>
      </c>
      <c r="N12" s="1">
        <f ca="1">RANDBETWEEN(1,COUNT(INDIRECT("tbl"&amp;tblNPCRolls21[[#This Row],[Element]]&amp;"[Roll]")))</f>
        <v>2</v>
      </c>
      <c r="O12" s="1" t="str">
        <f ca="1">VLOOKUP(tblNPCRolls21[[#This Row],[Roll]],INDIRECT("tbl"&amp;tblNPCRolls21[[#This Row],[Element]]),2,FALSE)</f>
        <v>Dexterity-lithe, agile, graceful</v>
      </c>
      <c r="R12" s="1" t="s">
        <v>14</v>
      </c>
      <c r="S12" s="1" t="s">
        <v>83</v>
      </c>
      <c r="T12" s="1" t="s">
        <v>80</v>
      </c>
      <c r="U12" s="1" t="s">
        <v>80</v>
      </c>
      <c r="V12" s="1" t="s">
        <v>85</v>
      </c>
      <c r="W12" s="1" t="s">
        <v>78</v>
      </c>
    </row>
    <row r="13" spans="1:23" x14ac:dyDescent="0.25">
      <c r="A13" s="1">
        <v>1</v>
      </c>
      <c r="B13" s="1" t="s">
        <v>30</v>
      </c>
      <c r="D13" s="1">
        <v>12</v>
      </c>
      <c r="E13" s="1" t="s">
        <v>99</v>
      </c>
      <c r="G13" s="1">
        <v>12</v>
      </c>
      <c r="H13" s="1" t="s">
        <v>86</v>
      </c>
      <c r="J13" s="1">
        <v>4</v>
      </c>
      <c r="K13" s="1" t="s">
        <v>157</v>
      </c>
      <c r="M13" s="1" t="s">
        <v>3</v>
      </c>
      <c r="N13" s="1">
        <f ca="1">RANDBETWEEN(1,COUNT(INDIRECT("tbl"&amp;tblNPCRolls21[[#This Row],[Element]]&amp;"[Roll]")))</f>
        <v>3</v>
      </c>
      <c r="O13" s="1" t="str">
        <f ca="1">VLOOKUP(tblNPCRolls21[[#This Row],[Roll]],INDIRECT("tbl"&amp;tblNPCRolls21[[#This Row],[Element]]),2,FALSE)</f>
        <v>Constitution-sickly, pale</v>
      </c>
      <c r="R13" s="1" t="s">
        <v>2</v>
      </c>
      <c r="S13" s="1" t="s">
        <v>63</v>
      </c>
      <c r="T13" s="1" t="s">
        <v>66</v>
      </c>
      <c r="U13" s="1" t="s">
        <v>64</v>
      </c>
      <c r="V13" s="1" t="s">
        <v>66</v>
      </c>
      <c r="W13" s="1" t="s">
        <v>65</v>
      </c>
    </row>
    <row r="14" spans="1:23" x14ac:dyDescent="0.25">
      <c r="A14" s="1">
        <v>2</v>
      </c>
      <c r="B14" s="1" t="s">
        <v>31</v>
      </c>
      <c r="D14" s="1">
        <v>13</v>
      </c>
      <c r="E14" s="1" t="s">
        <v>100</v>
      </c>
      <c r="J14" s="1">
        <v>5</v>
      </c>
      <c r="K14" s="1" t="s">
        <v>158</v>
      </c>
      <c r="M14" s="1" t="str">
        <f ca="1">LEFT(O2,FIND(" ",O2)-1)&amp;"Ideal"</f>
        <v>ChaoticIdeal</v>
      </c>
      <c r="N14" s="1">
        <f ca="1">RANDBETWEEN(1,COUNT(INDIRECT("tbl"&amp;tblNPCRolls21[[#This Row],[Element]]&amp;"[Roll]")))</f>
        <v>3</v>
      </c>
      <c r="O14" s="1" t="str">
        <f ca="1">VLOOKUP(tblNPCRolls21[[#This Row],[Roll]],INDIRECT("tbl"&amp;tblNPCRolls21[[#This Row],[Element]]),2,FALSE)</f>
        <v>Freeom</v>
      </c>
      <c r="R14" s="1" t="s">
        <v>3</v>
      </c>
      <c r="S14" s="1" t="s">
        <v>74</v>
      </c>
      <c r="T14" s="1" t="s">
        <v>73</v>
      </c>
      <c r="U14" s="1" t="s">
        <v>73</v>
      </c>
      <c r="V14" s="1" t="s">
        <v>74</v>
      </c>
      <c r="W14" s="1" t="s">
        <v>74</v>
      </c>
    </row>
    <row r="15" spans="1:23" x14ac:dyDescent="0.25">
      <c r="A15" s="1">
        <v>3</v>
      </c>
      <c r="B15" s="1" t="s">
        <v>32</v>
      </c>
      <c r="D15" s="1">
        <v>14</v>
      </c>
      <c r="E15" s="1" t="s">
        <v>101</v>
      </c>
      <c r="G15" s="1" t="s">
        <v>0</v>
      </c>
      <c r="H15" s="1" t="s">
        <v>2</v>
      </c>
      <c r="J15" s="1">
        <v>6</v>
      </c>
      <c r="K15" s="1" t="s">
        <v>159</v>
      </c>
      <c r="M15" s="1" t="str">
        <f ca="1">MID(O2,FIND(" ",O2)+1,LEN(O2)-FIND(" ",O2))&amp;"Ideal"</f>
        <v>EvilIdeal</v>
      </c>
      <c r="N15" s="1">
        <f ca="1">RANDBETWEEN(1,COUNT(INDIRECT("tbl"&amp;tblNPCRolls21[[#This Row],[Element]]&amp;"[Roll]")))</f>
        <v>4</v>
      </c>
      <c r="O15" s="1" t="str">
        <f ca="1">VLOOKUP(tblNPCRolls21[[#This Row],[Roll]],INDIRECT("tbl"&amp;tblNPCRolls21[[#This Row],[Element]]),2,FALSE)</f>
        <v>Pain</v>
      </c>
      <c r="R15" s="1" t="s">
        <v>9</v>
      </c>
      <c r="S15" s="1" t="s">
        <v>173</v>
      </c>
      <c r="T15" s="1" t="s">
        <v>161</v>
      </c>
      <c r="U15" s="1" t="s">
        <v>164</v>
      </c>
      <c r="V15" s="1" t="s">
        <v>167</v>
      </c>
      <c r="W15" s="1" t="s">
        <v>163</v>
      </c>
    </row>
    <row r="16" spans="1:23" x14ac:dyDescent="0.25">
      <c r="A16" s="1">
        <v>4</v>
      </c>
      <c r="B16" s="1" t="s">
        <v>33</v>
      </c>
      <c r="D16" s="1">
        <v>15</v>
      </c>
      <c r="E16" s="1" t="s">
        <v>102</v>
      </c>
      <c r="G16" s="1">
        <v>1</v>
      </c>
      <c r="H16" s="1" t="s">
        <v>63</v>
      </c>
      <c r="M16" s="1" t="s">
        <v>181</v>
      </c>
      <c r="N16" s="4">
        <f ca="1">RANDBETWEEN(1,COUNT(INDIRECT("tbl"&amp;tblNPCRolls21[[#This Row],[Element]]&amp;"[Roll]")))</f>
        <v>23</v>
      </c>
      <c r="O16" s="4" t="str">
        <f ca="1">VLOOKUP(tblNPCRolls21[[#This Row],[Roll]],INDIRECT("tbl"&amp;tblNPCRolls21[[#This Row],[Element]]),2,FALSE)</f>
        <v>Tethyr</v>
      </c>
      <c r="R16" s="1" t="s">
        <v>8</v>
      </c>
      <c r="S16" s="1" t="s">
        <v>158</v>
      </c>
      <c r="T16" s="1" t="s">
        <v>158</v>
      </c>
      <c r="U16" s="1" t="s">
        <v>158</v>
      </c>
      <c r="V16" s="1" t="s">
        <v>148</v>
      </c>
      <c r="W16" s="1" t="s">
        <v>155</v>
      </c>
    </row>
    <row r="17" spans="1:23" x14ac:dyDescent="0.25">
      <c r="A17" s="1">
        <v>5</v>
      </c>
      <c r="B17" s="1" t="s">
        <v>34</v>
      </c>
      <c r="D17" s="1">
        <v>16</v>
      </c>
      <c r="E17" s="1" t="s">
        <v>103</v>
      </c>
      <c r="G17" s="1">
        <v>2</v>
      </c>
      <c r="H17" s="1" t="s">
        <v>64</v>
      </c>
      <c r="J17" s="1" t="s">
        <v>0</v>
      </c>
      <c r="K17" s="1" t="s">
        <v>9</v>
      </c>
      <c r="R17" s="1" t="s">
        <v>195</v>
      </c>
      <c r="S17" s="2" t="s">
        <v>194</v>
      </c>
      <c r="T17" s="2" t="s">
        <v>198</v>
      </c>
      <c r="U17" s="2" t="s">
        <v>199</v>
      </c>
      <c r="V17" s="2" t="s">
        <v>202</v>
      </c>
      <c r="W17" s="2" t="s">
        <v>203</v>
      </c>
    </row>
    <row r="18" spans="1:23" x14ac:dyDescent="0.25">
      <c r="A18" s="1">
        <v>6</v>
      </c>
      <c r="B18" s="1" t="s">
        <v>35</v>
      </c>
      <c r="D18" s="1">
        <v>17</v>
      </c>
      <c r="E18" s="1" t="s">
        <v>104</v>
      </c>
      <c r="G18" s="1">
        <v>3</v>
      </c>
      <c r="H18" s="1" t="s">
        <v>65</v>
      </c>
      <c r="J18" s="1">
        <v>1</v>
      </c>
      <c r="K18" s="1" t="s">
        <v>160</v>
      </c>
      <c r="M18" s="2" t="s">
        <v>250</v>
      </c>
      <c r="R18" s="1" t="s">
        <v>196</v>
      </c>
      <c r="S18" s="1" t="s">
        <v>249</v>
      </c>
    </row>
    <row r="19" spans="1:23" x14ac:dyDescent="0.25">
      <c r="A19" s="1">
        <v>7</v>
      </c>
      <c r="B19" s="1" t="s">
        <v>36</v>
      </c>
      <c r="D19" s="1">
        <v>18</v>
      </c>
      <c r="E19" s="1" t="s">
        <v>107</v>
      </c>
      <c r="G19" s="1">
        <v>4</v>
      </c>
      <c r="H19" s="1" t="s">
        <v>66</v>
      </c>
      <c r="J19" s="1">
        <v>2</v>
      </c>
      <c r="K19" s="1" t="s">
        <v>161</v>
      </c>
    </row>
    <row r="20" spans="1:23" x14ac:dyDescent="0.25">
      <c r="A20" s="1">
        <v>8</v>
      </c>
      <c r="B20" s="1" t="s">
        <v>37</v>
      </c>
      <c r="D20" s="1">
        <v>19</v>
      </c>
      <c r="E20" s="1" t="s">
        <v>106</v>
      </c>
      <c r="G20" s="1">
        <v>5</v>
      </c>
      <c r="H20" s="1" t="s">
        <v>67</v>
      </c>
      <c r="J20" s="1">
        <v>3</v>
      </c>
      <c r="K20" s="1" t="s">
        <v>162</v>
      </c>
      <c r="S20" s="1" t="s">
        <v>206</v>
      </c>
      <c r="T20" s="1" t="s">
        <v>207</v>
      </c>
      <c r="U20" s="1" t="s">
        <v>208</v>
      </c>
      <c r="V20" s="1" t="s">
        <v>209</v>
      </c>
      <c r="W20" s="1" t="s">
        <v>210</v>
      </c>
    </row>
    <row r="21" spans="1:23" x14ac:dyDescent="0.25">
      <c r="A21" s="1">
        <v>9</v>
      </c>
      <c r="B21" s="1" t="s">
        <v>38</v>
      </c>
      <c r="D21" s="1">
        <v>20</v>
      </c>
      <c r="E21" s="1" t="s">
        <v>105</v>
      </c>
      <c r="G21" s="1">
        <v>6</v>
      </c>
      <c r="H21" s="1" t="s">
        <v>68</v>
      </c>
      <c r="J21" s="1">
        <v>4</v>
      </c>
      <c r="K21" s="1" t="s">
        <v>163</v>
      </c>
      <c r="M21" t="s">
        <v>251</v>
      </c>
      <c r="R21" s="1" t="s">
        <v>15</v>
      </c>
      <c r="S21" s="1" t="s">
        <v>25</v>
      </c>
      <c r="T21" s="1" t="s">
        <v>23</v>
      </c>
      <c r="U21" s="1" t="s">
        <v>27</v>
      </c>
      <c r="V21" s="1" t="s">
        <v>28</v>
      </c>
      <c r="W21" s="1" t="s">
        <v>21</v>
      </c>
    </row>
    <row r="22" spans="1:23" x14ac:dyDescent="0.25">
      <c r="A22" s="1">
        <v>10</v>
      </c>
      <c r="B22" s="1" t="s">
        <v>39</v>
      </c>
      <c r="J22" s="1">
        <v>5</v>
      </c>
      <c r="K22" s="1" t="s">
        <v>164</v>
      </c>
      <c r="M22" s="3" t="s">
        <v>252</v>
      </c>
      <c r="R22" s="1" t="s">
        <v>16</v>
      </c>
      <c r="S22" s="1" t="s">
        <v>34</v>
      </c>
      <c r="T22" s="1" t="s">
        <v>39</v>
      </c>
      <c r="U22" s="1" t="s">
        <v>35</v>
      </c>
      <c r="V22" s="1" t="s">
        <v>39</v>
      </c>
      <c r="W22" s="1" t="s">
        <v>31</v>
      </c>
    </row>
    <row r="23" spans="1:23" x14ac:dyDescent="0.25">
      <c r="D23" s="1" t="s">
        <v>0</v>
      </c>
      <c r="E23" s="1" t="s">
        <v>4</v>
      </c>
      <c r="G23" s="1" t="s">
        <v>0</v>
      </c>
      <c r="H23" s="1" t="s">
        <v>3</v>
      </c>
      <c r="J23" s="1">
        <v>6</v>
      </c>
      <c r="K23" s="1" t="s">
        <v>165</v>
      </c>
      <c r="M23" s="3" t="s">
        <v>253</v>
      </c>
      <c r="R23" s="1" t="s">
        <v>17</v>
      </c>
      <c r="S23" s="1" t="s">
        <v>41</v>
      </c>
      <c r="T23" s="1" t="s">
        <v>40</v>
      </c>
      <c r="U23" s="1" t="s">
        <v>40</v>
      </c>
      <c r="V23" s="1" t="s">
        <v>40</v>
      </c>
      <c r="W23" s="1" t="s">
        <v>41</v>
      </c>
    </row>
    <row r="24" spans="1:23" x14ac:dyDescent="0.25">
      <c r="A24" s="1" t="s">
        <v>0</v>
      </c>
      <c r="B24" s="1" t="s">
        <v>17</v>
      </c>
      <c r="D24" s="1">
        <v>1</v>
      </c>
      <c r="E24" s="1" t="s">
        <v>108</v>
      </c>
      <c r="G24" s="1">
        <v>1</v>
      </c>
      <c r="H24" s="1" t="s">
        <v>69</v>
      </c>
      <c r="M24" s="3" t="s">
        <v>254</v>
      </c>
      <c r="R24" s="1" t="s">
        <v>18</v>
      </c>
      <c r="S24" s="1" t="s">
        <v>43</v>
      </c>
      <c r="T24" s="1" t="s">
        <v>48</v>
      </c>
      <c r="U24" s="1" t="s">
        <v>45</v>
      </c>
      <c r="V24" s="1" t="s">
        <v>47</v>
      </c>
      <c r="W24" s="1" t="s">
        <v>45</v>
      </c>
    </row>
    <row r="25" spans="1:23" x14ac:dyDescent="0.25">
      <c r="A25" s="1">
        <v>1</v>
      </c>
      <c r="B25" s="1" t="s">
        <v>40</v>
      </c>
      <c r="D25" s="1">
        <v>2</v>
      </c>
      <c r="E25" s="1" t="s">
        <v>109</v>
      </c>
      <c r="G25" s="1">
        <v>2</v>
      </c>
      <c r="H25" s="1" t="s">
        <v>70</v>
      </c>
      <c r="J25" s="1" t="s">
        <v>0</v>
      </c>
      <c r="K25" s="1" t="s">
        <v>10</v>
      </c>
      <c r="M25"/>
      <c r="R25" s="1" t="s">
        <v>1</v>
      </c>
      <c r="S25" s="1" t="s">
        <v>100</v>
      </c>
      <c r="T25" s="1" t="s">
        <v>89</v>
      </c>
      <c r="U25" s="1" t="s">
        <v>93</v>
      </c>
      <c r="V25" s="1" t="s">
        <v>107</v>
      </c>
      <c r="W25" s="1" t="s">
        <v>91</v>
      </c>
    </row>
    <row r="26" spans="1:23" x14ac:dyDescent="0.25">
      <c r="A26" s="1">
        <v>2</v>
      </c>
      <c r="B26" s="1" t="s">
        <v>41</v>
      </c>
      <c r="D26" s="1">
        <v>3</v>
      </c>
      <c r="E26" s="1" t="s">
        <v>110</v>
      </c>
      <c r="G26" s="1">
        <v>3</v>
      </c>
      <c r="H26" s="1" t="s">
        <v>71</v>
      </c>
      <c r="J26" s="1">
        <v>1</v>
      </c>
      <c r="K26" s="1" t="s">
        <v>166</v>
      </c>
      <c r="R26" s="1" t="s">
        <v>4</v>
      </c>
      <c r="S26" s="1" t="s">
        <v>125</v>
      </c>
      <c r="T26" s="1" t="s">
        <v>110</v>
      </c>
      <c r="U26" s="1" t="s">
        <v>109</v>
      </c>
      <c r="V26" s="1" t="s">
        <v>112</v>
      </c>
      <c r="W26" s="1" t="s">
        <v>114</v>
      </c>
    </row>
    <row r="27" spans="1:23" x14ac:dyDescent="0.25">
      <c r="D27" s="1">
        <v>4</v>
      </c>
      <c r="E27" s="1" t="s">
        <v>111</v>
      </c>
      <c r="G27" s="1">
        <v>4</v>
      </c>
      <c r="H27" s="1" t="s">
        <v>72</v>
      </c>
      <c r="J27" s="1">
        <v>2</v>
      </c>
      <c r="K27" s="1" t="s">
        <v>167</v>
      </c>
      <c r="R27" s="1" t="s">
        <v>5</v>
      </c>
      <c r="S27" s="1" t="s">
        <v>146</v>
      </c>
      <c r="T27" s="1" t="s">
        <v>129</v>
      </c>
      <c r="U27" s="1" t="s">
        <v>130</v>
      </c>
      <c r="V27" s="1" t="s">
        <v>131</v>
      </c>
      <c r="W27" s="1" t="s">
        <v>135</v>
      </c>
    </row>
    <row r="28" spans="1:23" x14ac:dyDescent="0.25">
      <c r="A28" s="1" t="s">
        <v>0</v>
      </c>
      <c r="B28" s="1" t="s">
        <v>18</v>
      </c>
      <c r="D28" s="1">
        <v>5</v>
      </c>
      <c r="E28" s="1" t="s">
        <v>112</v>
      </c>
      <c r="G28" s="1">
        <v>5</v>
      </c>
      <c r="H28" s="1" t="s">
        <v>73</v>
      </c>
      <c r="J28" s="1">
        <v>3</v>
      </c>
      <c r="K28" s="1" t="s">
        <v>168</v>
      </c>
      <c r="R28" s="1" t="s">
        <v>13</v>
      </c>
      <c r="S28" s="1" t="s">
        <v>190</v>
      </c>
      <c r="T28" s="1" t="s">
        <v>186</v>
      </c>
      <c r="U28" s="1" t="s">
        <v>192</v>
      </c>
      <c r="V28" s="1" t="s">
        <v>186</v>
      </c>
      <c r="W28" s="1" t="s">
        <v>190</v>
      </c>
    </row>
    <row r="29" spans="1:23" x14ac:dyDescent="0.25">
      <c r="A29" s="1">
        <v>1</v>
      </c>
      <c r="B29" s="1" t="s">
        <v>42</v>
      </c>
      <c r="D29" s="1">
        <v>6</v>
      </c>
      <c r="E29" s="1" t="s">
        <v>113</v>
      </c>
      <c r="G29" s="1">
        <v>6</v>
      </c>
      <c r="H29" s="1" t="s">
        <v>74</v>
      </c>
      <c r="J29" s="1">
        <v>4</v>
      </c>
      <c r="K29" s="1" t="s">
        <v>169</v>
      </c>
      <c r="R29" s="1" t="s">
        <v>6</v>
      </c>
      <c r="S29" s="1" t="s">
        <v>57</v>
      </c>
      <c r="T29" s="1" t="s">
        <v>59</v>
      </c>
      <c r="U29" s="1" t="s">
        <v>56</v>
      </c>
      <c r="V29" s="1" t="s">
        <v>51</v>
      </c>
      <c r="W29" s="1" t="s">
        <v>62</v>
      </c>
    </row>
    <row r="30" spans="1:23" x14ac:dyDescent="0.25">
      <c r="A30" s="1">
        <v>2</v>
      </c>
      <c r="B30" s="1" t="s">
        <v>43</v>
      </c>
      <c r="D30" s="1">
        <v>7</v>
      </c>
      <c r="E30" s="1" t="s">
        <v>114</v>
      </c>
      <c r="J30" s="1">
        <v>5</v>
      </c>
      <c r="K30" s="1" t="s">
        <v>170</v>
      </c>
      <c r="R30" s="1" t="s">
        <v>14</v>
      </c>
      <c r="S30" s="1" t="s">
        <v>84</v>
      </c>
      <c r="T30" s="1" t="s">
        <v>76</v>
      </c>
      <c r="U30" s="1" t="s">
        <v>84</v>
      </c>
      <c r="V30" s="1" t="s">
        <v>86</v>
      </c>
      <c r="W30" s="1" t="s">
        <v>86</v>
      </c>
    </row>
    <row r="31" spans="1:23" x14ac:dyDescent="0.25">
      <c r="A31" s="1">
        <v>3</v>
      </c>
      <c r="B31" s="1" t="s">
        <v>44</v>
      </c>
      <c r="D31" s="1">
        <v>8</v>
      </c>
      <c r="E31" s="1" t="s">
        <v>115</v>
      </c>
      <c r="G31" s="1" t="s">
        <v>0</v>
      </c>
      <c r="H31" s="1" t="s">
        <v>6</v>
      </c>
      <c r="J31" s="1">
        <v>6</v>
      </c>
      <c r="K31" s="1" t="s">
        <v>171</v>
      </c>
      <c r="R31" s="1" t="s">
        <v>2</v>
      </c>
      <c r="S31" s="1" t="s">
        <v>64</v>
      </c>
      <c r="T31" s="1" t="s">
        <v>67</v>
      </c>
      <c r="U31" s="1" t="s">
        <v>68</v>
      </c>
      <c r="V31" s="1" t="s">
        <v>66</v>
      </c>
      <c r="W31" s="1" t="s">
        <v>63</v>
      </c>
    </row>
    <row r="32" spans="1:23" x14ac:dyDescent="0.25">
      <c r="A32" s="1">
        <v>4</v>
      </c>
      <c r="B32" s="1" t="s">
        <v>45</v>
      </c>
      <c r="D32" s="1">
        <v>9</v>
      </c>
      <c r="E32" s="1" t="s">
        <v>116</v>
      </c>
      <c r="G32" s="1">
        <v>1</v>
      </c>
      <c r="H32" s="1" t="s">
        <v>50</v>
      </c>
      <c r="R32" s="1" t="s">
        <v>3</v>
      </c>
      <c r="S32" s="1" t="s">
        <v>70</v>
      </c>
      <c r="T32" s="1" t="s">
        <v>73</v>
      </c>
      <c r="U32" s="1" t="s">
        <v>73</v>
      </c>
      <c r="V32" s="1" t="s">
        <v>71</v>
      </c>
      <c r="W32" s="1" t="s">
        <v>73</v>
      </c>
    </row>
    <row r="33" spans="1:23" x14ac:dyDescent="0.25">
      <c r="A33" s="1">
        <v>5</v>
      </c>
      <c r="B33" s="1" t="s">
        <v>46</v>
      </c>
      <c r="D33" s="1">
        <v>10</v>
      </c>
      <c r="E33" s="1" t="s">
        <v>117</v>
      </c>
      <c r="G33" s="1">
        <v>2</v>
      </c>
      <c r="H33" s="1" t="s">
        <v>51</v>
      </c>
      <c r="J33" s="1" t="s">
        <v>0</v>
      </c>
      <c r="K33" s="1" t="s">
        <v>11</v>
      </c>
      <c r="R33" s="1" t="s">
        <v>9</v>
      </c>
      <c r="S33" s="1" t="s">
        <v>171</v>
      </c>
      <c r="T33" s="1" t="s">
        <v>176</v>
      </c>
      <c r="U33" s="1" t="s">
        <v>170</v>
      </c>
      <c r="V33" s="1" t="s">
        <v>170</v>
      </c>
      <c r="W33" s="1" t="s">
        <v>161</v>
      </c>
    </row>
    <row r="34" spans="1:23" x14ac:dyDescent="0.25">
      <c r="A34" s="1">
        <v>6</v>
      </c>
      <c r="B34" s="1" t="s">
        <v>47</v>
      </c>
      <c r="D34" s="1">
        <v>11</v>
      </c>
      <c r="E34" s="1" t="s">
        <v>118</v>
      </c>
      <c r="G34" s="1">
        <v>3</v>
      </c>
      <c r="H34" s="1" t="s">
        <v>52</v>
      </c>
      <c r="J34" s="1">
        <v>1</v>
      </c>
      <c r="K34" s="1" t="s">
        <v>172</v>
      </c>
      <c r="R34" s="1" t="s">
        <v>8</v>
      </c>
      <c r="S34" s="1" t="s">
        <v>152</v>
      </c>
      <c r="T34" s="1" t="s">
        <v>152</v>
      </c>
      <c r="U34" s="1" t="s">
        <v>175</v>
      </c>
      <c r="V34" s="1" t="s">
        <v>159</v>
      </c>
      <c r="W34" s="1" t="s">
        <v>153</v>
      </c>
    </row>
    <row r="35" spans="1:23" x14ac:dyDescent="0.25">
      <c r="A35" s="1">
        <v>7</v>
      </c>
      <c r="B35" s="1" t="s">
        <v>48</v>
      </c>
      <c r="D35" s="1">
        <v>12</v>
      </c>
      <c r="E35" s="1" t="s">
        <v>119</v>
      </c>
      <c r="G35" s="1">
        <v>4</v>
      </c>
      <c r="H35" s="1" t="s">
        <v>53</v>
      </c>
      <c r="J35" s="1">
        <v>2</v>
      </c>
      <c r="K35" s="1" t="s">
        <v>173</v>
      </c>
      <c r="R35" s="1" t="s">
        <v>195</v>
      </c>
      <c r="S35" s="2" t="s">
        <v>228</v>
      </c>
      <c r="T35" s="2" t="s">
        <v>229</v>
      </c>
      <c r="U35" s="2" t="s">
        <v>230</v>
      </c>
      <c r="V35" s="2" t="s">
        <v>231</v>
      </c>
      <c r="W35" s="2" t="s">
        <v>232</v>
      </c>
    </row>
    <row r="36" spans="1:23" x14ac:dyDescent="0.25">
      <c r="A36" s="1">
        <v>8</v>
      </c>
      <c r="B36" s="1" t="s">
        <v>49</v>
      </c>
      <c r="D36" s="1">
        <v>13</v>
      </c>
      <c r="E36" s="1" t="s">
        <v>120</v>
      </c>
      <c r="G36" s="1">
        <v>5</v>
      </c>
      <c r="H36" s="1" t="s">
        <v>54</v>
      </c>
      <c r="J36" s="1">
        <v>3</v>
      </c>
      <c r="K36" s="1" t="s">
        <v>174</v>
      </c>
      <c r="R36" s="1" t="s">
        <v>196</v>
      </c>
    </row>
    <row r="37" spans="1:23" x14ac:dyDescent="0.25">
      <c r="A37" s="1">
        <v>9</v>
      </c>
      <c r="B37" s="1" t="s">
        <v>87</v>
      </c>
      <c r="D37" s="1">
        <v>14</v>
      </c>
      <c r="E37" s="1" t="s">
        <v>121</v>
      </c>
      <c r="G37" s="1">
        <v>6</v>
      </c>
      <c r="H37" s="1" t="s">
        <v>55</v>
      </c>
      <c r="J37" s="1">
        <v>4</v>
      </c>
      <c r="K37" s="1" t="s">
        <v>175</v>
      </c>
    </row>
    <row r="38" spans="1:23" x14ac:dyDescent="0.25">
      <c r="A38" s="1">
        <v>10</v>
      </c>
      <c r="B38" s="1" t="s">
        <v>226</v>
      </c>
      <c r="D38" s="1">
        <v>15</v>
      </c>
      <c r="E38" s="1" t="s">
        <v>122</v>
      </c>
      <c r="G38" s="1">
        <v>7</v>
      </c>
      <c r="H38" s="1" t="s">
        <v>56</v>
      </c>
      <c r="J38" s="1">
        <v>5</v>
      </c>
      <c r="K38" s="1" t="s">
        <v>176</v>
      </c>
      <c r="S38" s="1" t="s">
        <v>211</v>
      </c>
      <c r="T38" s="1" t="s">
        <v>212</v>
      </c>
      <c r="U38" s="1" t="s">
        <v>213</v>
      </c>
      <c r="V38" s="1" t="s">
        <v>214</v>
      </c>
      <c r="W38" s="1" t="s">
        <v>215</v>
      </c>
    </row>
    <row r="39" spans="1:23" x14ac:dyDescent="0.25">
      <c r="A39" s="1">
        <v>11</v>
      </c>
      <c r="B39" s="1" t="s">
        <v>227</v>
      </c>
      <c r="D39" s="1">
        <v>16</v>
      </c>
      <c r="E39" s="1" t="s">
        <v>123</v>
      </c>
      <c r="G39" s="1">
        <v>8</v>
      </c>
      <c r="H39" s="1" t="s">
        <v>57</v>
      </c>
      <c r="J39" s="1">
        <v>6</v>
      </c>
      <c r="K39" s="1" t="s">
        <v>177</v>
      </c>
      <c r="R39" s="1" t="s">
        <v>15</v>
      </c>
      <c r="S39" s="1" t="s">
        <v>23</v>
      </c>
      <c r="T39" s="1" t="s">
        <v>21</v>
      </c>
      <c r="U39" s="1" t="s">
        <v>24</v>
      </c>
      <c r="V39" s="1" t="s">
        <v>20</v>
      </c>
      <c r="W39" s="1" t="s">
        <v>25</v>
      </c>
    </row>
    <row r="40" spans="1:23" x14ac:dyDescent="0.25">
      <c r="D40" s="1">
        <v>17</v>
      </c>
      <c r="E40" s="1" t="s">
        <v>124</v>
      </c>
      <c r="G40" s="1">
        <v>9</v>
      </c>
      <c r="H40" s="1" t="s">
        <v>58</v>
      </c>
      <c r="R40" s="1" t="s">
        <v>16</v>
      </c>
      <c r="S40" s="1" t="s">
        <v>35</v>
      </c>
      <c r="T40" s="1" t="s">
        <v>37</v>
      </c>
      <c r="U40" s="1" t="s">
        <v>36</v>
      </c>
      <c r="V40" s="1" t="s">
        <v>34</v>
      </c>
      <c r="W40" s="1" t="s">
        <v>34</v>
      </c>
    </row>
    <row r="41" spans="1:23" x14ac:dyDescent="0.25">
      <c r="A41" s="1" t="s">
        <v>0</v>
      </c>
      <c r="B41" s="1" t="s">
        <v>181</v>
      </c>
      <c r="D41" s="1">
        <v>18</v>
      </c>
      <c r="E41" s="1" t="s">
        <v>125</v>
      </c>
      <c r="G41" s="1">
        <v>10</v>
      </c>
      <c r="H41" s="1" t="s">
        <v>59</v>
      </c>
      <c r="J41" s="1" t="s">
        <v>0</v>
      </c>
      <c r="K41" s="1" t="s">
        <v>12</v>
      </c>
      <c r="R41" s="1" t="s">
        <v>17</v>
      </c>
      <c r="S41" s="1" t="s">
        <v>41</v>
      </c>
      <c r="T41" s="1" t="s">
        <v>40</v>
      </c>
      <c r="U41" s="1" t="s">
        <v>40</v>
      </c>
      <c r="V41" s="1" t="s">
        <v>41</v>
      </c>
      <c r="W41" s="1" t="s">
        <v>41</v>
      </c>
    </row>
    <row r="42" spans="1:23" x14ac:dyDescent="0.25">
      <c r="A42" s="1">
        <v>1</v>
      </c>
      <c r="B42" s="1" t="s">
        <v>256</v>
      </c>
      <c r="D42" s="1">
        <v>19</v>
      </c>
      <c r="E42" s="1" t="s">
        <v>126</v>
      </c>
      <c r="G42" s="1">
        <v>11</v>
      </c>
      <c r="H42" s="1" t="s">
        <v>60</v>
      </c>
      <c r="J42" s="1">
        <v>1</v>
      </c>
      <c r="K42" s="1" t="s">
        <v>178</v>
      </c>
      <c r="R42" s="1" t="s">
        <v>18</v>
      </c>
      <c r="S42" s="1" t="s">
        <v>49</v>
      </c>
      <c r="T42" s="1" t="s">
        <v>87</v>
      </c>
      <c r="U42" s="1" t="s">
        <v>45</v>
      </c>
      <c r="V42" s="1" t="s">
        <v>42</v>
      </c>
      <c r="W42" s="1" t="s">
        <v>48</v>
      </c>
    </row>
    <row r="43" spans="1:23" x14ac:dyDescent="0.25">
      <c r="A43" s="1">
        <v>2</v>
      </c>
      <c r="B43" s="1" t="s">
        <v>257</v>
      </c>
      <c r="D43" s="1">
        <v>20</v>
      </c>
      <c r="E43" s="1" t="s">
        <v>127</v>
      </c>
      <c r="G43" s="1">
        <v>12</v>
      </c>
      <c r="H43" s="1" t="s">
        <v>61</v>
      </c>
      <c r="J43" s="1">
        <v>2</v>
      </c>
      <c r="K43" s="1" t="s">
        <v>179</v>
      </c>
      <c r="R43" s="1" t="s">
        <v>1</v>
      </c>
      <c r="S43" s="1" t="s">
        <v>91</v>
      </c>
      <c r="T43" s="1" t="s">
        <v>99</v>
      </c>
      <c r="U43" s="1" t="s">
        <v>97</v>
      </c>
      <c r="V43" s="1" t="s">
        <v>105</v>
      </c>
      <c r="W43" s="1" t="s">
        <v>96</v>
      </c>
    </row>
    <row r="44" spans="1:23" x14ac:dyDescent="0.25">
      <c r="A44" s="1">
        <v>3</v>
      </c>
      <c r="B44" s="1" t="s">
        <v>258</v>
      </c>
      <c r="G44" s="1">
        <v>13</v>
      </c>
      <c r="H44" s="1" t="s">
        <v>62</v>
      </c>
      <c r="J44" s="1">
        <v>3</v>
      </c>
      <c r="K44" s="1" t="s">
        <v>180</v>
      </c>
      <c r="R44" s="1" t="s">
        <v>4</v>
      </c>
      <c r="S44" s="1" t="s">
        <v>117</v>
      </c>
      <c r="T44" s="1" t="s">
        <v>112</v>
      </c>
      <c r="U44" s="1" t="s">
        <v>118</v>
      </c>
      <c r="V44" s="1" t="s">
        <v>111</v>
      </c>
      <c r="W44" s="1" t="s">
        <v>111</v>
      </c>
    </row>
    <row r="45" spans="1:23" x14ac:dyDescent="0.25">
      <c r="A45" s="1">
        <v>4</v>
      </c>
      <c r="B45" s="1" t="s">
        <v>259</v>
      </c>
      <c r="D45" s="1" t="s">
        <v>0</v>
      </c>
      <c r="E45" s="1" t="s">
        <v>5</v>
      </c>
      <c r="J45" s="1">
        <v>4</v>
      </c>
      <c r="K45" s="1" t="s">
        <v>181</v>
      </c>
      <c r="R45" s="1" t="s">
        <v>5</v>
      </c>
      <c r="S45" s="1" t="s">
        <v>131</v>
      </c>
      <c r="T45" s="1" t="s">
        <v>131</v>
      </c>
      <c r="U45" s="1" t="s">
        <v>145</v>
      </c>
      <c r="V45" s="1" t="s">
        <v>137</v>
      </c>
      <c r="W45" s="1" t="s">
        <v>130</v>
      </c>
    </row>
    <row r="46" spans="1:23" x14ac:dyDescent="0.25">
      <c r="A46" s="1">
        <v>5</v>
      </c>
      <c r="B46" s="1" t="s">
        <v>260</v>
      </c>
      <c r="D46" s="1">
        <v>1</v>
      </c>
      <c r="E46" s="1" t="s">
        <v>139</v>
      </c>
      <c r="G46" s="1" t="s">
        <v>0</v>
      </c>
      <c r="H46" s="1" t="s">
        <v>13</v>
      </c>
      <c r="J46" s="1">
        <v>5</v>
      </c>
      <c r="K46" s="1" t="s">
        <v>182</v>
      </c>
      <c r="R46" s="1" t="s">
        <v>13</v>
      </c>
      <c r="S46" s="1" t="s">
        <v>191</v>
      </c>
      <c r="T46" s="1" t="s">
        <v>185</v>
      </c>
      <c r="U46" s="1" t="s">
        <v>185</v>
      </c>
      <c r="V46" s="1" t="s">
        <v>190</v>
      </c>
      <c r="W46" s="1" t="s">
        <v>192</v>
      </c>
    </row>
    <row r="47" spans="1:23" x14ac:dyDescent="0.25">
      <c r="A47" s="1">
        <v>6</v>
      </c>
      <c r="B47" s="1" t="s">
        <v>261</v>
      </c>
      <c r="D47" s="1">
        <v>2</v>
      </c>
      <c r="E47" s="1" t="s">
        <v>138</v>
      </c>
      <c r="G47" s="1">
        <v>1</v>
      </c>
      <c r="H47" s="1" t="s">
        <v>184</v>
      </c>
      <c r="J47" s="1">
        <v>6</v>
      </c>
      <c r="K47" s="1" t="s">
        <v>183</v>
      </c>
      <c r="R47" s="1" t="s">
        <v>6</v>
      </c>
      <c r="S47" s="1" t="s">
        <v>62</v>
      </c>
      <c r="T47" s="1" t="s">
        <v>51</v>
      </c>
      <c r="U47" s="1" t="s">
        <v>61</v>
      </c>
      <c r="V47" s="1" t="s">
        <v>52</v>
      </c>
      <c r="W47" s="1" t="s">
        <v>60</v>
      </c>
    </row>
    <row r="48" spans="1:23" x14ac:dyDescent="0.25">
      <c r="A48" s="1">
        <v>7</v>
      </c>
      <c r="B48" s="1" t="s">
        <v>262</v>
      </c>
      <c r="D48" s="1">
        <v>3</v>
      </c>
      <c r="E48" s="1" t="s">
        <v>137</v>
      </c>
      <c r="G48" s="1">
        <v>2</v>
      </c>
      <c r="H48" s="1" t="s">
        <v>185</v>
      </c>
      <c r="R48" s="1" t="s">
        <v>14</v>
      </c>
      <c r="S48" s="1" t="s">
        <v>77</v>
      </c>
      <c r="T48" s="1" t="s">
        <v>83</v>
      </c>
      <c r="U48" s="1" t="s">
        <v>86</v>
      </c>
      <c r="V48" s="1" t="s">
        <v>83</v>
      </c>
      <c r="W48" s="1" t="s">
        <v>81</v>
      </c>
    </row>
    <row r="49" spans="1:23" x14ac:dyDescent="0.25">
      <c r="A49" s="1">
        <v>8</v>
      </c>
      <c r="B49" s="1" t="s">
        <v>263</v>
      </c>
      <c r="D49" s="1">
        <v>4</v>
      </c>
      <c r="E49" s="1" t="s">
        <v>128</v>
      </c>
      <c r="G49" s="1">
        <v>3</v>
      </c>
      <c r="H49" s="1" t="s">
        <v>186</v>
      </c>
      <c r="R49" s="1" t="s">
        <v>2</v>
      </c>
      <c r="S49" s="1" t="s">
        <v>67</v>
      </c>
      <c r="T49" s="1" t="s">
        <v>67</v>
      </c>
      <c r="U49" s="1" t="s">
        <v>64</v>
      </c>
      <c r="V49" s="1" t="s">
        <v>68</v>
      </c>
      <c r="W49" s="1" t="s">
        <v>63</v>
      </c>
    </row>
    <row r="50" spans="1:23" x14ac:dyDescent="0.25">
      <c r="A50" s="1">
        <v>9</v>
      </c>
      <c r="B50" s="1" t="s">
        <v>264</v>
      </c>
      <c r="D50" s="1">
        <v>5</v>
      </c>
      <c r="E50" s="1" t="s">
        <v>129</v>
      </c>
      <c r="G50" s="1">
        <v>4</v>
      </c>
      <c r="H50" s="1" t="s">
        <v>187</v>
      </c>
      <c r="R50" s="1" t="s">
        <v>3</v>
      </c>
      <c r="S50" s="1" t="s">
        <v>72</v>
      </c>
      <c r="T50" s="1" t="s">
        <v>73</v>
      </c>
      <c r="U50" s="1" t="s">
        <v>73</v>
      </c>
      <c r="V50" s="1" t="s">
        <v>69</v>
      </c>
      <c r="W50" s="1" t="s">
        <v>71</v>
      </c>
    </row>
    <row r="51" spans="1:23" x14ac:dyDescent="0.25">
      <c r="A51" s="1">
        <v>10</v>
      </c>
      <c r="B51" s="1" t="s">
        <v>265</v>
      </c>
      <c r="D51" s="1">
        <v>6</v>
      </c>
      <c r="E51" s="1" t="s">
        <v>130</v>
      </c>
      <c r="G51" s="1">
        <v>5</v>
      </c>
      <c r="H51" s="1" t="s">
        <v>188</v>
      </c>
      <c r="R51" s="1" t="s">
        <v>9</v>
      </c>
      <c r="S51" s="1" t="s">
        <v>173</v>
      </c>
      <c r="T51" s="1" t="s">
        <v>163</v>
      </c>
      <c r="U51" s="1" t="s">
        <v>173</v>
      </c>
      <c r="V51" s="1" t="s">
        <v>174</v>
      </c>
      <c r="W51" s="1" t="s">
        <v>170</v>
      </c>
    </row>
    <row r="52" spans="1:23" x14ac:dyDescent="0.25">
      <c r="A52" s="1">
        <v>11</v>
      </c>
      <c r="B52" s="1" t="s">
        <v>266</v>
      </c>
      <c r="D52" s="1">
        <v>7</v>
      </c>
      <c r="E52" s="1" t="s">
        <v>131</v>
      </c>
      <c r="G52" s="1">
        <v>6</v>
      </c>
      <c r="H52" s="1" t="s">
        <v>189</v>
      </c>
      <c r="R52" s="1" t="s">
        <v>8</v>
      </c>
      <c r="S52" s="1" t="s">
        <v>153</v>
      </c>
      <c r="T52" s="1" t="s">
        <v>151</v>
      </c>
      <c r="U52" s="1" t="s">
        <v>159</v>
      </c>
      <c r="V52" s="1" t="s">
        <v>182</v>
      </c>
      <c r="W52" s="1" t="s">
        <v>153</v>
      </c>
    </row>
    <row r="53" spans="1:23" x14ac:dyDescent="0.25">
      <c r="A53" s="1">
        <v>12</v>
      </c>
      <c r="B53" s="1" t="s">
        <v>267</v>
      </c>
      <c r="D53" s="1">
        <v>8</v>
      </c>
      <c r="E53" s="1" t="s">
        <v>140</v>
      </c>
      <c r="G53" s="1">
        <v>7</v>
      </c>
      <c r="H53" s="1" t="s">
        <v>190</v>
      </c>
      <c r="R53" s="1" t="s">
        <v>195</v>
      </c>
      <c r="S53" s="2" t="s">
        <v>233</v>
      </c>
      <c r="T53" s="2" t="s">
        <v>234</v>
      </c>
      <c r="U53" s="2" t="s">
        <v>235</v>
      </c>
      <c r="V53" s="2" t="s">
        <v>236</v>
      </c>
      <c r="W53" s="2" t="s">
        <v>237</v>
      </c>
    </row>
    <row r="54" spans="1:23" x14ac:dyDescent="0.25">
      <c r="A54" s="1">
        <v>13</v>
      </c>
      <c r="B54" s="1" t="s">
        <v>268</v>
      </c>
      <c r="D54" s="1">
        <v>9</v>
      </c>
      <c r="E54" s="1" t="s">
        <v>141</v>
      </c>
      <c r="G54" s="1">
        <v>8</v>
      </c>
      <c r="H54" s="1" t="s">
        <v>255</v>
      </c>
      <c r="R54" s="1" t="s">
        <v>196</v>
      </c>
    </row>
    <row r="55" spans="1:23" x14ac:dyDescent="0.25">
      <c r="A55" s="1">
        <v>14</v>
      </c>
      <c r="B55" s="1" t="s">
        <v>269</v>
      </c>
      <c r="D55" s="1">
        <v>10</v>
      </c>
      <c r="E55" s="1" t="s">
        <v>142</v>
      </c>
      <c r="G55" s="1">
        <v>9</v>
      </c>
      <c r="H55" s="1" t="s">
        <v>192</v>
      </c>
    </row>
    <row r="56" spans="1:23" x14ac:dyDescent="0.25">
      <c r="A56" s="1">
        <v>15</v>
      </c>
      <c r="B56" s="1" t="s">
        <v>270</v>
      </c>
      <c r="D56" s="1">
        <v>11</v>
      </c>
      <c r="E56" s="1" t="s">
        <v>143</v>
      </c>
      <c r="S56" s="1" t="s">
        <v>216</v>
      </c>
      <c r="T56" s="1" t="s">
        <v>217</v>
      </c>
      <c r="U56" s="1" t="s">
        <v>218</v>
      </c>
      <c r="V56" s="1" t="s">
        <v>219</v>
      </c>
      <c r="W56" s="1" t="s">
        <v>220</v>
      </c>
    </row>
    <row r="57" spans="1:23" x14ac:dyDescent="0.25">
      <c r="A57" s="1">
        <v>16</v>
      </c>
      <c r="B57" s="1" t="s">
        <v>271</v>
      </c>
      <c r="D57" s="1">
        <v>12</v>
      </c>
      <c r="E57" s="1" t="s">
        <v>145</v>
      </c>
      <c r="R57" s="1" t="s">
        <v>15</v>
      </c>
      <c r="S57" s="1" t="s">
        <v>25</v>
      </c>
      <c r="T57" s="1" t="s">
        <v>20</v>
      </c>
      <c r="U57" s="1" t="s">
        <v>22</v>
      </c>
      <c r="V57" s="1" t="s">
        <v>28</v>
      </c>
      <c r="W57" s="1" t="s">
        <v>21</v>
      </c>
    </row>
    <row r="58" spans="1:23" x14ac:dyDescent="0.25">
      <c r="A58" s="1">
        <v>17</v>
      </c>
      <c r="B58" s="1" t="s">
        <v>272</v>
      </c>
      <c r="D58" s="1">
        <v>13</v>
      </c>
      <c r="E58" s="1" t="s">
        <v>144</v>
      </c>
      <c r="R58" s="1" t="s">
        <v>16</v>
      </c>
      <c r="S58" s="1" t="s">
        <v>36</v>
      </c>
      <c r="T58" s="1" t="s">
        <v>34</v>
      </c>
      <c r="U58" s="1" t="s">
        <v>34</v>
      </c>
      <c r="V58" s="1" t="s">
        <v>34</v>
      </c>
      <c r="W58" s="1" t="s">
        <v>33</v>
      </c>
    </row>
    <row r="59" spans="1:23" x14ac:dyDescent="0.25">
      <c r="A59" s="1">
        <v>18</v>
      </c>
      <c r="B59" s="1" t="s">
        <v>273</v>
      </c>
      <c r="D59" s="1">
        <v>14</v>
      </c>
      <c r="E59" s="1" t="s">
        <v>132</v>
      </c>
      <c r="R59" s="1" t="s">
        <v>17</v>
      </c>
      <c r="S59" s="1" t="s">
        <v>40</v>
      </c>
      <c r="T59" s="1" t="s">
        <v>41</v>
      </c>
      <c r="U59" s="1" t="s">
        <v>41</v>
      </c>
      <c r="V59" s="1" t="s">
        <v>40</v>
      </c>
      <c r="W59" s="1" t="s">
        <v>41</v>
      </c>
    </row>
    <row r="60" spans="1:23" x14ac:dyDescent="0.25">
      <c r="A60" s="1">
        <v>19</v>
      </c>
      <c r="B60" s="1" t="s">
        <v>274</v>
      </c>
      <c r="D60" s="1">
        <v>15</v>
      </c>
      <c r="E60" s="1" t="s">
        <v>147</v>
      </c>
      <c r="R60" s="1" t="s">
        <v>18</v>
      </c>
      <c r="S60" s="1" t="s">
        <v>48</v>
      </c>
      <c r="T60" s="1" t="s">
        <v>49</v>
      </c>
      <c r="U60" s="1" t="s">
        <v>43</v>
      </c>
      <c r="V60" s="1" t="s">
        <v>47</v>
      </c>
      <c r="W60" s="1" t="s">
        <v>227</v>
      </c>
    </row>
    <row r="61" spans="1:23" x14ac:dyDescent="0.25">
      <c r="A61" s="1">
        <v>20</v>
      </c>
      <c r="B61" s="1" t="s">
        <v>275</v>
      </c>
      <c r="D61" s="1">
        <v>16</v>
      </c>
      <c r="E61" s="1" t="s">
        <v>146</v>
      </c>
      <c r="R61" s="1" t="s">
        <v>1</v>
      </c>
      <c r="S61" s="1" t="s">
        <v>100</v>
      </c>
      <c r="T61" s="1" t="s">
        <v>88</v>
      </c>
      <c r="U61" s="1" t="s">
        <v>91</v>
      </c>
      <c r="V61" s="1" t="s">
        <v>103</v>
      </c>
      <c r="W61" s="1" t="s">
        <v>103</v>
      </c>
    </row>
    <row r="62" spans="1:23" x14ac:dyDescent="0.25">
      <c r="A62" s="1">
        <v>21</v>
      </c>
      <c r="B62" s="1" t="s">
        <v>276</v>
      </c>
      <c r="D62" s="1">
        <v>17</v>
      </c>
      <c r="E62" s="1" t="s">
        <v>133</v>
      </c>
      <c r="R62" s="1" t="s">
        <v>4</v>
      </c>
      <c r="S62" s="1" t="s">
        <v>112</v>
      </c>
      <c r="T62" s="1" t="s">
        <v>114</v>
      </c>
      <c r="U62" s="1" t="s">
        <v>125</v>
      </c>
      <c r="V62" s="1" t="s">
        <v>116</v>
      </c>
      <c r="W62" s="1" t="s">
        <v>125</v>
      </c>
    </row>
    <row r="63" spans="1:23" x14ac:dyDescent="0.25">
      <c r="A63" s="1">
        <v>22</v>
      </c>
      <c r="B63" s="1" t="s">
        <v>277</v>
      </c>
      <c r="D63" s="1">
        <v>18</v>
      </c>
      <c r="E63" s="1" t="s">
        <v>134</v>
      </c>
      <c r="R63" s="1" t="s">
        <v>5</v>
      </c>
      <c r="S63" s="1" t="s">
        <v>128</v>
      </c>
      <c r="T63" s="1" t="s">
        <v>131</v>
      </c>
      <c r="U63" s="1" t="s">
        <v>146</v>
      </c>
      <c r="V63" s="1" t="s">
        <v>141</v>
      </c>
      <c r="W63" s="1" t="s">
        <v>132</v>
      </c>
    </row>
    <row r="64" spans="1:23" x14ac:dyDescent="0.25">
      <c r="A64" s="1">
        <v>23</v>
      </c>
      <c r="B64" s="1" t="s">
        <v>278</v>
      </c>
      <c r="D64" s="1">
        <v>19</v>
      </c>
      <c r="E64" s="1" t="s">
        <v>135</v>
      </c>
      <c r="R64" s="1" t="s">
        <v>13</v>
      </c>
      <c r="S64" s="1" t="s">
        <v>187</v>
      </c>
      <c r="T64" s="1" t="s">
        <v>187</v>
      </c>
      <c r="U64" s="1" t="s">
        <v>187</v>
      </c>
      <c r="V64" s="1" t="s">
        <v>184</v>
      </c>
      <c r="W64" s="1" t="s">
        <v>190</v>
      </c>
    </row>
    <row r="65" spans="1:23" x14ac:dyDescent="0.25">
      <c r="A65" s="1">
        <v>24</v>
      </c>
      <c r="B65" s="1" t="s">
        <v>279</v>
      </c>
      <c r="D65" s="1">
        <v>20</v>
      </c>
      <c r="E65" s="1" t="s">
        <v>136</v>
      </c>
      <c r="R65" s="1" t="s">
        <v>6</v>
      </c>
      <c r="S65" s="1" t="s">
        <v>56</v>
      </c>
      <c r="T65" s="1" t="s">
        <v>58</v>
      </c>
      <c r="U65" s="1" t="s">
        <v>52</v>
      </c>
      <c r="V65" s="1" t="s">
        <v>52</v>
      </c>
      <c r="W65" s="1" t="s">
        <v>60</v>
      </c>
    </row>
    <row r="66" spans="1:23" x14ac:dyDescent="0.25">
      <c r="A66" s="1">
        <v>25</v>
      </c>
      <c r="B66" s="1" t="s">
        <v>280</v>
      </c>
      <c r="R66" s="1" t="s">
        <v>14</v>
      </c>
      <c r="S66" s="1" t="s">
        <v>77</v>
      </c>
      <c r="T66" s="1" t="s">
        <v>81</v>
      </c>
      <c r="U66" s="1" t="s">
        <v>77</v>
      </c>
      <c r="V66" s="1" t="s">
        <v>81</v>
      </c>
      <c r="W66" s="1" t="s">
        <v>84</v>
      </c>
    </row>
    <row r="67" spans="1:23" x14ac:dyDescent="0.25">
      <c r="A67" s="1">
        <v>26</v>
      </c>
      <c r="B67" s="1" t="s">
        <v>281</v>
      </c>
      <c r="R67" s="1" t="s">
        <v>2</v>
      </c>
      <c r="S67" s="1" t="s">
        <v>63</v>
      </c>
      <c r="T67" s="1" t="s">
        <v>68</v>
      </c>
      <c r="U67" s="1" t="s">
        <v>64</v>
      </c>
      <c r="V67" s="1" t="s">
        <v>68</v>
      </c>
      <c r="W67" s="1" t="s">
        <v>68</v>
      </c>
    </row>
    <row r="68" spans="1:23" x14ac:dyDescent="0.25">
      <c r="A68" s="1">
        <v>27</v>
      </c>
      <c r="B68" s="1" t="s">
        <v>282</v>
      </c>
      <c r="R68" s="1" t="s">
        <v>3</v>
      </c>
      <c r="S68" s="1" t="s">
        <v>70</v>
      </c>
      <c r="T68" s="1" t="s">
        <v>69</v>
      </c>
      <c r="U68" s="1" t="s">
        <v>71</v>
      </c>
      <c r="V68" s="1" t="s">
        <v>70</v>
      </c>
      <c r="W68" s="1" t="s">
        <v>73</v>
      </c>
    </row>
    <row r="69" spans="1:23" x14ac:dyDescent="0.25">
      <c r="A69" s="1">
        <v>28</v>
      </c>
      <c r="B69" s="1" t="s">
        <v>283</v>
      </c>
      <c r="R69" s="1" t="s">
        <v>9</v>
      </c>
      <c r="S69" s="1" t="s">
        <v>169</v>
      </c>
      <c r="T69" s="1" t="s">
        <v>175</v>
      </c>
      <c r="U69" s="1" t="s">
        <v>163</v>
      </c>
      <c r="V69" s="1" t="s">
        <v>169</v>
      </c>
      <c r="W69" s="1" t="s">
        <v>160</v>
      </c>
    </row>
    <row r="70" spans="1:23" x14ac:dyDescent="0.25">
      <c r="A70" s="1">
        <v>29</v>
      </c>
      <c r="B70" s="1" t="s">
        <v>284</v>
      </c>
      <c r="R70" s="1" t="s">
        <v>8</v>
      </c>
      <c r="S70" s="1" t="s">
        <v>150</v>
      </c>
      <c r="T70" s="1" t="s">
        <v>183</v>
      </c>
      <c r="U70" s="1" t="s">
        <v>176</v>
      </c>
      <c r="V70" s="1" t="s">
        <v>156</v>
      </c>
      <c r="W70" s="1" t="s">
        <v>152</v>
      </c>
    </row>
    <row r="71" spans="1:23" x14ac:dyDescent="0.25">
      <c r="A71" s="1">
        <v>30</v>
      </c>
      <c r="B71" s="1" t="s">
        <v>285</v>
      </c>
      <c r="R71" s="1" t="s">
        <v>195</v>
      </c>
      <c r="S71" s="2" t="s">
        <v>238</v>
      </c>
      <c r="T71" s="2" t="s">
        <v>239</v>
      </c>
      <c r="U71" s="2" t="s">
        <v>240</v>
      </c>
      <c r="V71" s="2" t="s">
        <v>241</v>
      </c>
      <c r="W71" s="2" t="s">
        <v>242</v>
      </c>
    </row>
    <row r="72" spans="1:23" x14ac:dyDescent="0.25">
      <c r="A72" s="1">
        <v>31</v>
      </c>
      <c r="B72" s="1" t="s">
        <v>286</v>
      </c>
      <c r="R72" s="1" t="s">
        <v>196</v>
      </c>
    </row>
    <row r="74" spans="1:23" x14ac:dyDescent="0.25">
      <c r="S74" s="1" t="s">
        <v>221</v>
      </c>
      <c r="T74" s="1" t="s">
        <v>222</v>
      </c>
      <c r="U74" s="1" t="s">
        <v>223</v>
      </c>
      <c r="V74" s="1" t="s">
        <v>224</v>
      </c>
      <c r="W74" s="1" t="s">
        <v>225</v>
      </c>
    </row>
    <row r="75" spans="1:23" x14ac:dyDescent="0.25">
      <c r="R75" s="1" t="s">
        <v>15</v>
      </c>
      <c r="S75" s="1" t="s">
        <v>22</v>
      </c>
      <c r="T75" s="1" t="s">
        <v>21</v>
      </c>
      <c r="U75" s="1" t="s">
        <v>23</v>
      </c>
      <c r="V75" s="1" t="s">
        <v>27</v>
      </c>
      <c r="W75" s="1" t="s">
        <v>20</v>
      </c>
    </row>
    <row r="76" spans="1:23" x14ac:dyDescent="0.25">
      <c r="R76" s="1" t="s">
        <v>16</v>
      </c>
      <c r="S76" s="1" t="s">
        <v>38</v>
      </c>
      <c r="T76" s="1" t="s">
        <v>31</v>
      </c>
      <c r="U76" s="1" t="s">
        <v>34</v>
      </c>
      <c r="V76" s="1" t="s">
        <v>38</v>
      </c>
      <c r="W76" s="1" t="s">
        <v>30</v>
      </c>
    </row>
    <row r="77" spans="1:23" x14ac:dyDescent="0.25">
      <c r="R77" s="1" t="s">
        <v>17</v>
      </c>
      <c r="S77" s="1" t="s">
        <v>40</v>
      </c>
      <c r="T77" s="1" t="s">
        <v>40</v>
      </c>
      <c r="U77" s="1" t="s">
        <v>41</v>
      </c>
      <c r="V77" s="1" t="s">
        <v>41</v>
      </c>
      <c r="W77" s="1" t="s">
        <v>41</v>
      </c>
    </row>
    <row r="78" spans="1:23" x14ac:dyDescent="0.25">
      <c r="R78" s="1" t="s">
        <v>18</v>
      </c>
      <c r="S78" s="1" t="s">
        <v>44</v>
      </c>
      <c r="T78" s="1" t="s">
        <v>226</v>
      </c>
      <c r="U78" s="1" t="s">
        <v>49</v>
      </c>
      <c r="V78" s="1" t="s">
        <v>227</v>
      </c>
      <c r="W78" s="1" t="s">
        <v>45</v>
      </c>
    </row>
    <row r="79" spans="1:23" x14ac:dyDescent="0.25">
      <c r="R79" s="1" t="s">
        <v>1</v>
      </c>
      <c r="S79" s="1" t="s">
        <v>106</v>
      </c>
      <c r="T79" s="1" t="s">
        <v>99</v>
      </c>
      <c r="U79" s="1" t="s">
        <v>97</v>
      </c>
      <c r="V79" s="1" t="s">
        <v>104</v>
      </c>
      <c r="W79" s="1" t="s">
        <v>88</v>
      </c>
    </row>
    <row r="80" spans="1:23" x14ac:dyDescent="0.25">
      <c r="R80" s="1" t="s">
        <v>4</v>
      </c>
      <c r="S80" s="1" t="s">
        <v>114</v>
      </c>
      <c r="T80" s="1" t="s">
        <v>118</v>
      </c>
      <c r="U80" s="1" t="s">
        <v>122</v>
      </c>
      <c r="V80" s="1" t="s">
        <v>125</v>
      </c>
      <c r="W80" s="1" t="s">
        <v>111</v>
      </c>
    </row>
    <row r="81" spans="18:23" x14ac:dyDescent="0.25">
      <c r="R81" s="1" t="s">
        <v>5</v>
      </c>
      <c r="S81" s="1" t="s">
        <v>131</v>
      </c>
      <c r="T81" s="1" t="s">
        <v>137</v>
      </c>
      <c r="U81" s="1" t="s">
        <v>134</v>
      </c>
      <c r="V81" s="1" t="s">
        <v>140</v>
      </c>
      <c r="W81" s="1" t="s">
        <v>136</v>
      </c>
    </row>
    <row r="82" spans="18:23" x14ac:dyDescent="0.25">
      <c r="R82" s="1" t="s">
        <v>13</v>
      </c>
      <c r="S82" s="1" t="s">
        <v>192</v>
      </c>
      <c r="T82" s="1" t="s">
        <v>185</v>
      </c>
      <c r="U82" s="1" t="s">
        <v>189</v>
      </c>
      <c r="V82" s="1" t="s">
        <v>191</v>
      </c>
      <c r="W82" s="1" t="s">
        <v>184</v>
      </c>
    </row>
    <row r="83" spans="18:23" x14ac:dyDescent="0.25">
      <c r="R83" s="1" t="s">
        <v>6</v>
      </c>
      <c r="S83" s="1" t="s">
        <v>61</v>
      </c>
      <c r="T83" s="1" t="s">
        <v>53</v>
      </c>
      <c r="U83" s="1" t="s">
        <v>55</v>
      </c>
      <c r="V83" s="1" t="s">
        <v>50</v>
      </c>
      <c r="W83" s="1" t="s">
        <v>51</v>
      </c>
    </row>
    <row r="84" spans="18:23" x14ac:dyDescent="0.25">
      <c r="R84" s="1" t="s">
        <v>14</v>
      </c>
      <c r="S84" s="1" t="s">
        <v>81</v>
      </c>
      <c r="T84" s="1" t="s">
        <v>81</v>
      </c>
      <c r="U84" s="1" t="s">
        <v>78</v>
      </c>
      <c r="V84" s="1" t="s">
        <v>82</v>
      </c>
      <c r="W84" s="1" t="s">
        <v>75</v>
      </c>
    </row>
    <row r="85" spans="18:23" x14ac:dyDescent="0.25">
      <c r="R85" s="1" t="s">
        <v>2</v>
      </c>
      <c r="S85" s="1" t="s">
        <v>67</v>
      </c>
      <c r="T85" s="1" t="s">
        <v>68</v>
      </c>
      <c r="U85" s="1" t="s">
        <v>67</v>
      </c>
      <c r="V85" s="1" t="s">
        <v>68</v>
      </c>
      <c r="W85" s="1" t="s">
        <v>68</v>
      </c>
    </row>
    <row r="86" spans="18:23" x14ac:dyDescent="0.25">
      <c r="R86" s="1" t="s">
        <v>3</v>
      </c>
      <c r="S86" s="1" t="s">
        <v>73</v>
      </c>
      <c r="T86" s="1" t="s">
        <v>70</v>
      </c>
      <c r="U86" s="1" t="s">
        <v>69</v>
      </c>
      <c r="V86" s="1" t="s">
        <v>71</v>
      </c>
      <c r="W86" s="1" t="s">
        <v>72</v>
      </c>
    </row>
    <row r="87" spans="18:23" x14ac:dyDescent="0.25">
      <c r="R87" s="1" t="s">
        <v>9</v>
      </c>
      <c r="S87" s="1" t="s">
        <v>163</v>
      </c>
      <c r="T87" s="1" t="s">
        <v>164</v>
      </c>
      <c r="U87" s="1" t="s">
        <v>177</v>
      </c>
      <c r="V87" s="1" t="s">
        <v>170</v>
      </c>
      <c r="W87" s="1" t="s">
        <v>173</v>
      </c>
    </row>
    <row r="88" spans="18:23" x14ac:dyDescent="0.25">
      <c r="R88" s="1" t="s">
        <v>8</v>
      </c>
      <c r="S88" s="1" t="s">
        <v>175</v>
      </c>
      <c r="T88" s="1" t="s">
        <v>151</v>
      </c>
      <c r="U88" s="1" t="s">
        <v>153</v>
      </c>
      <c r="V88" s="1" t="s">
        <v>175</v>
      </c>
      <c r="W88" s="1" t="s">
        <v>182</v>
      </c>
    </row>
    <row r="89" spans="18:23" x14ac:dyDescent="0.25">
      <c r="R89" s="1" t="s">
        <v>195</v>
      </c>
      <c r="S89" s="2" t="s">
        <v>243</v>
      </c>
      <c r="T89" s="2" t="s">
        <v>244</v>
      </c>
      <c r="U89" s="2" t="s">
        <v>245</v>
      </c>
      <c r="V89" s="2" t="s">
        <v>246</v>
      </c>
      <c r="W89" s="2" t="s">
        <v>247</v>
      </c>
    </row>
    <row r="90" spans="18:23" x14ac:dyDescent="0.25">
      <c r="R90" s="1" t="s">
        <v>196</v>
      </c>
      <c r="W90" s="1" t="s">
        <v>248</v>
      </c>
    </row>
  </sheetData>
  <dataValidations count="1">
    <dataValidation type="list" allowBlank="1" showInputMessage="1" showErrorMessage="1" sqref="P2:Q15">
      <formula1>"Locked,"</formula1>
    </dataValidation>
  </dataValidations>
  <hyperlinks>
    <hyperlink ref="S17" r:id="rId1"/>
    <hyperlink ref="T17" r:id="rId2"/>
    <hyperlink ref="U17" r:id="rId3"/>
    <hyperlink ref="V17" r:id="rId4"/>
    <hyperlink ref="W17" r:id="rId5"/>
    <hyperlink ref="S35" r:id="rId6"/>
    <hyperlink ref="T35" r:id="rId7"/>
    <hyperlink ref="U35" r:id="rId8"/>
    <hyperlink ref="V35" r:id="rId9"/>
    <hyperlink ref="W35" r:id="rId10"/>
    <hyperlink ref="S53" r:id="rId11"/>
    <hyperlink ref="T53" r:id="rId12"/>
    <hyperlink ref="U53" r:id="rId13"/>
    <hyperlink ref="V53" r:id="rId14"/>
    <hyperlink ref="W53" r:id="rId15"/>
    <hyperlink ref="S71" r:id="rId16"/>
    <hyperlink ref="T71" r:id="rId17"/>
    <hyperlink ref="U71" r:id="rId18"/>
    <hyperlink ref="V71" r:id="rId19"/>
    <hyperlink ref="W71" r:id="rId20"/>
    <hyperlink ref="S89" r:id="rId21"/>
    <hyperlink ref="T89" r:id="rId22"/>
    <hyperlink ref="U89" r:id="rId23"/>
    <hyperlink ref="V89" r:id="rId24"/>
    <hyperlink ref="W89" r:id="rId25"/>
    <hyperlink ref="M18" r:id="rId26" location="type=common;common=Human%20Male"/>
    <hyperlink ref="M22" r:id="rId27"/>
    <hyperlink ref="M23" r:id="rId28"/>
    <hyperlink ref="M24" r:id="rId29"/>
  </hyperlinks>
  <pageMargins left="0.7" right="0.7" top="0.75" bottom="0.75" header="0.3" footer="0.3"/>
  <pageSetup orientation="portrait" r:id="rId30"/>
  <tableParts count="20"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 NPC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Eric</cp:lastModifiedBy>
  <dcterms:created xsi:type="dcterms:W3CDTF">2016-10-02T21:43:51Z</dcterms:created>
  <dcterms:modified xsi:type="dcterms:W3CDTF">2017-02-17T19:32:34Z</dcterms:modified>
</cp:coreProperties>
</file>